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dayeon\Desktop\3월강사비\"/>
    </mc:Choice>
  </mc:AlternateContent>
  <xr:revisionPtr revIDLastSave="0" documentId="13_ncr:1_{CCFC8FEC-3C1B-446E-8E51-66EEC60C0A45}" xr6:coauthVersionLast="47" xr6:coauthVersionMax="47" xr10:uidLastSave="{00000000-0000-0000-0000-000000000000}"/>
  <bookViews>
    <workbookView xWindow="-110" yWindow="-110" windowWidth="38620" windowHeight="21360" activeTab="5" xr2:uid="{C8EC0531-B9C8-49A9-A32B-F458D13B8BC1}"/>
  </bookViews>
  <sheets>
    <sheet name="수강명단" sheetId="2" r:id="rId1"/>
    <sheet name="피아노" sheetId="3" r:id="rId2"/>
    <sheet name="컴퓨터" sheetId="4" r:id="rId3"/>
    <sheet name="원어민영어1" sheetId="5" r:id="rId4"/>
    <sheet name="원어민영어2" sheetId="6" r:id="rId5"/>
    <sheet name="변환" sheetId="1" r:id="rId6"/>
  </sheets>
  <definedNames>
    <definedName name="_xlnm._FilterDatabase" localSheetId="0" hidden="1">수강명단!$A$1:$M$1053</definedName>
    <definedName name="_xlnm._FilterDatabase" localSheetId="3" hidden="1">원어민영어1!$A$1:$M$66</definedName>
    <definedName name="_xlnm._FilterDatabase" localSheetId="4" hidden="1">원어민영어2!$A$1:$I$59</definedName>
    <definedName name="_xlnm._FilterDatabase" localSheetId="2" hidden="1">컴퓨터!$A$1:$I$18</definedName>
    <definedName name="_xlnm._FilterDatabase" localSheetId="1" hidden="1">피아노!$A$1:$M$1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60" i="6" l="1"/>
  <c r="L59" i="6"/>
  <c r="K59" i="6"/>
  <c r="J59" i="6"/>
  <c r="AA55" i="6"/>
  <c r="Z55" i="6"/>
  <c r="Y55" i="6"/>
  <c r="X55" i="6"/>
  <c r="W55" i="6"/>
  <c r="V55" i="6"/>
  <c r="U55" i="6"/>
  <c r="T55" i="6"/>
  <c r="S55" i="6"/>
  <c r="S57" i="6" s="1"/>
  <c r="S59" i="6" s="1"/>
  <c r="R55" i="6"/>
  <c r="R57" i="6" s="1"/>
  <c r="R59" i="6" s="1"/>
  <c r="Q55" i="6"/>
  <c r="Q57" i="6" s="1"/>
  <c r="Q59" i="6" s="1"/>
  <c r="O55" i="6"/>
  <c r="O54" i="6"/>
  <c r="O56" i="6" s="1"/>
  <c r="M54" i="6"/>
  <c r="S50" i="6"/>
  <c r="R50" i="6"/>
  <c r="Q50" i="6"/>
  <c r="S47" i="6"/>
  <c r="R47" i="6"/>
  <c r="Q47" i="6"/>
  <c r="O43" i="6"/>
  <c r="S42" i="6"/>
  <c r="S44" i="6" s="1"/>
  <c r="R42" i="6"/>
  <c r="R44" i="6" s="1"/>
  <c r="Q42" i="6"/>
  <c r="Q44" i="6" s="1"/>
  <c r="O42" i="6"/>
  <c r="O44" i="6" s="1"/>
  <c r="M40" i="6"/>
  <c r="T38" i="6"/>
  <c r="AA36" i="6"/>
  <c r="Z36" i="6"/>
  <c r="Y36" i="6"/>
  <c r="W36" i="6"/>
  <c r="V36" i="6"/>
  <c r="U36" i="6"/>
  <c r="S36" i="6"/>
  <c r="S38" i="6" s="1"/>
  <c r="S39" i="6" s="1"/>
  <c r="R36" i="6"/>
  <c r="R38" i="6" s="1"/>
  <c r="R39" i="6" s="1"/>
  <c r="Q36" i="6"/>
  <c r="Q38" i="6" s="1"/>
  <c r="Q39" i="6" s="1"/>
  <c r="O36" i="6"/>
  <c r="O35" i="6"/>
  <c r="O37" i="6" s="1"/>
  <c r="M35" i="6"/>
  <c r="S28" i="6"/>
  <c r="R28" i="6"/>
  <c r="Q28" i="6"/>
  <c r="S25" i="6"/>
  <c r="R25" i="6"/>
  <c r="Q25" i="6"/>
  <c r="S20" i="6"/>
  <c r="S22" i="6" s="1"/>
  <c r="R20" i="6"/>
  <c r="R22" i="6" s="1"/>
  <c r="Q20" i="6"/>
  <c r="Q22" i="6" s="1"/>
  <c r="O20" i="6"/>
  <c r="O19" i="6"/>
  <c r="M19" i="6"/>
  <c r="T18" i="6"/>
  <c r="S14" i="6"/>
  <c r="R14" i="6"/>
  <c r="Q14" i="6"/>
  <c r="S9" i="6"/>
  <c r="R9" i="6"/>
  <c r="Q9" i="6"/>
  <c r="T6" i="6"/>
  <c r="T16" i="6" s="1"/>
  <c r="O4" i="6"/>
  <c r="S3" i="6"/>
  <c r="S6" i="6" s="1"/>
  <c r="S16" i="6" s="1"/>
  <c r="R3" i="6"/>
  <c r="R6" i="6" s="1"/>
  <c r="Q3" i="6"/>
  <c r="Q6" i="6" s="1"/>
  <c r="O3" i="6"/>
  <c r="M2" i="6"/>
  <c r="L65" i="5"/>
  <c r="K65" i="5"/>
  <c r="J65" i="5"/>
  <c r="J66" i="5" s="1"/>
  <c r="K68" i="5" s="1"/>
  <c r="AA61" i="5"/>
  <c r="Z61" i="5"/>
  <c r="Y61" i="5"/>
  <c r="W61" i="5"/>
  <c r="V61" i="5"/>
  <c r="U61" i="5"/>
  <c r="S61" i="5"/>
  <c r="S63" i="5" s="1"/>
  <c r="AA63" i="5" s="1"/>
  <c r="R61" i="5"/>
  <c r="R63" i="5" s="1"/>
  <c r="Z63" i="5" s="1"/>
  <c r="Q61" i="5"/>
  <c r="Q63" i="5" s="1"/>
  <c r="Y63" i="5" s="1"/>
  <c r="O61" i="5"/>
  <c r="O60" i="5"/>
  <c r="O62" i="5" s="1"/>
  <c r="M59" i="5"/>
  <c r="S57" i="5"/>
  <c r="R57" i="5"/>
  <c r="Q57" i="5"/>
  <c r="S54" i="5"/>
  <c r="R54" i="5"/>
  <c r="Q54" i="5"/>
  <c r="O50" i="5"/>
  <c r="S49" i="5"/>
  <c r="S51" i="5" s="1"/>
  <c r="R49" i="5"/>
  <c r="R51" i="5" s="1"/>
  <c r="Q49" i="5"/>
  <c r="Q51" i="5" s="1"/>
  <c r="O49" i="5"/>
  <c r="M48" i="5"/>
  <c r="S43" i="5"/>
  <c r="R43" i="5"/>
  <c r="Q43" i="5"/>
  <c r="S40" i="5"/>
  <c r="R40" i="5"/>
  <c r="Q40" i="5"/>
  <c r="S35" i="5"/>
  <c r="S37" i="5" s="1"/>
  <c r="S45" i="5" s="1"/>
  <c r="R35" i="5"/>
  <c r="R37" i="5" s="1"/>
  <c r="R45" i="5" s="1"/>
  <c r="Q35" i="5"/>
  <c r="Q37" i="5" s="1"/>
  <c r="Q45" i="5" s="1"/>
  <c r="O35" i="5"/>
  <c r="O34" i="5"/>
  <c r="O36" i="5" s="1"/>
  <c r="T33" i="5"/>
  <c r="M33" i="5"/>
  <c r="S29" i="5"/>
  <c r="R29" i="5"/>
  <c r="Q29" i="5"/>
  <c r="S26" i="5"/>
  <c r="R26" i="5"/>
  <c r="Q26" i="5"/>
  <c r="V25" i="5"/>
  <c r="U25" i="5"/>
  <c r="S21" i="5"/>
  <c r="S23" i="5" s="1"/>
  <c r="R21" i="5"/>
  <c r="R23" i="5" s="1"/>
  <c r="Q21" i="5"/>
  <c r="Q23" i="5" s="1"/>
  <c r="O21" i="5"/>
  <c r="O20" i="5"/>
  <c r="O22" i="5" s="1"/>
  <c r="M19" i="5"/>
  <c r="S14" i="5"/>
  <c r="R14" i="5"/>
  <c r="Q14" i="5"/>
  <c r="U10" i="5"/>
  <c r="U17" i="5" s="1"/>
  <c r="T10" i="5"/>
  <c r="T17" i="5" s="1"/>
  <c r="T66" i="5" s="1"/>
  <c r="S10" i="5"/>
  <c r="R10" i="5"/>
  <c r="Q10" i="5"/>
  <c r="Q7" i="5"/>
  <c r="S4" i="5"/>
  <c r="S7" i="5" s="1"/>
  <c r="S17" i="5" s="1"/>
  <c r="R4" i="5"/>
  <c r="R7" i="5" s="1"/>
  <c r="R17" i="5" s="1"/>
  <c r="Q4" i="5"/>
  <c r="O4" i="5"/>
  <c r="O3" i="5"/>
  <c r="M2" i="5"/>
  <c r="R137" i="4"/>
  <c r="L136" i="4"/>
  <c r="K136" i="4"/>
  <c r="J136" i="4"/>
  <c r="J137" i="4" s="1"/>
  <c r="K139" i="4" s="1"/>
  <c r="Y128" i="4"/>
  <c r="X128" i="4"/>
  <c r="W128" i="4"/>
  <c r="U128" i="4"/>
  <c r="T128" i="4"/>
  <c r="S128" i="4"/>
  <c r="Q128" i="4"/>
  <c r="Q130" i="4" s="1"/>
  <c r="U133" i="4" s="1"/>
  <c r="P128" i="4"/>
  <c r="P130" i="4" s="1"/>
  <c r="T133" i="4" s="1"/>
  <c r="O128" i="4"/>
  <c r="O130" i="4" s="1"/>
  <c r="O123" i="4"/>
  <c r="O122" i="4"/>
  <c r="M121" i="4"/>
  <c r="Y109" i="4"/>
  <c r="X109" i="4"/>
  <c r="W109" i="4"/>
  <c r="U109" i="4"/>
  <c r="T109" i="4"/>
  <c r="S109" i="4"/>
  <c r="Q109" i="4"/>
  <c r="Q111" i="4" s="1"/>
  <c r="U112" i="4" s="1"/>
  <c r="P109" i="4"/>
  <c r="P111" i="4" s="1"/>
  <c r="T112" i="4" s="1"/>
  <c r="O109" i="4"/>
  <c r="O111" i="4" s="1"/>
  <c r="S112" i="4" s="1"/>
  <c r="O103" i="4"/>
  <c r="O102" i="4"/>
  <c r="O104" i="4" s="1"/>
  <c r="M101" i="4"/>
  <c r="Y98" i="4"/>
  <c r="X98" i="4"/>
  <c r="W98" i="4"/>
  <c r="U98" i="4"/>
  <c r="T98" i="4"/>
  <c r="S98" i="4"/>
  <c r="Q98" i="4"/>
  <c r="Q100" i="4" s="1"/>
  <c r="P98" i="4"/>
  <c r="P100" i="4" s="1"/>
  <c r="O98" i="4"/>
  <c r="O100" i="4" s="1"/>
  <c r="O94" i="4"/>
  <c r="M94" i="4"/>
  <c r="O93" i="4"/>
  <c r="AA88" i="4"/>
  <c r="Z88" i="4"/>
  <c r="Y88" i="4"/>
  <c r="X88" i="4"/>
  <c r="W88" i="4"/>
  <c r="U88" i="4"/>
  <c r="T88" i="4"/>
  <c r="S88" i="4"/>
  <c r="Q88" i="4"/>
  <c r="Q90" i="4" s="1"/>
  <c r="U91" i="4" s="1"/>
  <c r="P88" i="4"/>
  <c r="P90" i="4" s="1"/>
  <c r="T91" i="4" s="1"/>
  <c r="O88" i="4"/>
  <c r="O90" i="4" s="1"/>
  <c r="S91" i="4" s="1"/>
  <c r="O82" i="4"/>
  <c r="O81" i="4"/>
  <c r="M80" i="4"/>
  <c r="Q77" i="4"/>
  <c r="Q79" i="4" s="1"/>
  <c r="P77" i="4"/>
  <c r="P79" i="4" s="1"/>
  <c r="O77" i="4"/>
  <c r="O79" i="4" s="1"/>
  <c r="Y74" i="4"/>
  <c r="X74" i="4"/>
  <c r="W74" i="4"/>
  <c r="U74" i="4"/>
  <c r="T74" i="4"/>
  <c r="S74" i="4"/>
  <c r="O73" i="4"/>
  <c r="O72" i="4"/>
  <c r="M71" i="4"/>
  <c r="Q68" i="4"/>
  <c r="P68" i="4"/>
  <c r="O68" i="4"/>
  <c r="Q64" i="4"/>
  <c r="P64" i="4"/>
  <c r="O64" i="4"/>
  <c r="Q58" i="4"/>
  <c r="Q60" i="4" s="1"/>
  <c r="Q70" i="4" s="1"/>
  <c r="P58" i="4"/>
  <c r="P60" i="4" s="1"/>
  <c r="P70" i="4" s="1"/>
  <c r="O58" i="4"/>
  <c r="O60" i="4" s="1"/>
  <c r="O70" i="4" s="1"/>
  <c r="O53" i="4"/>
  <c r="O52" i="4"/>
  <c r="O54" i="4" s="1"/>
  <c r="M51" i="4"/>
  <c r="Q50" i="4"/>
  <c r="P50" i="4"/>
  <c r="Y48" i="4"/>
  <c r="X48" i="4"/>
  <c r="W48" i="4"/>
  <c r="U48" i="4"/>
  <c r="T48" i="4"/>
  <c r="S48" i="4"/>
  <c r="Q48" i="4"/>
  <c r="P48" i="4"/>
  <c r="O48" i="4"/>
  <c r="O50" i="4" s="1"/>
  <c r="O44" i="4"/>
  <c r="O43" i="4"/>
  <c r="M42" i="4"/>
  <c r="Q39" i="4"/>
  <c r="P39" i="4"/>
  <c r="O39" i="4"/>
  <c r="Q35" i="4"/>
  <c r="P35" i="4"/>
  <c r="O35" i="4"/>
  <c r="Q29" i="4"/>
  <c r="Q31" i="4" s="1"/>
  <c r="Q41" i="4" s="1"/>
  <c r="P29" i="4"/>
  <c r="P31" i="4" s="1"/>
  <c r="P41" i="4" s="1"/>
  <c r="O29" i="4"/>
  <c r="O31" i="4" s="1"/>
  <c r="O41" i="4" s="1"/>
  <c r="O24" i="4"/>
  <c r="O23" i="4"/>
  <c r="M22" i="4"/>
  <c r="Q18" i="4"/>
  <c r="P18" i="4"/>
  <c r="O18" i="4"/>
  <c r="Q13" i="4"/>
  <c r="P13" i="4"/>
  <c r="O13" i="4"/>
  <c r="Q8" i="4"/>
  <c r="Q10" i="4" s="1"/>
  <c r="P8" i="4"/>
  <c r="P10" i="4" s="1"/>
  <c r="O8" i="4"/>
  <c r="O10" i="4" s="1"/>
  <c r="W5" i="4"/>
  <c r="O3" i="4"/>
  <c r="O2" i="4"/>
  <c r="M2" i="4"/>
  <c r="L100" i="3"/>
  <c r="K100" i="3"/>
  <c r="J100" i="3"/>
  <c r="J101" i="3" s="1"/>
  <c r="K104" i="3" s="1"/>
  <c r="AA96" i="3"/>
  <c r="Z96" i="3"/>
  <c r="Y96" i="3"/>
  <c r="W96" i="3"/>
  <c r="V96" i="3"/>
  <c r="U96" i="3"/>
  <c r="S96" i="3"/>
  <c r="R96" i="3"/>
  <c r="Q96" i="3"/>
  <c r="M95" i="3"/>
  <c r="AP94" i="3"/>
  <c r="AO94" i="3"/>
  <c r="AN94" i="3"/>
  <c r="AM94" i="3"/>
  <c r="AL94" i="3"/>
  <c r="AK94" i="3"/>
  <c r="AJ94" i="3"/>
  <c r="AI94" i="3"/>
  <c r="AH94" i="3"/>
  <c r="AA86" i="3"/>
  <c r="Z86" i="3"/>
  <c r="Y86" i="3"/>
  <c r="W86" i="3"/>
  <c r="V86" i="3"/>
  <c r="U86" i="3"/>
  <c r="S86" i="3"/>
  <c r="S88" i="3" s="1"/>
  <c r="S90" i="3" s="1"/>
  <c r="R86" i="3"/>
  <c r="R88" i="3" s="1"/>
  <c r="R90" i="3" s="1"/>
  <c r="Q86" i="3"/>
  <c r="Q88" i="3" s="1"/>
  <c r="Q90" i="3" s="1"/>
  <c r="M85" i="3"/>
  <c r="O78" i="3"/>
  <c r="AA77" i="3"/>
  <c r="Z77" i="3"/>
  <c r="Y77" i="3"/>
  <c r="W77" i="3"/>
  <c r="V77" i="3"/>
  <c r="U77" i="3"/>
  <c r="S77" i="3"/>
  <c r="S79" i="3" s="1"/>
  <c r="S81" i="3" s="1"/>
  <c r="R77" i="3"/>
  <c r="R79" i="3" s="1"/>
  <c r="R81" i="3" s="1"/>
  <c r="Q77" i="3"/>
  <c r="Q79" i="3" s="1"/>
  <c r="Q81" i="3" s="1"/>
  <c r="O77" i="3"/>
  <c r="M75" i="3"/>
  <c r="AA71" i="3"/>
  <c r="Z71" i="3"/>
  <c r="Y71" i="3"/>
  <c r="W71" i="3"/>
  <c r="V71" i="3"/>
  <c r="U71" i="3"/>
  <c r="S71" i="3"/>
  <c r="S73" i="3" s="1"/>
  <c r="W73" i="3" s="1"/>
  <c r="R71" i="3"/>
  <c r="R73" i="3" s="1"/>
  <c r="V73" i="3" s="1"/>
  <c r="Q71" i="3"/>
  <c r="Q73" i="3" s="1"/>
  <c r="U73" i="3" s="1"/>
  <c r="T70" i="3"/>
  <c r="M70" i="3"/>
  <c r="AI69" i="3"/>
  <c r="AH69" i="3"/>
  <c r="AA63" i="3"/>
  <c r="Z63" i="3"/>
  <c r="Y63" i="3"/>
  <c r="W63" i="3"/>
  <c r="V63" i="3"/>
  <c r="U63" i="3"/>
  <c r="S63" i="3"/>
  <c r="S65" i="3" s="1"/>
  <c r="S67" i="3" s="1"/>
  <c r="R63" i="3"/>
  <c r="R65" i="3" s="1"/>
  <c r="R67" i="3" s="1"/>
  <c r="Q63" i="3"/>
  <c r="Q65" i="3" s="1"/>
  <c r="Q67" i="3" s="1"/>
  <c r="T62" i="3"/>
  <c r="M61" i="3"/>
  <c r="AA55" i="3"/>
  <c r="Z55" i="3"/>
  <c r="Y55" i="3"/>
  <c r="W55" i="3"/>
  <c r="V55" i="3"/>
  <c r="U55" i="3"/>
  <c r="S55" i="3"/>
  <c r="S57" i="3" s="1"/>
  <c r="S59" i="3" s="1"/>
  <c r="R55" i="3"/>
  <c r="R57" i="3" s="1"/>
  <c r="R59" i="3" s="1"/>
  <c r="Q55" i="3"/>
  <c r="Q57" i="3" s="1"/>
  <c r="Q59" i="3" s="1"/>
  <c r="T54" i="3"/>
  <c r="M51" i="3"/>
  <c r="O44" i="3"/>
  <c r="O43" i="3"/>
  <c r="AA42" i="3"/>
  <c r="Z42" i="3"/>
  <c r="Y42" i="3"/>
  <c r="W42" i="3"/>
  <c r="V42" i="3"/>
  <c r="U42" i="3"/>
  <c r="S42" i="3"/>
  <c r="S44" i="3" s="1"/>
  <c r="S49" i="3" s="1"/>
  <c r="R42" i="3"/>
  <c r="R44" i="3" s="1"/>
  <c r="R49" i="3" s="1"/>
  <c r="Q42" i="3"/>
  <c r="Q44" i="3" s="1"/>
  <c r="T41" i="3"/>
  <c r="M41" i="3"/>
  <c r="T35" i="3"/>
  <c r="AA34" i="3"/>
  <c r="Z34" i="3"/>
  <c r="Y34" i="3"/>
  <c r="W34" i="3"/>
  <c r="V34" i="3"/>
  <c r="U34" i="3"/>
  <c r="S34" i="3"/>
  <c r="S36" i="3" s="1"/>
  <c r="S39" i="3" s="1"/>
  <c r="R34" i="3"/>
  <c r="R36" i="3" s="1"/>
  <c r="R39" i="3" s="1"/>
  <c r="Q34" i="3"/>
  <c r="Q36" i="3" s="1"/>
  <c r="M32" i="3"/>
  <c r="AA24" i="3"/>
  <c r="Z24" i="3"/>
  <c r="Y24" i="3"/>
  <c r="W24" i="3"/>
  <c r="V24" i="3"/>
  <c r="U24" i="3"/>
  <c r="S24" i="3"/>
  <c r="S26" i="3" s="1"/>
  <c r="R24" i="3"/>
  <c r="R26" i="3" s="1"/>
  <c r="Q24" i="3"/>
  <c r="Q26" i="3" s="1"/>
  <c r="Q30" i="3" s="1"/>
  <c r="M22" i="3"/>
  <c r="AA14" i="3"/>
  <c r="Z14" i="3"/>
  <c r="Y14" i="3"/>
  <c r="W14" i="3"/>
  <c r="V14" i="3"/>
  <c r="U14" i="3"/>
  <c r="S14" i="3"/>
  <c r="S16" i="3" s="1"/>
  <c r="S20" i="3" s="1"/>
  <c r="R14" i="3"/>
  <c r="R16" i="3" s="1"/>
  <c r="R20" i="3" s="1"/>
  <c r="Q14" i="3"/>
  <c r="Q16" i="3" s="1"/>
  <c r="Q20" i="3" s="1"/>
  <c r="M12" i="3"/>
  <c r="AJ7" i="3"/>
  <c r="AI7" i="3"/>
  <c r="AH7" i="3"/>
  <c r="O5" i="3"/>
  <c r="AA4" i="3"/>
  <c r="Z4" i="3"/>
  <c r="Y4" i="3"/>
  <c r="W4" i="3"/>
  <c r="V4" i="3"/>
  <c r="U4" i="3"/>
  <c r="S4" i="3"/>
  <c r="S6" i="3" s="1"/>
  <c r="R4" i="3"/>
  <c r="R6" i="3" s="1"/>
  <c r="Q4" i="3"/>
  <c r="Q6" i="3" s="1"/>
  <c r="Q9" i="3" s="1"/>
  <c r="O4" i="3"/>
  <c r="M2" i="3"/>
  <c r="L1050" i="2"/>
  <c r="K1050" i="2"/>
  <c r="J1050" i="2"/>
  <c r="J1051" i="2" s="1"/>
  <c r="Q1042" i="2"/>
  <c r="P1042" i="2"/>
  <c r="O1042" i="2"/>
  <c r="Q1039" i="2"/>
  <c r="P1039" i="2"/>
  <c r="O1039" i="2"/>
  <c r="Q1034" i="2"/>
  <c r="Q1036" i="2" s="1"/>
  <c r="P1034" i="2"/>
  <c r="P1036" i="2" s="1"/>
  <c r="O1034" i="2"/>
  <c r="O1036" i="2" s="1"/>
  <c r="O1030" i="2"/>
  <c r="O1029" i="2"/>
  <c r="O1031" i="2" s="1"/>
  <c r="M1027" i="2"/>
  <c r="Q1003" i="2"/>
  <c r="P1003" i="2"/>
  <c r="O1003" i="2"/>
  <c r="Q1000" i="2"/>
  <c r="P1000" i="2"/>
  <c r="O1000" i="2"/>
  <c r="Q995" i="2"/>
  <c r="Q997" i="2" s="1"/>
  <c r="U1005" i="2" s="1"/>
  <c r="P995" i="2"/>
  <c r="P997" i="2" s="1"/>
  <c r="T1005" i="2" s="1"/>
  <c r="O995" i="2"/>
  <c r="O997" i="2" s="1"/>
  <c r="S1005" i="2" s="1"/>
  <c r="R993" i="2"/>
  <c r="O990" i="2"/>
  <c r="O989" i="2"/>
  <c r="O991" i="2" s="1"/>
  <c r="M987" i="2"/>
  <c r="Q971" i="2"/>
  <c r="P971" i="2"/>
  <c r="O971" i="2"/>
  <c r="Q968" i="2"/>
  <c r="P968" i="2"/>
  <c r="O968" i="2"/>
  <c r="Q963" i="2"/>
  <c r="Q965" i="2" s="1"/>
  <c r="P963" i="2"/>
  <c r="P965" i="2" s="1"/>
  <c r="O963" i="2"/>
  <c r="O965" i="2" s="1"/>
  <c r="R962" i="2"/>
  <c r="O958" i="2"/>
  <c r="O957" i="2"/>
  <c r="O959" i="2" s="1"/>
  <c r="M953" i="2"/>
  <c r="Q931" i="2"/>
  <c r="P931" i="2"/>
  <c r="O931" i="2"/>
  <c r="Q928" i="2"/>
  <c r="P928" i="2"/>
  <c r="O928" i="2"/>
  <c r="R924" i="2"/>
  <c r="Q922" i="2"/>
  <c r="Q924" i="2" s="1"/>
  <c r="P922" i="2"/>
  <c r="P924" i="2" s="1"/>
  <c r="T933" i="2" s="1"/>
  <c r="O922" i="2"/>
  <c r="O924" i="2" s="1"/>
  <c r="S933" i="2" s="1"/>
  <c r="O916" i="2"/>
  <c r="O915" i="2"/>
  <c r="M913" i="2"/>
  <c r="P905" i="2"/>
  <c r="O905" i="2"/>
  <c r="Q905" i="2" s="1"/>
  <c r="Q904" i="2"/>
  <c r="Q903" i="2"/>
  <c r="Q893" i="2"/>
  <c r="P893" i="2"/>
  <c r="O893" i="2"/>
  <c r="Q890" i="2"/>
  <c r="P890" i="2"/>
  <c r="O890" i="2"/>
  <c r="Q884" i="2"/>
  <c r="Q886" i="2" s="1"/>
  <c r="P884" i="2"/>
  <c r="P886" i="2" s="1"/>
  <c r="O884" i="2"/>
  <c r="O886" i="2" s="1"/>
  <c r="O880" i="2"/>
  <c r="O879" i="2"/>
  <c r="O881" i="2" s="1"/>
  <c r="M875" i="2"/>
  <c r="Q873" i="2"/>
  <c r="P873" i="2"/>
  <c r="O873" i="2"/>
  <c r="Q870" i="2"/>
  <c r="P870" i="2"/>
  <c r="O870" i="2"/>
  <c r="Q867" i="2"/>
  <c r="P867" i="2"/>
  <c r="O867" i="2"/>
  <c r="O863" i="2"/>
  <c r="O862" i="2"/>
  <c r="M861" i="2"/>
  <c r="Q855" i="2"/>
  <c r="P855" i="2"/>
  <c r="O855" i="2"/>
  <c r="Q851" i="2"/>
  <c r="P851" i="2"/>
  <c r="O851" i="2"/>
  <c r="Q848" i="2"/>
  <c r="P848" i="2"/>
  <c r="O848" i="2"/>
  <c r="O842" i="2"/>
  <c r="O841" i="2"/>
  <c r="O843" i="2" s="1"/>
  <c r="M839" i="2"/>
  <c r="Q833" i="2"/>
  <c r="P833" i="2"/>
  <c r="O833" i="2"/>
  <c r="Q830" i="2"/>
  <c r="P830" i="2"/>
  <c r="O830" i="2"/>
  <c r="Q825" i="2"/>
  <c r="Q827" i="2" s="1"/>
  <c r="P825" i="2"/>
  <c r="P827" i="2" s="1"/>
  <c r="O825" i="2"/>
  <c r="O827" i="2" s="1"/>
  <c r="O820" i="2"/>
  <c r="O819" i="2"/>
  <c r="M817" i="2"/>
  <c r="Q811" i="2"/>
  <c r="P811" i="2"/>
  <c r="O811" i="2"/>
  <c r="R809" i="2"/>
  <c r="Q808" i="2"/>
  <c r="P808" i="2"/>
  <c r="O808" i="2"/>
  <c r="R805" i="2"/>
  <c r="Q802" i="2"/>
  <c r="Q805" i="2" s="1"/>
  <c r="P802" i="2"/>
  <c r="P805" i="2" s="1"/>
  <c r="T813" i="2" s="1"/>
  <c r="O802" i="2"/>
  <c r="O805" i="2" s="1"/>
  <c r="S813" i="2" s="1"/>
  <c r="O798" i="2"/>
  <c r="O797" i="2"/>
  <c r="O799" i="2" s="1"/>
  <c r="M796" i="2"/>
  <c r="Q790" i="2"/>
  <c r="P790" i="2"/>
  <c r="O790" i="2"/>
  <c r="Q786" i="2"/>
  <c r="P786" i="2"/>
  <c r="O786" i="2"/>
  <c r="Q781" i="2"/>
  <c r="Q783" i="2" s="1"/>
  <c r="U793" i="2" s="1"/>
  <c r="P781" i="2"/>
  <c r="P783" i="2" s="1"/>
  <c r="T793" i="2" s="1"/>
  <c r="O781" i="2"/>
  <c r="O783" i="2" s="1"/>
  <c r="O777" i="2"/>
  <c r="O776" i="2"/>
  <c r="M774" i="2"/>
  <c r="Q768" i="2"/>
  <c r="P768" i="2"/>
  <c r="O768" i="2"/>
  <c r="Q765" i="2"/>
  <c r="P765" i="2"/>
  <c r="O765" i="2"/>
  <c r="Q760" i="2"/>
  <c r="Q762" i="2" s="1"/>
  <c r="P760" i="2"/>
  <c r="P762" i="2" s="1"/>
  <c r="T770" i="2" s="1"/>
  <c r="O760" i="2"/>
  <c r="O762" i="2" s="1"/>
  <c r="S770" i="2" s="1"/>
  <c r="O755" i="2"/>
  <c r="O754" i="2"/>
  <c r="M752" i="2"/>
  <c r="Q750" i="2"/>
  <c r="P750" i="2"/>
  <c r="O750" i="2"/>
  <c r="R746" i="2"/>
  <c r="Y745" i="2"/>
  <c r="X745" i="2"/>
  <c r="W745" i="2"/>
  <c r="Q745" i="2"/>
  <c r="Q747" i="2" s="1"/>
  <c r="U751" i="2" s="1"/>
  <c r="P745" i="2"/>
  <c r="P747" i="2" s="1"/>
  <c r="O745" i="2"/>
  <c r="O747" i="2" s="1"/>
  <c r="O741" i="2"/>
  <c r="O740" i="2"/>
  <c r="O742" i="2" s="1"/>
  <c r="M739" i="2"/>
  <c r="Q718" i="2"/>
  <c r="P718" i="2"/>
  <c r="O718" i="2"/>
  <c r="N717" i="2"/>
  <c r="N716" i="2"/>
  <c r="Q715" i="2"/>
  <c r="P715" i="2"/>
  <c r="O715" i="2"/>
  <c r="Q710" i="2"/>
  <c r="Q712" i="2" s="1"/>
  <c r="U720" i="2" s="1"/>
  <c r="P710" i="2"/>
  <c r="P712" i="2" s="1"/>
  <c r="T720" i="2" s="1"/>
  <c r="O710" i="2"/>
  <c r="O712" i="2" s="1"/>
  <c r="S720" i="2" s="1"/>
  <c r="O705" i="2"/>
  <c r="O704" i="2"/>
  <c r="O706" i="2" s="1"/>
  <c r="R703" i="2"/>
  <c r="M702" i="2"/>
  <c r="Q695" i="2"/>
  <c r="P695" i="2"/>
  <c r="O695" i="2"/>
  <c r="Q692" i="2"/>
  <c r="P692" i="2"/>
  <c r="O692" i="2"/>
  <c r="Q687" i="2"/>
  <c r="Q689" i="2" s="1"/>
  <c r="P687" i="2"/>
  <c r="P689" i="2" s="1"/>
  <c r="O687" i="2"/>
  <c r="O689" i="2" s="1"/>
  <c r="O683" i="2"/>
  <c r="O682" i="2"/>
  <c r="M680" i="2"/>
  <c r="Q658" i="2"/>
  <c r="P658" i="2"/>
  <c r="O658" i="2"/>
  <c r="Q655" i="2"/>
  <c r="P655" i="2"/>
  <c r="O655" i="2"/>
  <c r="Q650" i="2"/>
  <c r="Q652" i="2" s="1"/>
  <c r="U660" i="2" s="1"/>
  <c r="P650" i="2"/>
  <c r="P652" i="2" s="1"/>
  <c r="T660" i="2" s="1"/>
  <c r="O650" i="2"/>
  <c r="O652" i="2" s="1"/>
  <c r="O644" i="2"/>
  <c r="O643" i="2"/>
  <c r="O645" i="2" s="1"/>
  <c r="M640" i="2"/>
  <c r="Q630" i="2"/>
  <c r="P630" i="2"/>
  <c r="O630" i="2"/>
  <c r="Q627" i="2"/>
  <c r="P627" i="2"/>
  <c r="O627" i="2"/>
  <c r="Q622" i="2"/>
  <c r="Q624" i="2" s="1"/>
  <c r="P622" i="2"/>
  <c r="P624" i="2" s="1"/>
  <c r="O622" i="2"/>
  <c r="O624" i="2" s="1"/>
  <c r="O615" i="2"/>
  <c r="O614" i="2"/>
  <c r="M612" i="2"/>
  <c r="Q591" i="2"/>
  <c r="P591" i="2"/>
  <c r="O591" i="2"/>
  <c r="R586" i="2"/>
  <c r="R595" i="2" s="1"/>
  <c r="Q586" i="2"/>
  <c r="P586" i="2"/>
  <c r="O586" i="2"/>
  <c r="Q580" i="2"/>
  <c r="Q582" i="2" s="1"/>
  <c r="U595" i="2" s="1"/>
  <c r="P580" i="2"/>
  <c r="P582" i="2" s="1"/>
  <c r="T595" i="2" s="1"/>
  <c r="O580" i="2"/>
  <c r="O582" i="2" s="1"/>
  <c r="S595" i="2" s="1"/>
  <c r="O573" i="2"/>
  <c r="O572" i="2"/>
  <c r="O574" i="2" s="1"/>
  <c r="M570" i="2"/>
  <c r="Q559" i="2"/>
  <c r="P559" i="2"/>
  <c r="O559" i="2"/>
  <c r="Q550" i="2"/>
  <c r="P550" i="2"/>
  <c r="O550" i="2"/>
  <c r="Q543" i="2"/>
  <c r="P543" i="2"/>
  <c r="O543" i="2"/>
  <c r="O538" i="2"/>
  <c r="O537" i="2"/>
  <c r="O539" i="2" s="1"/>
  <c r="M535" i="2"/>
  <c r="Q520" i="2"/>
  <c r="P520" i="2"/>
  <c r="O520" i="2"/>
  <c r="R518" i="2"/>
  <c r="Q515" i="2"/>
  <c r="P515" i="2"/>
  <c r="O515" i="2"/>
  <c r="R513" i="2"/>
  <c r="R510" i="2"/>
  <c r="Q510" i="2"/>
  <c r="Q512" i="2" s="1"/>
  <c r="U523" i="2" s="1"/>
  <c r="P510" i="2"/>
  <c r="P512" i="2" s="1"/>
  <c r="T523" i="2" s="1"/>
  <c r="O510" i="2"/>
  <c r="O512" i="2" s="1"/>
  <c r="S523" i="2" s="1"/>
  <c r="O504" i="2"/>
  <c r="O503" i="2"/>
  <c r="O505" i="2" s="1"/>
  <c r="M501" i="2"/>
  <c r="R490" i="2"/>
  <c r="Q490" i="2"/>
  <c r="P490" i="2"/>
  <c r="O490" i="2"/>
  <c r="R485" i="2"/>
  <c r="Q485" i="2"/>
  <c r="P485" i="2"/>
  <c r="O485" i="2"/>
  <c r="Q480" i="2"/>
  <c r="Q482" i="2" s="1"/>
  <c r="P480" i="2"/>
  <c r="P482" i="2" s="1"/>
  <c r="T494" i="2" s="1"/>
  <c r="O480" i="2"/>
  <c r="O482" i="2" s="1"/>
  <c r="S494" i="2" s="1"/>
  <c r="O474" i="2"/>
  <c r="O473" i="2"/>
  <c r="O475" i="2" s="1"/>
  <c r="M471" i="2"/>
  <c r="Q453" i="2"/>
  <c r="P453" i="2"/>
  <c r="O453" i="2"/>
  <c r="Q448" i="2"/>
  <c r="P448" i="2"/>
  <c r="O448" i="2"/>
  <c r="Q441" i="2"/>
  <c r="Q443" i="2" s="1"/>
  <c r="U455" i="2" s="1"/>
  <c r="P441" i="2"/>
  <c r="P443" i="2" s="1"/>
  <c r="O441" i="2"/>
  <c r="O443" i="2" s="1"/>
  <c r="S455" i="2" s="1"/>
  <c r="O435" i="2"/>
  <c r="O434" i="2"/>
  <c r="M432" i="2"/>
  <c r="Q418" i="2"/>
  <c r="P418" i="2"/>
  <c r="O418" i="2"/>
  <c r="Q414" i="2"/>
  <c r="P414" i="2"/>
  <c r="O414" i="2"/>
  <c r="Q407" i="2"/>
  <c r="Q409" i="2" s="1"/>
  <c r="P407" i="2"/>
  <c r="P409" i="2" s="1"/>
  <c r="O407" i="2"/>
  <c r="O409" i="2" s="1"/>
  <c r="O402" i="2"/>
  <c r="O401" i="2"/>
  <c r="O403" i="2" s="1"/>
  <c r="M400" i="2"/>
  <c r="Q390" i="2"/>
  <c r="P390" i="2"/>
  <c r="O390" i="2"/>
  <c r="Q386" i="2"/>
  <c r="P386" i="2"/>
  <c r="O386" i="2"/>
  <c r="Q379" i="2"/>
  <c r="Q381" i="2" s="1"/>
  <c r="U393" i="2" s="1"/>
  <c r="P379" i="2"/>
  <c r="P381" i="2" s="1"/>
  <c r="O379" i="2"/>
  <c r="O381" i="2" s="1"/>
  <c r="O373" i="2"/>
  <c r="O372" i="2"/>
  <c r="M370" i="2"/>
  <c r="Q349" i="2"/>
  <c r="P349" i="2"/>
  <c r="O349" i="2"/>
  <c r="Q345" i="2"/>
  <c r="P345" i="2"/>
  <c r="O345" i="2"/>
  <c r="Q340" i="2"/>
  <c r="Q342" i="2" s="1"/>
  <c r="P340" i="2"/>
  <c r="P342" i="2" s="1"/>
  <c r="O340" i="2"/>
  <c r="O342" i="2" s="1"/>
  <c r="O334" i="2"/>
  <c r="O333" i="2"/>
  <c r="O335" i="2" s="1"/>
  <c r="M331" i="2"/>
  <c r="Q311" i="2"/>
  <c r="P311" i="2"/>
  <c r="O311" i="2"/>
  <c r="R307" i="2"/>
  <c r="Q307" i="2"/>
  <c r="P307" i="2"/>
  <c r="O307" i="2"/>
  <c r="Q300" i="2"/>
  <c r="Q302" i="2" s="1"/>
  <c r="P300" i="2"/>
  <c r="P302" i="2" s="1"/>
  <c r="O300" i="2"/>
  <c r="O302" i="2" s="1"/>
  <c r="O294" i="2"/>
  <c r="O293" i="2"/>
  <c r="O295" i="2" s="1"/>
  <c r="M291" i="2"/>
  <c r="Q287" i="2"/>
  <c r="P287" i="2"/>
  <c r="O287" i="2"/>
  <c r="Q282" i="2"/>
  <c r="P282" i="2"/>
  <c r="O282" i="2"/>
  <c r="Q276" i="2"/>
  <c r="Q278" i="2" s="1"/>
  <c r="P276" i="2"/>
  <c r="P278" i="2" s="1"/>
  <c r="O276" i="2"/>
  <c r="O278" i="2" s="1"/>
  <c r="S290" i="2" s="1"/>
  <c r="O271" i="2"/>
  <c r="O270" i="2"/>
  <c r="O272" i="2" s="1"/>
  <c r="M270" i="2"/>
  <c r="Q255" i="2"/>
  <c r="P255" i="2"/>
  <c r="O255" i="2"/>
  <c r="Q252" i="2"/>
  <c r="P252" i="2"/>
  <c r="O252" i="2"/>
  <c r="Q247" i="2"/>
  <c r="Q249" i="2" s="1"/>
  <c r="P247" i="2"/>
  <c r="P249" i="2" s="1"/>
  <c r="T258" i="2" s="1"/>
  <c r="O247" i="2"/>
  <c r="O249" i="2" s="1"/>
  <c r="S258" i="2" s="1"/>
  <c r="O242" i="2"/>
  <c r="O241" i="2"/>
  <c r="O243" i="2" s="1"/>
  <c r="M240" i="2"/>
  <c r="R232" i="2"/>
  <c r="P232" i="2"/>
  <c r="O232" i="2"/>
  <c r="P227" i="2"/>
  <c r="O227" i="2"/>
  <c r="Q227" i="2" s="1"/>
  <c r="P220" i="2"/>
  <c r="P222" i="2" s="1"/>
  <c r="O220" i="2"/>
  <c r="O222" i="2" s="1"/>
  <c r="O215" i="2"/>
  <c r="O214" i="2"/>
  <c r="M213" i="2"/>
  <c r="Q195" i="2"/>
  <c r="P195" i="2"/>
  <c r="O195" i="2"/>
  <c r="Q191" i="2"/>
  <c r="P191" i="2"/>
  <c r="O191" i="2"/>
  <c r="Q185" i="2"/>
  <c r="Q187" i="2" s="1"/>
  <c r="P185" i="2"/>
  <c r="P187" i="2" s="1"/>
  <c r="O185" i="2"/>
  <c r="O187" i="2" s="1"/>
  <c r="O176" i="2"/>
  <c r="O175" i="2"/>
  <c r="O177" i="2" s="1"/>
  <c r="M173" i="2"/>
  <c r="Q150" i="2"/>
  <c r="P150" i="2"/>
  <c r="O150" i="2"/>
  <c r="Q146" i="2"/>
  <c r="P146" i="2"/>
  <c r="O146" i="2"/>
  <c r="Q141" i="2"/>
  <c r="Q143" i="2" s="1"/>
  <c r="P141" i="2"/>
  <c r="P143" i="2" s="1"/>
  <c r="O141" i="2"/>
  <c r="O143" i="2" s="1"/>
  <c r="O136" i="2"/>
  <c r="O135" i="2"/>
  <c r="O137" i="2" s="1"/>
  <c r="M133" i="2"/>
  <c r="Q124" i="2"/>
  <c r="P124" i="2"/>
  <c r="O124" i="2"/>
  <c r="Q120" i="2"/>
  <c r="P120" i="2"/>
  <c r="O120" i="2"/>
  <c r="Q115" i="2"/>
  <c r="Q117" i="2" s="1"/>
  <c r="P115" i="2"/>
  <c r="P117" i="2" s="1"/>
  <c r="O115" i="2"/>
  <c r="O117" i="2" s="1"/>
  <c r="O110" i="2"/>
  <c r="O109" i="2"/>
  <c r="O111" i="2" s="1"/>
  <c r="M108" i="2"/>
  <c r="P97" i="2"/>
  <c r="O97" i="2"/>
  <c r="Q96" i="2"/>
  <c r="Q97" i="2" s="1"/>
  <c r="Q95" i="2"/>
  <c r="P95" i="2"/>
  <c r="O95" i="2"/>
  <c r="P88" i="2"/>
  <c r="P91" i="2" s="1"/>
  <c r="O88" i="2"/>
  <c r="O91" i="2" s="1"/>
  <c r="Q87" i="2"/>
  <c r="Q88" i="2" s="1"/>
  <c r="Q91" i="2" s="1"/>
  <c r="O84" i="2"/>
  <c r="O83" i="2"/>
  <c r="O85" i="2" s="1"/>
  <c r="M82" i="2"/>
  <c r="P64" i="2"/>
  <c r="O64" i="2"/>
  <c r="Q63" i="2"/>
  <c r="Q64" i="2" s="1"/>
  <c r="Q59" i="2"/>
  <c r="P59" i="2"/>
  <c r="O59" i="2"/>
  <c r="P53" i="2"/>
  <c r="P55" i="2" s="1"/>
  <c r="O53" i="2"/>
  <c r="O55" i="2" s="1"/>
  <c r="S67" i="2" s="1"/>
  <c r="Q52" i="2"/>
  <c r="Q53" i="2" s="1"/>
  <c r="Q55" i="2" s="1"/>
  <c r="U67" i="2" s="1"/>
  <c r="O44" i="2"/>
  <c r="O43" i="2"/>
  <c r="O45" i="2" s="1"/>
  <c r="M42" i="2"/>
  <c r="P18" i="2"/>
  <c r="O18" i="2"/>
  <c r="Q17" i="2"/>
  <c r="Q18" i="2" s="1"/>
  <c r="Q13" i="2"/>
  <c r="P13" i="2"/>
  <c r="O13" i="2"/>
  <c r="Q8" i="2"/>
  <c r="Q10" i="2" s="1"/>
  <c r="P8" i="2"/>
  <c r="P10" i="2" s="1"/>
  <c r="O8" i="2"/>
  <c r="O10" i="2" s="1"/>
  <c r="S21" i="2" s="1"/>
  <c r="O4" i="2"/>
  <c r="O3" i="2"/>
  <c r="O5" i="2" s="1"/>
  <c r="M2" i="2"/>
  <c r="O21" i="6" l="1"/>
  <c r="Q30" i="6"/>
  <c r="Q52" i="6"/>
  <c r="O5" i="6"/>
  <c r="S30" i="6"/>
  <c r="R30" i="6"/>
  <c r="R52" i="6"/>
  <c r="S52" i="6"/>
  <c r="Q16" i="6"/>
  <c r="M59" i="6"/>
  <c r="R16" i="6"/>
  <c r="K62" i="6"/>
  <c r="R31" i="5"/>
  <c r="Q31" i="5"/>
  <c r="S31" i="5"/>
  <c r="M65" i="5"/>
  <c r="O5" i="5"/>
  <c r="Q58" i="5"/>
  <c r="R58" i="5"/>
  <c r="S58" i="5"/>
  <c r="S66" i="5" s="1"/>
  <c r="O51" i="5"/>
  <c r="Q17" i="5"/>
  <c r="Q66" i="5" s="1"/>
  <c r="T50" i="4"/>
  <c r="S8" i="4"/>
  <c r="T79" i="4"/>
  <c r="U50" i="4"/>
  <c r="O45" i="4"/>
  <c r="U79" i="4"/>
  <c r="O25" i="4"/>
  <c r="O20" i="4"/>
  <c r="S50" i="4"/>
  <c r="O74" i="4"/>
  <c r="P20" i="4"/>
  <c r="Q20" i="4"/>
  <c r="O124" i="4"/>
  <c r="S133" i="4"/>
  <c r="S9" i="4"/>
  <c r="M136" i="4"/>
  <c r="M137" i="4" s="1"/>
  <c r="O95" i="4"/>
  <c r="S100" i="4"/>
  <c r="O137" i="4" s="1"/>
  <c r="T100" i="4"/>
  <c r="P137" i="4" s="1"/>
  <c r="U100" i="4"/>
  <c r="S79" i="4"/>
  <c r="S9" i="3"/>
  <c r="O6" i="3"/>
  <c r="R30" i="3"/>
  <c r="S30" i="3"/>
  <c r="M100" i="3"/>
  <c r="R9" i="3"/>
  <c r="Q49" i="3"/>
  <c r="O45" i="3"/>
  <c r="Q98" i="3"/>
  <c r="R98" i="3"/>
  <c r="O79" i="3"/>
  <c r="Q39" i="3"/>
  <c r="S98" i="3"/>
  <c r="S101" i="3" s="1"/>
  <c r="O756" i="2"/>
  <c r="M1050" i="2"/>
  <c r="M1051" i="2" s="1"/>
  <c r="S352" i="2"/>
  <c r="S420" i="2"/>
  <c r="U770" i="2"/>
  <c r="S857" i="2"/>
  <c r="S896" i="2"/>
  <c r="U104" i="2"/>
  <c r="S153" i="2"/>
  <c r="S234" i="2"/>
  <c r="U290" i="2"/>
  <c r="T352" i="2"/>
  <c r="T420" i="2"/>
  <c r="T857" i="2"/>
  <c r="T896" i="2"/>
  <c r="T21" i="2"/>
  <c r="S104" i="2"/>
  <c r="S1051" i="2" s="1"/>
  <c r="T153" i="2"/>
  <c r="T234" i="2"/>
  <c r="U352" i="2"/>
  <c r="U420" i="2"/>
  <c r="U494" i="2"/>
  <c r="U857" i="2"/>
  <c r="U21" i="2"/>
  <c r="T104" i="2"/>
  <c r="U153" i="2"/>
  <c r="O616" i="2"/>
  <c r="O684" i="2"/>
  <c r="S697" i="2"/>
  <c r="S973" i="2"/>
  <c r="U562" i="2"/>
  <c r="T635" i="2"/>
  <c r="T697" i="2"/>
  <c r="T973" i="2"/>
  <c r="U635" i="2"/>
  <c r="U697" i="2"/>
  <c r="S751" i="2"/>
  <c r="O374" i="2"/>
  <c r="O436" i="2"/>
  <c r="T751" i="2"/>
  <c r="S793" i="2"/>
  <c r="O821" i="2"/>
  <c r="O864" i="2"/>
  <c r="U813" i="2"/>
  <c r="S197" i="2"/>
  <c r="T197" i="2"/>
  <c r="S1044" i="2"/>
  <c r="T455" i="2"/>
  <c r="O216" i="2"/>
  <c r="U933" i="2"/>
  <c r="Q232" i="2"/>
  <c r="U197" i="2"/>
  <c r="T313" i="2"/>
  <c r="T836" i="2"/>
  <c r="T875" i="2"/>
  <c r="T1044" i="2"/>
  <c r="T290" i="2"/>
  <c r="U896" i="2"/>
  <c r="T67" i="2"/>
  <c r="S127" i="2"/>
  <c r="U973" i="2"/>
  <c r="U127" i="2"/>
  <c r="S875" i="2"/>
  <c r="U313" i="2"/>
  <c r="S393" i="2"/>
  <c r="S562" i="2"/>
  <c r="U836" i="2"/>
  <c r="U875" i="2"/>
  <c r="U1044" i="2"/>
  <c r="O778" i="2"/>
  <c r="S660" i="2"/>
  <c r="U258" i="2"/>
  <c r="S313" i="2"/>
  <c r="S836" i="2"/>
  <c r="T127" i="2"/>
  <c r="T393" i="2"/>
  <c r="T562" i="2"/>
  <c r="O917" i="2"/>
  <c r="O633" i="2"/>
  <c r="S635" i="2"/>
  <c r="S61" i="6"/>
  <c r="Q101" i="3"/>
  <c r="R101" i="3"/>
  <c r="Q137" i="4"/>
  <c r="Q61" i="6"/>
  <c r="R66" i="5"/>
  <c r="R61" i="6"/>
  <c r="P633" i="2"/>
  <c r="Q633" i="2"/>
  <c r="Q220" i="2"/>
  <c r="Q222" i="2" s="1"/>
  <c r="O83" i="4"/>
  <c r="O4" i="4"/>
  <c r="S10" i="4" l="1"/>
  <c r="T1051" i="2"/>
  <c r="U234" i="2"/>
  <c r="U1051" i="2" s="1"/>
</calcChain>
</file>

<file path=xl/sharedStrings.xml><?xml version="1.0" encoding="utf-8"?>
<sst xmlns="http://schemas.openxmlformats.org/spreadsheetml/2006/main" count="5683" uniqueCount="854">
  <si>
    <t>순번</t>
    <phoneticPr fontId="5" type="noConversion"/>
  </si>
  <si>
    <t>과목
순번</t>
    <phoneticPr fontId="5" type="noConversion"/>
  </si>
  <si>
    <t>학년</t>
    <phoneticPr fontId="5" type="noConversion"/>
  </si>
  <si>
    <t>반</t>
    <phoneticPr fontId="6" type="noConversion"/>
  </si>
  <si>
    <t>번호</t>
    <phoneticPr fontId="6" type="noConversion"/>
  </si>
  <si>
    <t>이름</t>
    <phoneticPr fontId="5" type="noConversion"/>
  </si>
  <si>
    <t>꿈나무
구분</t>
    <phoneticPr fontId="5" type="noConversion"/>
  </si>
  <si>
    <t>특기적성부서</t>
    <phoneticPr fontId="5" type="noConversion"/>
  </si>
  <si>
    <t>3월수업
참여주수</t>
    <phoneticPr fontId="5" type="noConversion"/>
  </si>
  <si>
    <t>본인강사료
(3월)</t>
    <phoneticPr fontId="5" type="noConversion"/>
  </si>
  <si>
    <t>자유수강권
지원금(3월)</t>
    <phoneticPr fontId="5" type="noConversion"/>
  </si>
  <si>
    <t>수용비</t>
    <phoneticPr fontId="6" type="noConversion"/>
  </si>
  <si>
    <t>강사비 총액</t>
    <phoneticPr fontId="6" type="noConversion"/>
  </si>
  <si>
    <t>정예설</t>
  </si>
  <si>
    <t>유상</t>
  </si>
  <si>
    <t>요리 A반(금)</t>
  </si>
  <si>
    <t>3주</t>
    <phoneticPr fontId="6" type="noConversion"/>
  </si>
  <si>
    <t>송지민</t>
  </si>
  <si>
    <t>전지율</t>
  </si>
  <si>
    <t>권륜희</t>
  </si>
  <si>
    <t>조예은</t>
  </si>
  <si>
    <t>2주</t>
    <phoneticPr fontId="6" type="noConversion"/>
  </si>
  <si>
    <t>김연재</t>
  </si>
  <si>
    <t>오지훈</t>
  </si>
  <si>
    <t>김지온</t>
  </si>
  <si>
    <t>이채원</t>
  </si>
  <si>
    <t>박서연</t>
  </si>
  <si>
    <t>김유주</t>
  </si>
  <si>
    <t>박소연</t>
  </si>
  <si>
    <t>권서윤</t>
  </si>
  <si>
    <t>김태민</t>
  </si>
  <si>
    <t>손예원</t>
  </si>
  <si>
    <t>손서율</t>
  </si>
  <si>
    <t>전혜인</t>
  </si>
  <si>
    <t>배서현</t>
  </si>
  <si>
    <t>정예봄</t>
  </si>
  <si>
    <t>김세인</t>
  </si>
  <si>
    <t>안은수</t>
  </si>
  <si>
    <t>요리 B반(금)</t>
  </si>
  <si>
    <t>오유주</t>
  </si>
  <si>
    <t>박찬정</t>
  </si>
  <si>
    <t>강민재</t>
  </si>
  <si>
    <t>이준혁</t>
  </si>
  <si>
    <t>이서하</t>
  </si>
  <si>
    <t>이준서</t>
  </si>
  <si>
    <t>정서희</t>
  </si>
  <si>
    <t>김다원</t>
  </si>
  <si>
    <t>이정연</t>
  </si>
  <si>
    <t>정세인</t>
  </si>
  <si>
    <t>김서현</t>
  </si>
  <si>
    <t>하지원</t>
  </si>
  <si>
    <t>박수환</t>
  </si>
  <si>
    <t>백지우</t>
  </si>
  <si>
    <t>최유림</t>
  </si>
  <si>
    <t>박성하</t>
  </si>
  <si>
    <t>한승우</t>
  </si>
  <si>
    <t>이민준</t>
  </si>
  <si>
    <t>김혜원</t>
  </si>
  <si>
    <t>김재윤</t>
  </si>
  <si>
    <t>바둑 A반(금)</t>
  </si>
  <si>
    <t>4주</t>
    <phoneticPr fontId="6" type="noConversion"/>
  </si>
  <si>
    <t>박정우</t>
  </si>
  <si>
    <t>김한준</t>
  </si>
  <si>
    <t>허진우</t>
  </si>
  <si>
    <t>박신후</t>
  </si>
  <si>
    <t>오유진</t>
  </si>
  <si>
    <t>이하윤</t>
  </si>
  <si>
    <t>오재민</t>
  </si>
  <si>
    <t>편성요</t>
  </si>
  <si>
    <t>백승현</t>
  </si>
  <si>
    <t>박재윤</t>
  </si>
  <si>
    <t>조한결</t>
  </si>
  <si>
    <t>김지오</t>
  </si>
  <si>
    <t>우지율</t>
  </si>
  <si>
    <t>곽시후</t>
  </si>
  <si>
    <t>박해신</t>
  </si>
  <si>
    <t>신연지</t>
  </si>
  <si>
    <t>이찬호</t>
  </si>
  <si>
    <t>서다인</t>
  </si>
  <si>
    <t>백승민</t>
  </si>
  <si>
    <t>김찬성</t>
  </si>
  <si>
    <t>바둑 B반(금)</t>
  </si>
  <si>
    <t>성다은</t>
  </si>
  <si>
    <t>서다희</t>
  </si>
  <si>
    <t>최상우</t>
  </si>
  <si>
    <t>최상현</t>
  </si>
  <si>
    <t>성지후</t>
  </si>
  <si>
    <t>이예린</t>
  </si>
  <si>
    <t>양다인</t>
  </si>
  <si>
    <t>최자영</t>
  </si>
  <si>
    <t>김주원</t>
  </si>
  <si>
    <t>공윤우</t>
  </si>
  <si>
    <t>유정현</t>
  </si>
  <si>
    <t>김도운</t>
  </si>
  <si>
    <t>김성현</t>
  </si>
  <si>
    <t>양민하</t>
  </si>
  <si>
    <t>정승환</t>
  </si>
  <si>
    <t>김동연</t>
  </si>
  <si>
    <t>김하경</t>
  </si>
  <si>
    <t>최재훈</t>
  </si>
  <si>
    <t>김경종</t>
  </si>
  <si>
    <t>안시훈</t>
  </si>
  <si>
    <t>창의수학 A반(금)</t>
  </si>
  <si>
    <t>이서연</t>
  </si>
  <si>
    <t>경지오</t>
  </si>
  <si>
    <t>이다경</t>
  </si>
  <si>
    <t>이민우</t>
  </si>
  <si>
    <t>김아현</t>
  </si>
  <si>
    <t>정우진</t>
  </si>
  <si>
    <t>김하연</t>
  </si>
  <si>
    <t>이수민</t>
  </si>
  <si>
    <t>이승후</t>
  </si>
  <si>
    <t>김초은</t>
  </si>
  <si>
    <t>류태현</t>
  </si>
  <si>
    <t>이소은</t>
  </si>
  <si>
    <t>조은</t>
  </si>
  <si>
    <t>박정환</t>
  </si>
  <si>
    <t>한재훈</t>
  </si>
  <si>
    <t>김주해</t>
  </si>
  <si>
    <t>오현아</t>
  </si>
  <si>
    <t>김시현</t>
  </si>
  <si>
    <t>김채아</t>
  </si>
  <si>
    <t>창의수학 B반(금)</t>
  </si>
  <si>
    <t>김민준</t>
  </si>
  <si>
    <t>박시현</t>
  </si>
  <si>
    <t>강서진</t>
  </si>
  <si>
    <t>배연우</t>
  </si>
  <si>
    <t>장하윤</t>
  </si>
  <si>
    <t>최정민</t>
  </si>
  <si>
    <t>영재큐브 A반(금)</t>
  </si>
  <si>
    <t>도유준</t>
  </si>
  <si>
    <t>정진하</t>
  </si>
  <si>
    <t>배서은</t>
  </si>
  <si>
    <t>이윤채</t>
  </si>
  <si>
    <t>전소윤</t>
  </si>
  <si>
    <t>최서원</t>
  </si>
  <si>
    <t>한재윤</t>
  </si>
  <si>
    <t>문시우</t>
  </si>
  <si>
    <t>강동현</t>
  </si>
  <si>
    <t>김민건</t>
  </si>
  <si>
    <t>박지용</t>
  </si>
  <si>
    <t>심채원</t>
  </si>
  <si>
    <t>이지민</t>
  </si>
  <si>
    <t>김민재</t>
  </si>
  <si>
    <t>서정우</t>
  </si>
  <si>
    <t>영재큐브 B반(금)</t>
  </si>
  <si>
    <t>양태이</t>
  </si>
  <si>
    <t>김강민</t>
  </si>
  <si>
    <t>이유민</t>
  </si>
  <si>
    <t>정현우</t>
  </si>
  <si>
    <t>우성준</t>
  </si>
  <si>
    <t>한창윤</t>
  </si>
  <si>
    <t>구윤우</t>
  </si>
  <si>
    <t>드론항공과학 A반(월)</t>
  </si>
  <si>
    <t>이우석</t>
  </si>
  <si>
    <t>이유주</t>
  </si>
  <si>
    <t>우성찬</t>
  </si>
  <si>
    <t>김범수</t>
  </si>
  <si>
    <t>고태윤</t>
  </si>
  <si>
    <t>김수지</t>
  </si>
  <si>
    <t>신민호</t>
  </si>
  <si>
    <t>권도윤</t>
  </si>
  <si>
    <t>한민우</t>
  </si>
  <si>
    <t>박지원</t>
  </si>
  <si>
    <t>장준혁</t>
  </si>
  <si>
    <t>하선우</t>
  </si>
  <si>
    <t>김태완</t>
  </si>
  <si>
    <t>김동휘</t>
  </si>
  <si>
    <t>김호중</t>
  </si>
  <si>
    <t>송지윤</t>
  </si>
  <si>
    <t>드론항공과학 B반(월)</t>
  </si>
  <si>
    <t>임재원</t>
  </si>
  <si>
    <t>최예준</t>
  </si>
  <si>
    <t>장원혁</t>
  </si>
  <si>
    <t>자유수</t>
  </si>
  <si>
    <t>김혜빈</t>
  </si>
  <si>
    <t>이시윤</t>
  </si>
  <si>
    <t>김준수</t>
  </si>
  <si>
    <t>정서연</t>
  </si>
  <si>
    <t>백주원</t>
  </si>
  <si>
    <t>박용진</t>
  </si>
  <si>
    <t>홍성민</t>
  </si>
  <si>
    <t>박선율</t>
  </si>
  <si>
    <t>김현수</t>
  </si>
  <si>
    <t>백인우</t>
  </si>
  <si>
    <t>창의미술 A반(월)</t>
  </si>
  <si>
    <t>정이한</t>
  </si>
  <si>
    <t>김시후</t>
  </si>
  <si>
    <t>류아정</t>
  </si>
  <si>
    <t>김하준</t>
  </si>
  <si>
    <t>백지완</t>
  </si>
  <si>
    <t>조예준</t>
  </si>
  <si>
    <t>김한별</t>
  </si>
  <si>
    <t>박주형</t>
  </si>
  <si>
    <t>이하민</t>
  </si>
  <si>
    <t>최우진</t>
  </si>
  <si>
    <t>최한을</t>
  </si>
  <si>
    <t>이선우</t>
  </si>
  <si>
    <t>나은수</t>
  </si>
  <si>
    <t>창의미술 B반(월)</t>
  </si>
  <si>
    <t>유주아</t>
  </si>
  <si>
    <t>김시연</t>
  </si>
  <si>
    <t>안리나</t>
  </si>
  <si>
    <t>이소율</t>
  </si>
  <si>
    <t>박민</t>
  </si>
  <si>
    <t>박정음</t>
  </si>
  <si>
    <t>박훈</t>
  </si>
  <si>
    <t>석아현</t>
  </si>
  <si>
    <t>조은결</t>
  </si>
  <si>
    <t>정지율</t>
  </si>
  <si>
    <t>김도유</t>
  </si>
  <si>
    <t>김근후</t>
  </si>
  <si>
    <t>김민기</t>
  </si>
  <si>
    <t>바이올린 A반(월)</t>
  </si>
  <si>
    <t>이지호</t>
  </si>
  <si>
    <t>정윤슬</t>
  </si>
  <si>
    <t>조소미</t>
  </si>
  <si>
    <t>인지은</t>
  </si>
  <si>
    <t>강주하</t>
  </si>
  <si>
    <t>이예준</t>
  </si>
  <si>
    <t>전승우</t>
  </si>
  <si>
    <t>김규아</t>
  </si>
  <si>
    <t>이다빈</t>
  </si>
  <si>
    <t>이다혜</t>
  </si>
  <si>
    <t>바이올린 B반(월)</t>
  </si>
  <si>
    <t>박연아</t>
  </si>
  <si>
    <t>김재율</t>
  </si>
  <si>
    <t>박세은</t>
  </si>
  <si>
    <t>이지우</t>
  </si>
  <si>
    <t>허아린</t>
  </si>
  <si>
    <t>안서윤</t>
  </si>
  <si>
    <t>김태윤</t>
  </si>
  <si>
    <t>안서준</t>
  </si>
  <si>
    <t>김지연</t>
  </si>
  <si>
    <t>이승준</t>
  </si>
  <si>
    <t>오승아</t>
  </si>
  <si>
    <t>한국사 A반(월)</t>
  </si>
  <si>
    <t>양수빈</t>
  </si>
  <si>
    <t>조윤해</t>
  </si>
  <si>
    <t>강채아</t>
  </si>
  <si>
    <t>전지우</t>
  </si>
  <si>
    <t>최유진</t>
  </si>
  <si>
    <t>윤지은</t>
  </si>
  <si>
    <t>김태양</t>
  </si>
  <si>
    <t>김태희</t>
  </si>
  <si>
    <t>박다현</t>
  </si>
  <si>
    <t>황예린</t>
  </si>
  <si>
    <t>백주아</t>
  </si>
  <si>
    <t>박소언</t>
  </si>
  <si>
    <t>김성민</t>
  </si>
  <si>
    <t>한국사 B반(월)</t>
  </si>
  <si>
    <t>진우혁</t>
  </si>
  <si>
    <t>김현준</t>
  </si>
  <si>
    <t>정지원</t>
  </si>
  <si>
    <t>김규연</t>
  </si>
  <si>
    <t>김단우</t>
  </si>
  <si>
    <t>성유빈</t>
  </si>
  <si>
    <t>이담희</t>
  </si>
  <si>
    <t>지아인</t>
  </si>
  <si>
    <t>심건우</t>
  </si>
  <si>
    <t>장하성</t>
  </si>
  <si>
    <t>김동유</t>
  </si>
  <si>
    <t>김민균</t>
  </si>
  <si>
    <t>배드민턴 A반(월)</t>
  </si>
  <si>
    <t>김동후</t>
  </si>
  <si>
    <t>양지훈</t>
  </si>
  <si>
    <t>류주하</t>
  </si>
  <si>
    <t>천혜림</t>
  </si>
  <si>
    <t>오로라</t>
  </si>
  <si>
    <t>이정준</t>
  </si>
  <si>
    <t>이석호</t>
  </si>
  <si>
    <t>최재형</t>
  </si>
  <si>
    <t>김민찬</t>
  </si>
  <si>
    <t>김재민</t>
  </si>
  <si>
    <t>구시우</t>
  </si>
  <si>
    <t>박윤서</t>
  </si>
  <si>
    <t>김미성</t>
  </si>
  <si>
    <t>원예승</t>
  </si>
  <si>
    <t>공태희</t>
  </si>
  <si>
    <t>변정훈</t>
  </si>
  <si>
    <t>3D스팀펜 A반(화)</t>
  </si>
  <si>
    <t>3D스팀펜 A반(화)</t>
    <phoneticPr fontId="6" type="noConversion"/>
  </si>
  <si>
    <t>민지유</t>
  </si>
  <si>
    <t>김태인</t>
  </si>
  <si>
    <t>배예나</t>
  </si>
  <si>
    <t>조재현</t>
  </si>
  <si>
    <t>김정원</t>
  </si>
  <si>
    <t>한채연</t>
  </si>
  <si>
    <t>임채윤</t>
  </si>
  <si>
    <t>이도경</t>
  </si>
  <si>
    <t>이서준</t>
  </si>
  <si>
    <t>3D스팀펜 B반(화)</t>
  </si>
  <si>
    <t>조하윤</t>
  </si>
  <si>
    <t>오아현</t>
  </si>
  <si>
    <t>원예성</t>
  </si>
  <si>
    <t>노효주</t>
  </si>
  <si>
    <t>1주</t>
    <phoneticPr fontId="6" type="noConversion"/>
  </si>
  <si>
    <t>김예빈</t>
  </si>
  <si>
    <t>김지원</t>
  </si>
  <si>
    <t>정현태</t>
  </si>
  <si>
    <t>장윤서</t>
  </si>
  <si>
    <t>황민호</t>
  </si>
  <si>
    <t>곽준우</t>
  </si>
  <si>
    <t>주산암산 A반(화)</t>
  </si>
  <si>
    <t>이예서</t>
  </si>
  <si>
    <t>최서인</t>
  </si>
  <si>
    <t>최은지</t>
  </si>
  <si>
    <t>박헌재</t>
  </si>
  <si>
    <t>주산암산 A반(화)</t>
    <phoneticPr fontId="6" type="noConversion"/>
  </si>
  <si>
    <t>김두연</t>
  </si>
  <si>
    <t>양은준</t>
  </si>
  <si>
    <t>정윤찬</t>
  </si>
  <si>
    <t>김지민</t>
  </si>
  <si>
    <t>성지훈</t>
  </si>
  <si>
    <t>최서준</t>
  </si>
  <si>
    <t>주산암산 B반(화)</t>
  </si>
  <si>
    <t>임수지</t>
  </si>
  <si>
    <t>신정헌</t>
  </si>
  <si>
    <t>이종우</t>
  </si>
  <si>
    <t>인우진</t>
  </si>
  <si>
    <t>마재영</t>
  </si>
  <si>
    <t>김채환</t>
  </si>
  <si>
    <t>유현승</t>
  </si>
  <si>
    <t>이호준</t>
  </si>
  <si>
    <t>우지완</t>
  </si>
  <si>
    <t>명품수학 A반(화/목)</t>
  </si>
  <si>
    <t>3차시</t>
    <phoneticPr fontId="6" type="noConversion"/>
  </si>
  <si>
    <t>5차시</t>
    <phoneticPr fontId="6" type="noConversion"/>
  </si>
  <si>
    <t>6차시</t>
    <phoneticPr fontId="6" type="noConversion"/>
  </si>
  <si>
    <t>곽준빈</t>
  </si>
  <si>
    <t>4차시</t>
    <phoneticPr fontId="6" type="noConversion"/>
  </si>
  <si>
    <t>명품수학 B반(화/목)</t>
  </si>
  <si>
    <t>송지인</t>
  </si>
  <si>
    <t>명품수학 B반(화/목)</t>
    <phoneticPr fontId="6" type="noConversion"/>
  </si>
  <si>
    <t>오현서</t>
  </si>
  <si>
    <t>이소휘</t>
  </si>
  <si>
    <t>강민서</t>
  </si>
  <si>
    <t>강다연</t>
  </si>
  <si>
    <t>양다인</t>
    <phoneticPr fontId="6" type="noConversion"/>
  </si>
  <si>
    <t>어지민</t>
  </si>
  <si>
    <t>이정민</t>
  </si>
  <si>
    <t>이하임</t>
  </si>
  <si>
    <t>윤성환</t>
  </si>
  <si>
    <t>도예찬</t>
  </si>
  <si>
    <t>백차윤</t>
  </si>
  <si>
    <t>김다해</t>
  </si>
  <si>
    <t>명품수학 C반(화/목)</t>
  </si>
  <si>
    <t>김온유</t>
  </si>
  <si>
    <t>어유민</t>
  </si>
  <si>
    <t>진하민</t>
  </si>
  <si>
    <t>프라모델 A반(화)</t>
  </si>
  <si>
    <t>이우빈</t>
  </si>
  <si>
    <t>이경민</t>
  </si>
  <si>
    <t>한준희</t>
  </si>
  <si>
    <t>고민찬</t>
  </si>
  <si>
    <t>황윤오</t>
  </si>
  <si>
    <t>서수현</t>
  </si>
  <si>
    <t>김경민</t>
  </si>
  <si>
    <t>프라모델 A반(화)</t>
    <phoneticPr fontId="6" type="noConversion"/>
  </si>
  <si>
    <t>신민준</t>
  </si>
  <si>
    <t>조영호</t>
  </si>
  <si>
    <t>이완희</t>
  </si>
  <si>
    <t>최민준</t>
  </si>
  <si>
    <t>프라모델 B반(화)</t>
  </si>
  <si>
    <t>박준하</t>
  </si>
  <si>
    <t>최현영</t>
  </si>
  <si>
    <t>김은세</t>
  </si>
  <si>
    <t>권도현</t>
  </si>
  <si>
    <t>양현준</t>
  </si>
  <si>
    <t>정민준</t>
  </si>
  <si>
    <t>메타스쿨 A반(화)</t>
  </si>
  <si>
    <t>장유경</t>
  </si>
  <si>
    <t>전태경</t>
  </si>
  <si>
    <t>문지현</t>
  </si>
  <si>
    <t>윤시우</t>
  </si>
  <si>
    <t>임선우</t>
  </si>
  <si>
    <t>메타스쿨 A반(화)</t>
    <phoneticPr fontId="6" type="noConversion"/>
  </si>
  <si>
    <t>이준규</t>
  </si>
  <si>
    <t>김설아</t>
  </si>
  <si>
    <t>서채운</t>
  </si>
  <si>
    <t>신현진</t>
  </si>
  <si>
    <t>조예린</t>
  </si>
  <si>
    <t>메타스쿨 B반(화)</t>
  </si>
  <si>
    <t>황효건</t>
  </si>
  <si>
    <t>서민교</t>
  </si>
  <si>
    <t>윤정민</t>
  </si>
  <si>
    <t>김보현</t>
  </si>
  <si>
    <t>한지유</t>
  </si>
  <si>
    <t>김성주</t>
  </si>
  <si>
    <t>이현서</t>
  </si>
  <si>
    <t>고민서</t>
  </si>
  <si>
    <t>정우현</t>
  </si>
  <si>
    <t>강민우</t>
  </si>
  <si>
    <t>서율</t>
  </si>
  <si>
    <t>조혜민</t>
  </si>
  <si>
    <t>심성민</t>
  </si>
  <si>
    <t>스마트레고블록 A반(수)</t>
  </si>
  <si>
    <t>스마트레고블록 A반(수)</t>
    <phoneticPr fontId="6" type="noConversion"/>
  </si>
  <si>
    <t>이윤서</t>
  </si>
  <si>
    <t>박태현</t>
  </si>
  <si>
    <t>김이안</t>
  </si>
  <si>
    <t>차승아</t>
  </si>
  <si>
    <t>안우진</t>
  </si>
  <si>
    <t>김기준</t>
  </si>
  <si>
    <t>남승주</t>
  </si>
  <si>
    <t>스마트레고블록 B반(수)</t>
  </si>
  <si>
    <t>박시율</t>
  </si>
  <si>
    <t>권제민</t>
  </si>
  <si>
    <t>박주하</t>
  </si>
  <si>
    <t>정혜윤</t>
  </si>
  <si>
    <t>윤다혜</t>
  </si>
  <si>
    <t>백인준</t>
  </si>
  <si>
    <t>김성준</t>
  </si>
  <si>
    <t>이야기논술 A반(수)</t>
  </si>
  <si>
    <t>황예나</t>
  </si>
  <si>
    <t>이야기논술 A반(수)</t>
    <phoneticPr fontId="6" type="noConversion"/>
  </si>
  <si>
    <t>강사료 자유수강권으로 변경</t>
    <phoneticPr fontId="6" type="noConversion"/>
  </si>
  <si>
    <t>이초원</t>
  </si>
  <si>
    <t>김에스더</t>
  </si>
  <si>
    <t>최정원</t>
  </si>
  <si>
    <t>이야기논술 B반(수)</t>
  </si>
  <si>
    <t>전승후</t>
  </si>
  <si>
    <t>김경준</t>
  </si>
  <si>
    <t>조형호</t>
  </si>
  <si>
    <t>토탈공예 A반(수)</t>
  </si>
  <si>
    <t>정채이</t>
  </si>
  <si>
    <t>장한결</t>
  </si>
  <si>
    <t>송지우</t>
  </si>
  <si>
    <t>박서윤</t>
  </si>
  <si>
    <t>조하은</t>
  </si>
  <si>
    <t>토탈공예 A반(수)</t>
    <phoneticPr fontId="6" type="noConversion"/>
  </si>
  <si>
    <t>한나경</t>
  </si>
  <si>
    <t>장문경</t>
  </si>
  <si>
    <t>백가현</t>
  </si>
  <si>
    <t>최다은</t>
  </si>
  <si>
    <t>이시현</t>
  </si>
  <si>
    <t>토탈공예 B반(수)</t>
  </si>
  <si>
    <t>장다윤</t>
  </si>
  <si>
    <t>조윤아</t>
  </si>
  <si>
    <t>김지안</t>
  </si>
  <si>
    <t>표수하</t>
  </si>
  <si>
    <t>최서아</t>
  </si>
  <si>
    <t>배리아</t>
  </si>
  <si>
    <t>이하선</t>
  </si>
  <si>
    <t>최지우</t>
  </si>
  <si>
    <t>이시은</t>
  </si>
  <si>
    <t>음악줄넘기 A반(수)</t>
  </si>
  <si>
    <t>김준우</t>
  </si>
  <si>
    <t>송정범</t>
  </si>
  <si>
    <t>권다은</t>
  </si>
  <si>
    <t>음악줄넘기 A반(수)</t>
    <phoneticPr fontId="6" type="noConversion"/>
  </si>
  <si>
    <t>정서윤</t>
  </si>
  <si>
    <t>정서현</t>
  </si>
  <si>
    <t>신승민</t>
  </si>
  <si>
    <t>신승아</t>
  </si>
  <si>
    <t>최도영</t>
  </si>
  <si>
    <t>박서율</t>
  </si>
  <si>
    <t>서민재</t>
  </si>
  <si>
    <t>은지안</t>
  </si>
  <si>
    <t>도희서</t>
  </si>
  <si>
    <t>음악줄넘기 B반(수)</t>
  </si>
  <si>
    <t>강하윤</t>
  </si>
  <si>
    <t>박성현</t>
  </si>
  <si>
    <t>윤재이</t>
  </si>
  <si>
    <t>지윤찬</t>
  </si>
  <si>
    <t>박주현</t>
  </si>
  <si>
    <t>박봄</t>
  </si>
  <si>
    <t>백소애</t>
  </si>
  <si>
    <t>백서현</t>
  </si>
  <si>
    <t>김민지</t>
  </si>
  <si>
    <t>한자 A반(수)</t>
  </si>
  <si>
    <t>최하윤</t>
  </si>
  <si>
    <t>한자 A반(수)</t>
    <phoneticPr fontId="6" type="noConversion"/>
  </si>
  <si>
    <t>서정후</t>
  </si>
  <si>
    <t>진이산</t>
  </si>
  <si>
    <t>김민석</t>
  </si>
  <si>
    <t>한자 B반(수)</t>
  </si>
  <si>
    <t>이대한</t>
  </si>
  <si>
    <t>김민서</t>
  </si>
  <si>
    <t>웹툰교실 A반(수)</t>
  </si>
  <si>
    <t>웹툰교실 A반(수)</t>
    <phoneticPr fontId="6" type="noConversion"/>
  </si>
  <si>
    <t>유준서</t>
  </si>
  <si>
    <t>유주원</t>
  </si>
  <si>
    <t>류아인</t>
  </si>
  <si>
    <t>박지성</t>
  </si>
  <si>
    <t>웹툰교실 B반(수)</t>
  </si>
  <si>
    <t>박지민</t>
  </si>
  <si>
    <t>이윤지</t>
  </si>
  <si>
    <t>석아인</t>
  </si>
  <si>
    <t>박윤아</t>
  </si>
  <si>
    <t>함소율</t>
  </si>
  <si>
    <t>김하진</t>
  </si>
  <si>
    <t>정세린</t>
  </si>
  <si>
    <t>하주원</t>
  </si>
  <si>
    <t>박지후</t>
  </si>
  <si>
    <t>어유민</t>
    <phoneticPr fontId="6" type="noConversion"/>
  </si>
  <si>
    <t>황효빈</t>
  </si>
  <si>
    <t>지선율</t>
  </si>
  <si>
    <t>우쿨렐레 A반(수)</t>
  </si>
  <si>
    <t>양서율</t>
  </si>
  <si>
    <t>윤예준</t>
  </si>
  <si>
    <t>채솔</t>
  </si>
  <si>
    <t>김영민</t>
  </si>
  <si>
    <t>이도연</t>
  </si>
  <si>
    <t>정민경</t>
  </si>
  <si>
    <t>우쿨렐레 A반(수)</t>
    <phoneticPr fontId="6" type="noConversion"/>
  </si>
  <si>
    <t>김소율</t>
  </si>
  <si>
    <t>라소을</t>
  </si>
  <si>
    <t>우쿨렐레 B반(수)</t>
  </si>
  <si>
    <t>김민영</t>
  </si>
  <si>
    <t>김선민</t>
  </si>
  <si>
    <t>실험과학 A반(월)</t>
  </si>
  <si>
    <t>실험과학 A반(월)</t>
    <phoneticPr fontId="6" type="noConversion"/>
  </si>
  <si>
    <t>이정원</t>
  </si>
  <si>
    <t>민지원</t>
  </si>
  <si>
    <t>김윤호</t>
  </si>
  <si>
    <t>남승우</t>
  </si>
  <si>
    <t>조하린</t>
  </si>
  <si>
    <t>이하진</t>
  </si>
  <si>
    <t>송찬영</t>
  </si>
  <si>
    <t>김채연</t>
  </si>
  <si>
    <t>실험과학 B반(월)</t>
  </si>
  <si>
    <t>최민서</t>
  </si>
  <si>
    <t>김서준</t>
  </si>
  <si>
    <t>정진서</t>
  </si>
  <si>
    <t>홍하엘</t>
  </si>
  <si>
    <t>전해솔</t>
  </si>
  <si>
    <t>정윤호</t>
  </si>
  <si>
    <t>강래원</t>
  </si>
  <si>
    <t>실험과학 C반(수)</t>
  </si>
  <si>
    <t>유환</t>
  </si>
  <si>
    <t>이지안</t>
  </si>
  <si>
    <t>실험과학 C반(수)</t>
    <phoneticPr fontId="6" type="noConversion"/>
  </si>
  <si>
    <t>정하은</t>
  </si>
  <si>
    <t>곽승우</t>
  </si>
  <si>
    <t>양승아</t>
  </si>
  <si>
    <t>권정우</t>
  </si>
  <si>
    <t>김재희</t>
  </si>
  <si>
    <t>이지원</t>
  </si>
  <si>
    <t>김소희</t>
  </si>
  <si>
    <t>김혜민</t>
  </si>
  <si>
    <t>아침농구 A반(월/목)</t>
    <phoneticPr fontId="6" type="noConversion"/>
  </si>
  <si>
    <t>7차시</t>
    <phoneticPr fontId="6" type="noConversion"/>
  </si>
  <si>
    <t>김소은</t>
  </si>
  <si>
    <t>아침농구 A반(월/목)</t>
  </si>
  <si>
    <t>8차시</t>
    <phoneticPr fontId="6" type="noConversion"/>
  </si>
  <si>
    <t>김승훈</t>
  </si>
  <si>
    <t>이유준</t>
  </si>
  <si>
    <t>김승현</t>
  </si>
  <si>
    <t>윤서은</t>
  </si>
  <si>
    <t>장도윤</t>
  </si>
  <si>
    <t>장우진</t>
  </si>
  <si>
    <t>박범수</t>
  </si>
  <si>
    <t>권희연</t>
  </si>
  <si>
    <t>임윤슬</t>
  </si>
  <si>
    <t>김도훈</t>
  </si>
  <si>
    <t>전수아</t>
  </si>
  <si>
    <t>홍지연</t>
  </si>
  <si>
    <t>김예준</t>
  </si>
  <si>
    <t>이윤성</t>
  </si>
  <si>
    <t>권도훈</t>
  </si>
  <si>
    <t>농구 B반(목)</t>
  </si>
  <si>
    <t>농구 B반(목)</t>
    <phoneticPr fontId="6" type="noConversion"/>
  </si>
  <si>
    <t>서민규</t>
  </si>
  <si>
    <t>송도율</t>
  </si>
  <si>
    <t>최주원</t>
  </si>
  <si>
    <t>정채우</t>
  </si>
  <si>
    <t>고서진</t>
  </si>
  <si>
    <t>김윤오</t>
  </si>
  <si>
    <t>정세윤</t>
  </si>
  <si>
    <t>김준서</t>
  </si>
  <si>
    <t>박도윤</t>
  </si>
  <si>
    <t>고서빈</t>
  </si>
  <si>
    <t>아침축구 C반(화/목)</t>
    <phoneticPr fontId="6" type="noConversion"/>
  </si>
  <si>
    <t>아침축구 C반(화/목)</t>
  </si>
  <si>
    <t>신지호</t>
  </si>
  <si>
    <t>김도현</t>
  </si>
  <si>
    <t>정주한</t>
  </si>
  <si>
    <t>정윤제</t>
  </si>
  <si>
    <t>서윤재</t>
  </si>
  <si>
    <t>아침축구 D반(수/금)</t>
  </si>
  <si>
    <t>황인준</t>
  </si>
  <si>
    <t>황다현</t>
  </si>
  <si>
    <t>김영진</t>
  </si>
  <si>
    <t>오예준</t>
  </si>
  <si>
    <t>홍영현</t>
  </si>
  <si>
    <t>아침축구 D반(수/금)</t>
    <phoneticPr fontId="6" type="noConversion"/>
  </si>
  <si>
    <t>강주한</t>
  </si>
  <si>
    <t>최도현</t>
  </si>
  <si>
    <t>박준한</t>
  </si>
  <si>
    <t>서민수</t>
  </si>
  <si>
    <t>축구 A반(월)</t>
  </si>
  <si>
    <t>축구 A반(월)</t>
    <phoneticPr fontId="6" type="noConversion"/>
  </si>
  <si>
    <t>나현</t>
  </si>
  <si>
    <t>주서진</t>
  </si>
  <si>
    <t>박윤우</t>
  </si>
  <si>
    <t>김동헌</t>
  </si>
  <si>
    <t>김하람</t>
  </si>
  <si>
    <t>축구 B반(금)</t>
  </si>
  <si>
    <t>김유찬</t>
  </si>
  <si>
    <t>이지후</t>
  </si>
  <si>
    <t>축구 B반(금)</t>
    <phoneticPr fontId="6" type="noConversion"/>
  </si>
  <si>
    <t>김진영</t>
  </si>
  <si>
    <t>손지후</t>
  </si>
  <si>
    <t>황우진</t>
  </si>
  <si>
    <t>로봇과학 A반(목)</t>
  </si>
  <si>
    <t>신희재</t>
  </si>
  <si>
    <t>김나희</t>
  </si>
  <si>
    <t>정선우</t>
  </si>
  <si>
    <t>박성재</t>
  </si>
  <si>
    <t>로봇과학 A반(목)</t>
    <phoneticPr fontId="6" type="noConversion"/>
  </si>
  <si>
    <t>배하율</t>
  </si>
  <si>
    <t>로봇과학 B반(목)</t>
  </si>
  <si>
    <t>김윤표</t>
  </si>
  <si>
    <t>문태준</t>
  </si>
  <si>
    <t>조정현</t>
  </si>
  <si>
    <t>김산</t>
  </si>
  <si>
    <t>김제현</t>
  </si>
  <si>
    <t>임채율</t>
  </si>
  <si>
    <t>최지훈</t>
  </si>
  <si>
    <t>클레이&amp;미니어처 A반(목)</t>
  </si>
  <si>
    <t>이서현</t>
  </si>
  <si>
    <t>홍우진</t>
  </si>
  <si>
    <t>김예인</t>
  </si>
  <si>
    <t>김솔</t>
  </si>
  <si>
    <t>백보나</t>
  </si>
  <si>
    <t>클레이&amp;미니어처 A반(목)</t>
    <phoneticPr fontId="6" type="noConversion"/>
  </si>
  <si>
    <t>클레이&amp;미니어처 B반(목)</t>
  </si>
  <si>
    <t>백효진</t>
  </si>
  <si>
    <t>김현서</t>
  </si>
  <si>
    <t>진하은</t>
  </si>
  <si>
    <t>김규현</t>
  </si>
  <si>
    <t>권예린</t>
  </si>
  <si>
    <t>남윤주</t>
  </si>
  <si>
    <t>생명과학 A반(목)</t>
  </si>
  <si>
    <t>생명과학 A반(목)</t>
    <phoneticPr fontId="6" type="noConversion"/>
  </si>
  <si>
    <t>임연섭</t>
  </si>
  <si>
    <t>유지성</t>
  </si>
  <si>
    <t>생명과학 B반(목)</t>
  </si>
  <si>
    <t>배서아</t>
  </si>
  <si>
    <t>김경원</t>
  </si>
  <si>
    <t>이은채</t>
  </si>
  <si>
    <t>이지헌</t>
  </si>
  <si>
    <t>방송댄스 A반(목)</t>
  </si>
  <si>
    <t>방송댄스 A반(목)</t>
    <phoneticPr fontId="6" type="noConversion"/>
  </si>
  <si>
    <t>백유나</t>
  </si>
  <si>
    <t>김민정</t>
  </si>
  <si>
    <t>김리유</t>
  </si>
  <si>
    <t>유시아</t>
  </si>
  <si>
    <t>이유건</t>
  </si>
  <si>
    <t>장하영</t>
  </si>
  <si>
    <t>방송댄스 B반(목)</t>
  </si>
  <si>
    <t>이현아</t>
  </si>
  <si>
    <t>박소율</t>
  </si>
  <si>
    <t>지화음</t>
  </si>
  <si>
    <t>박건후</t>
  </si>
  <si>
    <t>임다온</t>
  </si>
  <si>
    <t>김보경</t>
  </si>
  <si>
    <t>송정음</t>
  </si>
  <si>
    <t>김우경</t>
  </si>
  <si>
    <t>안지민</t>
  </si>
  <si>
    <t>최서윤</t>
  </si>
  <si>
    <t>김민주</t>
  </si>
  <si>
    <t>기타 A반(목)</t>
  </si>
  <si>
    <t>김주영</t>
  </si>
  <si>
    <t>방성원 (FANG CHENGYUAN)</t>
    <phoneticPr fontId="6" type="noConversion"/>
  </si>
  <si>
    <t>정채아</t>
  </si>
  <si>
    <t>기타 A반(목)</t>
    <phoneticPr fontId="6" type="noConversion"/>
  </si>
  <si>
    <t>서권</t>
  </si>
  <si>
    <t>기타 B반(목)</t>
  </si>
  <si>
    <t>정재성</t>
  </si>
  <si>
    <t>합       계</t>
    <phoneticPr fontId="1" type="noConversion"/>
  </si>
  <si>
    <t>총  합  계</t>
    <phoneticPr fontId="1" type="noConversion"/>
  </si>
  <si>
    <t>강사료
(3월)</t>
    <phoneticPr fontId="5" type="noConversion"/>
  </si>
  <si>
    <t>강사료 총액</t>
    <phoneticPr fontId="6" type="noConversion"/>
  </si>
  <si>
    <t>피아노교실 A1반(월/화)</t>
    <phoneticPr fontId="1" type="noConversion"/>
  </si>
  <si>
    <t>권예나</t>
  </si>
  <si>
    <t>피아노교실 A1반(월/화)</t>
  </si>
  <si>
    <t>7치시</t>
    <phoneticPr fontId="6" type="noConversion"/>
  </si>
  <si>
    <t>모하경</t>
  </si>
  <si>
    <t>이예찬</t>
  </si>
  <si>
    <t>채호현</t>
  </si>
  <si>
    <t>조주영</t>
  </si>
  <si>
    <t>이건율</t>
  </si>
  <si>
    <t>임아율</t>
  </si>
  <si>
    <t>이채은</t>
  </si>
  <si>
    <t>피아노교실 A2반(월/화)</t>
  </si>
  <si>
    <t>정의솔</t>
  </si>
  <si>
    <t>이하준</t>
  </si>
  <si>
    <t>김성윤</t>
  </si>
  <si>
    <t>피아노교실 A3반(월/화)</t>
  </si>
  <si>
    <t>김아윤</t>
  </si>
  <si>
    <t>피아노교실 A4반(월/화)</t>
  </si>
  <si>
    <t>최유준</t>
  </si>
  <si>
    <t>피아노교실 B1반(수/목)</t>
  </si>
  <si>
    <t>송하은</t>
  </si>
  <si>
    <t>이민서</t>
  </si>
  <si>
    <t>최지원</t>
  </si>
  <si>
    <t>피아노교실 B2반(수/목)</t>
  </si>
  <si>
    <t>이태환</t>
  </si>
  <si>
    <t>이영은</t>
  </si>
  <si>
    <t>피아노교실 B3반(수/목)</t>
  </si>
  <si>
    <t>송해온</t>
  </si>
  <si>
    <t>박준성</t>
  </si>
  <si>
    <t>피아노교실 B4반(수/목)</t>
  </si>
  <si>
    <t>강준우</t>
  </si>
  <si>
    <t>박세아</t>
  </si>
  <si>
    <t>강태우</t>
  </si>
  <si>
    <t>피아노교실 C1반(금)</t>
  </si>
  <si>
    <t>임주안</t>
  </si>
  <si>
    <t>유해인</t>
  </si>
  <si>
    <t>피아노교실 C2반(금)</t>
  </si>
  <si>
    <t>박현아</t>
  </si>
  <si>
    <t>피아노교실 C3반(금)</t>
  </si>
  <si>
    <t>3월 강사료</t>
    <phoneticPr fontId="5" type="noConversion"/>
  </si>
  <si>
    <t>3월 자유수강</t>
    <phoneticPr fontId="5" type="noConversion"/>
  </si>
  <si>
    <t>컴퓨터교실 컴기초A반(월/목)</t>
  </si>
  <si>
    <t>8차시</t>
    <phoneticPr fontId="1" type="noConversion"/>
  </si>
  <si>
    <t>컴퓨터교실 컴기초A반(월/목)</t>
    <phoneticPr fontId="1" type="noConversion"/>
  </si>
  <si>
    <t>6차시</t>
    <phoneticPr fontId="1" type="noConversion"/>
  </si>
  <si>
    <t>최나윤</t>
  </si>
  <si>
    <t>최준영</t>
  </si>
  <si>
    <t>김가현</t>
  </si>
  <si>
    <t>윤현서</t>
  </si>
  <si>
    <t>최라희</t>
  </si>
  <si>
    <t>강서희</t>
  </si>
  <si>
    <t>김나예</t>
  </si>
  <si>
    <t>백지승</t>
  </si>
  <si>
    <t>컴퓨터교실 코딩박사A반(월/금)</t>
  </si>
  <si>
    <t>양승윤</t>
  </si>
  <si>
    <t>컴퓨터교실 코딩박사A반(월/금)</t>
    <phoneticPr fontId="1" type="noConversion"/>
  </si>
  <si>
    <t>정효진</t>
  </si>
  <si>
    <t>권준서</t>
  </si>
  <si>
    <t>7차시</t>
    <phoneticPr fontId="1" type="noConversion"/>
  </si>
  <si>
    <t>노은서</t>
  </si>
  <si>
    <t>김지윤</t>
  </si>
  <si>
    <t>서예서</t>
  </si>
  <si>
    <t>이용석</t>
  </si>
  <si>
    <t>이지한</t>
  </si>
  <si>
    <t>하연우</t>
  </si>
  <si>
    <t>문준희</t>
  </si>
  <si>
    <t>컴퓨터교실 코딩박사B반(월)</t>
  </si>
  <si>
    <t>4주</t>
    <phoneticPr fontId="1" type="noConversion"/>
  </si>
  <si>
    <t>컴퓨터교실 코딩박사B반(월)</t>
    <phoneticPr fontId="1" type="noConversion"/>
  </si>
  <si>
    <t>3주</t>
    <phoneticPr fontId="1" type="noConversion"/>
  </si>
  <si>
    <t>전다연</t>
  </si>
  <si>
    <t>김수민</t>
  </si>
  <si>
    <t>장성현</t>
  </si>
  <si>
    <t>지은파</t>
  </si>
  <si>
    <t>컴퓨터교실 컴기초B반(화)</t>
  </si>
  <si>
    <t>2주</t>
    <phoneticPr fontId="1" type="noConversion"/>
  </si>
  <si>
    <t>김시형</t>
  </si>
  <si>
    <t>컴퓨터교실 컴기초B반(화)</t>
    <phoneticPr fontId="1" type="noConversion"/>
  </si>
  <si>
    <t>이서진</t>
  </si>
  <si>
    <t>이다현</t>
  </si>
  <si>
    <t>최율</t>
  </si>
  <si>
    <t>김태환</t>
  </si>
  <si>
    <t>컴퓨터교실 파워박사A반(화)</t>
  </si>
  <si>
    <t>권태현</t>
  </si>
  <si>
    <t>컴퓨터교실 파워박사A반(화)</t>
    <phoneticPr fontId="1" type="noConversion"/>
  </si>
  <si>
    <t>서하주</t>
  </si>
  <si>
    <t>컴퓨터교실 파워박사B반(수)</t>
  </si>
  <si>
    <t>이연서</t>
  </si>
  <si>
    <t>방성원 (FANG CHENGYUAN)</t>
  </si>
  <si>
    <t>임단아</t>
  </si>
  <si>
    <t>임주아</t>
  </si>
  <si>
    <t>컴퓨터교실 파워박사B반(수)</t>
    <phoneticPr fontId="1" type="noConversion"/>
  </si>
  <si>
    <t>강서영</t>
  </si>
  <si>
    <t>컴퓨터교실 DIAT파워반(수)</t>
  </si>
  <si>
    <t>컴퓨터교실 DIAT파워반(수)</t>
    <phoneticPr fontId="1" type="noConversion"/>
  </si>
  <si>
    <t>이우진</t>
  </si>
  <si>
    <t>서예진</t>
  </si>
  <si>
    <t>김도윤</t>
  </si>
  <si>
    <t>컴퓨터교실 ITQ파워반(목)</t>
  </si>
  <si>
    <t>조유민</t>
  </si>
  <si>
    <t>김주연</t>
  </si>
  <si>
    <t>장은우</t>
  </si>
  <si>
    <t>손진호</t>
  </si>
  <si>
    <t>컴퓨터교실 ITQ파워반(목)</t>
    <phoneticPr fontId="1" type="noConversion"/>
  </si>
  <si>
    <t>노효서</t>
  </si>
  <si>
    <t>서지원</t>
  </si>
  <si>
    <t>유정민</t>
  </si>
  <si>
    <t>장운용</t>
  </si>
  <si>
    <t>컴퓨터교실 ITQ한글반(금)</t>
  </si>
  <si>
    <t>남요선</t>
  </si>
  <si>
    <t>정미르</t>
  </si>
  <si>
    <t>박수용</t>
  </si>
  <si>
    <t>컴퓨터교실 ITQ한글반(금)</t>
    <phoneticPr fontId="1" type="noConversion"/>
  </si>
  <si>
    <t>김진우</t>
  </si>
  <si>
    <t>최성빈</t>
  </si>
  <si>
    <t>심민준</t>
  </si>
  <si>
    <t>정의찬</t>
  </si>
  <si>
    <t>과목
순번</t>
    <phoneticPr fontId="1" type="noConversion"/>
  </si>
  <si>
    <t xml:space="preserve">반 </t>
    <phoneticPr fontId="6" type="noConversion"/>
  </si>
  <si>
    <t>특기적성부서</t>
    <phoneticPr fontId="34" type="noConversion"/>
  </si>
  <si>
    <t>3월
수업차시</t>
    <phoneticPr fontId="6" type="noConversion"/>
  </si>
  <si>
    <t>본인수강료</t>
    <phoneticPr fontId="34" type="noConversion"/>
  </si>
  <si>
    <t>자유수강권
지원금</t>
    <phoneticPr fontId="34" type="noConversion"/>
  </si>
  <si>
    <t>수용비</t>
    <phoneticPr fontId="34" type="noConversion"/>
  </si>
  <si>
    <t>강사비 총액</t>
    <phoneticPr fontId="34" type="noConversion"/>
  </si>
  <si>
    <t>원어민영어 A class L1-A1반(월화수목)</t>
    <phoneticPr fontId="6" type="noConversion"/>
  </si>
  <si>
    <t>16차시</t>
    <phoneticPr fontId="6" type="noConversion"/>
  </si>
  <si>
    <t>정우영</t>
  </si>
  <si>
    <t>원어민영어 A class L1-A1반(월화수목)</t>
  </si>
  <si>
    <t>13차시</t>
    <phoneticPr fontId="6" type="noConversion"/>
  </si>
  <si>
    <t>조은상</t>
    <phoneticPr fontId="6" type="noConversion"/>
  </si>
  <si>
    <t>한창완</t>
  </si>
  <si>
    <t>조은상</t>
  </si>
  <si>
    <t>12차시</t>
    <phoneticPr fontId="6" type="noConversion"/>
  </si>
  <si>
    <t>원어민영어 A class L2-B1반(월화수금)</t>
    <phoneticPr fontId="6" type="noConversion"/>
  </si>
  <si>
    <t>원어민영어 A class L2-B1반(월화수금)</t>
  </si>
  <si>
    <t>정지호</t>
  </si>
  <si>
    <t>11차시</t>
    <phoneticPr fontId="6" type="noConversion"/>
  </si>
  <si>
    <t>박채우</t>
  </si>
  <si>
    <t>최선율</t>
  </si>
  <si>
    <t>원어민영어 A class L2-B3반(월화목금)</t>
  </si>
  <si>
    <t>원어민영어 A class L2-B3반(월화목금)</t>
    <phoneticPr fontId="6" type="noConversion"/>
  </si>
  <si>
    <t>14차시</t>
    <phoneticPr fontId="6" type="noConversion"/>
  </si>
  <si>
    <t>원어민영어 A class L3-C1반(월수목금)</t>
  </si>
  <si>
    <t>원어민영어 A class L3-C1반(월수목금)</t>
    <phoneticPr fontId="6" type="noConversion"/>
  </si>
  <si>
    <t>김가영</t>
  </si>
  <si>
    <t>원어민영어 A class L4-D반(화수목금)</t>
  </si>
  <si>
    <t>조서진</t>
  </si>
  <si>
    <t>원어민영어 A class L4-D반(화수목금)</t>
    <phoneticPr fontId="6" type="noConversion"/>
  </si>
  <si>
    <t>최민섭</t>
  </si>
  <si>
    <t>원어민영어 B class L1-A2반(월화수목)</t>
  </si>
  <si>
    <t>원어민영어 B class L1-A2반(월화수목)</t>
    <phoneticPr fontId="1" type="noConversion"/>
  </si>
  <si>
    <t>김재헌</t>
  </si>
  <si>
    <t>송이정</t>
  </si>
  <si>
    <t>최희율</t>
  </si>
  <si>
    <t>서효주</t>
  </si>
  <si>
    <t>10차시</t>
    <phoneticPr fontId="6" type="noConversion"/>
  </si>
  <si>
    <t>원어민영어 B class L1-A3반(월화수금)</t>
  </si>
  <si>
    <t>원어민영어 B class L1-A3반(월화수금)</t>
    <phoneticPr fontId="1" type="noConversion"/>
  </si>
  <si>
    <t>오현준</t>
  </si>
  <si>
    <t>15차시</t>
    <phoneticPr fontId="6" type="noConversion"/>
  </si>
  <si>
    <t>원어민영어 B class L1-A4반(월수목금)</t>
  </si>
  <si>
    <t>장혜영</t>
  </si>
  <si>
    <t>김성원</t>
  </si>
  <si>
    <t>원어민영어 B class L1-A4반(월수목금)</t>
    <phoneticPr fontId="1" type="noConversion"/>
  </si>
  <si>
    <t>정윤지</t>
  </si>
  <si>
    <t>원어민영어 B class L2-B2반(월화목금)</t>
  </si>
  <si>
    <t>원어민영어 B class L2-B2반(월화목금)</t>
    <phoneticPr fontId="1" type="noConversion"/>
  </si>
  <si>
    <t>박하윤</t>
  </si>
  <si>
    <t>원어민영어 B class L5-E반(화수목금)</t>
  </si>
  <si>
    <t>원어민영어 B class L5-E반(화수목금)</t>
    <phoneticPr fontId="1" type="noConversion"/>
  </si>
  <si>
    <t>합                  계</t>
    <phoneticPr fontId="1" type="noConversion"/>
  </si>
  <si>
    <t>총      합        계</t>
    <phoneticPr fontId="1" type="noConversion"/>
  </si>
  <si>
    <t>순번</t>
  </si>
  <si>
    <t>* 내용</t>
  </si>
  <si>
    <t>규격</t>
  </si>
  <si>
    <t>수량</t>
  </si>
  <si>
    <t>예상단가</t>
  </si>
  <si>
    <t>* 예상금액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</si>
</sst>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&quot;학년&quot;\ #&quot;반&quot;\ ##&quot;번&quot;"/>
    <numFmt numFmtId="177" formatCode="#,##0_);[Red]\(#,##0\)"/>
  </numFmts>
  <fonts count="4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name val="나눔고딕"/>
      <family val="2"/>
      <charset val="129"/>
    </font>
    <font>
      <b/>
      <sz val="12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1"/>
      <color rgb="FF00B050"/>
      <name val="맑은 고딕"/>
      <family val="3"/>
      <charset val="129"/>
      <scheme val="minor"/>
    </font>
    <font>
      <sz val="11"/>
      <color theme="3" tint="0.59999389629810485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B050"/>
      <name val="맑은 고딕"/>
      <family val="3"/>
      <charset val="129"/>
      <scheme val="major"/>
    </font>
    <font>
      <sz val="10"/>
      <color theme="9" tint="-0.249977111117893"/>
      <name val="맑은 고딕"/>
      <family val="3"/>
      <charset val="129"/>
      <scheme val="minor"/>
    </font>
    <font>
      <sz val="11"/>
      <color theme="9" tint="-0.249977111117893"/>
      <name val="맑은 고딕"/>
      <family val="3"/>
      <charset val="129"/>
      <scheme val="minor"/>
    </font>
    <font>
      <sz val="11"/>
      <color theme="9" tint="-0.249977111117893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ajor"/>
    </font>
    <font>
      <sz val="11"/>
      <name val="맑은 고딕"/>
      <family val="3"/>
      <charset val="129"/>
    </font>
    <font>
      <b/>
      <sz val="1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3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ajor"/>
    </font>
    <font>
      <b/>
      <sz val="14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9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medium">
        <color indexed="64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double">
        <color auto="1"/>
      </bottom>
      <diagonal/>
    </border>
    <border>
      <left style="hair">
        <color auto="1"/>
      </left>
      <right style="medium">
        <color auto="1"/>
      </right>
      <top style="medium">
        <color indexed="64"/>
      </top>
      <bottom style="double">
        <color auto="1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68">
    <xf numFmtId="0" fontId="0" fillId="0" borderId="0" xfId="0">
      <alignment vertical="center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1" xfId="1" applyNumberFormat="1" applyFont="1" applyFill="1" applyBorder="1" applyAlignment="1">
      <alignment horizontal="center" vertical="center" wrapText="1"/>
    </xf>
    <xf numFmtId="0" fontId="4" fillId="2" borderId="2" xfId="1" applyNumberFormat="1" applyFont="1" applyFill="1" applyBorder="1" applyAlignment="1">
      <alignment horizontal="center" vertical="center"/>
    </xf>
    <xf numFmtId="0" fontId="4" fillId="2" borderId="3" xfId="1" applyNumberFormat="1" applyFont="1" applyFill="1" applyBorder="1" applyAlignment="1">
      <alignment horizontal="center" vertical="center"/>
    </xf>
    <xf numFmtId="41" fontId="4" fillId="2" borderId="2" xfId="1" applyFont="1" applyFill="1" applyBorder="1" applyAlignment="1">
      <alignment horizontal="center" vertical="center"/>
    </xf>
    <xf numFmtId="41" fontId="4" fillId="2" borderId="4" xfId="1" applyFont="1" applyFill="1" applyBorder="1" applyAlignment="1">
      <alignment horizontal="center" vertical="center"/>
    </xf>
    <xf numFmtId="41" fontId="7" fillId="2" borderId="3" xfId="1" applyFont="1" applyFill="1" applyBorder="1" applyAlignment="1">
      <alignment horizontal="center" vertical="center"/>
    </xf>
    <xf numFmtId="41" fontId="7" fillId="2" borderId="2" xfId="1" applyFont="1" applyFill="1" applyBorder="1" applyAlignment="1">
      <alignment horizontal="center" vertical="center" wrapText="1"/>
    </xf>
    <xf numFmtId="41" fontId="7" fillId="2" borderId="1" xfId="1" applyFont="1" applyFill="1" applyBorder="1" applyAlignment="1">
      <alignment horizontal="center" vertical="center" wrapText="1"/>
    </xf>
    <xf numFmtId="41" fontId="7" fillId="2" borderId="4" xfId="1" applyFont="1" applyFill="1" applyBorder="1" applyAlignment="1">
      <alignment horizontal="center" vertical="center" wrapText="1"/>
    </xf>
    <xf numFmtId="0" fontId="0" fillId="0" borderId="0" xfId="1" applyNumberFormat="1" applyFont="1" applyAlignment="1">
      <alignment vertical="center"/>
    </xf>
    <xf numFmtId="41" fontId="0" fillId="0" borderId="0" xfId="1" applyFont="1">
      <alignment vertical="center"/>
    </xf>
    <xf numFmtId="41" fontId="0" fillId="0" borderId="0" xfId="1" applyFont="1" applyFill="1">
      <alignment vertical="center"/>
    </xf>
    <xf numFmtId="0" fontId="8" fillId="0" borderId="5" xfId="1" applyNumberFormat="1" applyFont="1" applyFill="1" applyBorder="1" applyAlignment="1">
      <alignment horizontal="center" vertical="center"/>
    </xf>
    <xf numFmtId="0" fontId="9" fillId="0" borderId="6" xfId="1" applyNumberFormat="1" applyFont="1" applyFill="1" applyBorder="1" applyAlignment="1">
      <alignment horizontal="center" vertical="center"/>
    </xf>
    <xf numFmtId="0" fontId="9" fillId="0" borderId="0" xfId="1" applyNumberFormat="1" applyFont="1" applyFill="1" applyBorder="1" applyAlignment="1">
      <alignment horizontal="center" vertical="center"/>
    </xf>
    <xf numFmtId="0" fontId="9" fillId="0" borderId="5" xfId="1" applyNumberFormat="1" applyFont="1" applyFill="1" applyBorder="1" applyAlignment="1">
      <alignment horizontal="center" vertical="center"/>
    </xf>
    <xf numFmtId="41" fontId="9" fillId="0" borderId="6" xfId="1" applyFont="1" applyFill="1" applyBorder="1" applyAlignment="1">
      <alignment horizontal="center" vertical="center"/>
    </xf>
    <xf numFmtId="41" fontId="9" fillId="0" borderId="7" xfId="1" applyFont="1" applyFill="1" applyBorder="1" applyAlignment="1">
      <alignment horizontal="center" vertical="center"/>
    </xf>
    <xf numFmtId="41" fontId="9" fillId="0" borderId="0" xfId="1" applyFont="1" applyFill="1" applyBorder="1" applyAlignment="1">
      <alignment horizontal="center" vertical="center"/>
    </xf>
    <xf numFmtId="41" fontId="10" fillId="0" borderId="5" xfId="1" applyFont="1" applyFill="1" applyBorder="1" applyAlignment="1">
      <alignment vertical="center"/>
    </xf>
    <xf numFmtId="41" fontId="10" fillId="0" borderId="6" xfId="1" applyFont="1" applyFill="1" applyBorder="1" applyAlignment="1">
      <alignment vertical="center"/>
    </xf>
    <xf numFmtId="41" fontId="11" fillId="0" borderId="6" xfId="1" applyFont="1" applyFill="1" applyBorder="1" applyAlignment="1">
      <alignment horizontal="center" vertical="center"/>
    </xf>
    <xf numFmtId="0" fontId="0" fillId="0" borderId="0" xfId="1" applyNumberFormat="1" applyFont="1" applyFill="1" applyAlignment="1">
      <alignment vertical="center"/>
    </xf>
    <xf numFmtId="41" fontId="3" fillId="0" borderId="0" xfId="1" applyFont="1" applyFill="1">
      <alignment vertical="center"/>
    </xf>
    <xf numFmtId="41" fontId="3" fillId="0" borderId="0" xfId="1" applyFont="1" applyFill="1" applyBorder="1">
      <alignment vertical="center"/>
    </xf>
    <xf numFmtId="41" fontId="0" fillId="3" borderId="0" xfId="1" applyFont="1" applyFill="1">
      <alignment vertical="center"/>
    </xf>
    <xf numFmtId="41" fontId="12" fillId="0" borderId="6" xfId="1" applyFont="1" applyFill="1" applyBorder="1" applyAlignment="1">
      <alignment horizontal="center" vertical="center"/>
    </xf>
    <xf numFmtId="41" fontId="13" fillId="0" borderId="5" xfId="1" applyFont="1" applyFill="1" applyBorder="1" applyAlignment="1">
      <alignment vertical="center"/>
    </xf>
    <xf numFmtId="41" fontId="13" fillId="0" borderId="6" xfId="1" applyFont="1" applyFill="1" applyBorder="1" applyAlignment="1">
      <alignment vertical="center"/>
    </xf>
    <xf numFmtId="41" fontId="0" fillId="0" borderId="0" xfId="1" applyFont="1" applyFill="1" applyAlignment="1">
      <alignment horizontal="center" vertical="center"/>
    </xf>
    <xf numFmtId="41" fontId="14" fillId="0" borderId="0" xfId="1" applyFont="1" applyFill="1">
      <alignment vertical="center"/>
    </xf>
    <xf numFmtId="41" fontId="15" fillId="0" borderId="0" xfId="1" applyFont="1" applyFill="1" applyAlignment="1">
      <alignment horizontal="center" vertical="center"/>
    </xf>
    <xf numFmtId="41" fontId="0" fillId="4" borderId="0" xfId="1" applyFont="1" applyFill="1">
      <alignment vertical="center"/>
    </xf>
    <xf numFmtId="0" fontId="8" fillId="0" borderId="8" xfId="1" applyNumberFormat="1" applyFont="1" applyFill="1" applyBorder="1" applyAlignment="1">
      <alignment horizontal="center" vertical="center"/>
    </xf>
    <xf numFmtId="0" fontId="9" fillId="0" borderId="9" xfId="1" applyNumberFormat="1" applyFont="1" applyFill="1" applyBorder="1" applyAlignment="1">
      <alignment horizontal="center" vertical="center"/>
    </xf>
    <xf numFmtId="0" fontId="9" fillId="0" borderId="10" xfId="1" applyNumberFormat="1" applyFont="1" applyFill="1" applyBorder="1" applyAlignment="1">
      <alignment horizontal="center" vertical="center"/>
    </xf>
    <xf numFmtId="0" fontId="9" fillId="0" borderId="8" xfId="1" applyNumberFormat="1" applyFont="1" applyFill="1" applyBorder="1" applyAlignment="1">
      <alignment horizontal="center" vertical="center"/>
    </xf>
    <xf numFmtId="41" fontId="9" fillId="0" borderId="9" xfId="1" applyFont="1" applyFill="1" applyBorder="1" applyAlignment="1">
      <alignment horizontal="center" vertical="center"/>
    </xf>
    <xf numFmtId="41" fontId="9" fillId="0" borderId="11" xfId="1" applyFont="1" applyFill="1" applyBorder="1" applyAlignment="1">
      <alignment horizontal="center" vertical="center"/>
    </xf>
    <xf numFmtId="41" fontId="9" fillId="0" borderId="10" xfId="1" applyFont="1" applyFill="1" applyBorder="1" applyAlignment="1">
      <alignment horizontal="center" vertical="center"/>
    </xf>
    <xf numFmtId="41" fontId="10" fillId="0" borderId="10" xfId="1" applyFont="1" applyFill="1" applyBorder="1" applyAlignment="1">
      <alignment vertical="center"/>
    </xf>
    <xf numFmtId="41" fontId="10" fillId="0" borderId="8" xfId="1" applyFont="1" applyFill="1" applyBorder="1" applyAlignment="1">
      <alignment vertical="center"/>
    </xf>
    <xf numFmtId="41" fontId="10" fillId="0" borderId="9" xfId="1" applyFont="1" applyFill="1" applyBorder="1" applyAlignment="1">
      <alignment vertical="center"/>
    </xf>
    <xf numFmtId="41" fontId="11" fillId="0" borderId="9" xfId="1" applyFont="1" applyFill="1" applyBorder="1" applyAlignment="1">
      <alignment horizontal="center" vertical="center"/>
    </xf>
    <xf numFmtId="41" fontId="10" fillId="0" borderId="0" xfId="1" applyFont="1" applyFill="1" applyBorder="1" applyAlignment="1">
      <alignment vertical="center"/>
    </xf>
    <xf numFmtId="41" fontId="13" fillId="0" borderId="0" xfId="1" applyFont="1" applyFill="1" applyBorder="1" applyAlignment="1">
      <alignment vertical="center"/>
    </xf>
    <xf numFmtId="41" fontId="9" fillId="0" borderId="12" xfId="1" applyFont="1" applyFill="1" applyBorder="1" applyAlignment="1">
      <alignment horizontal="center" vertical="center"/>
    </xf>
    <xf numFmtId="0" fontId="9" fillId="0" borderId="9" xfId="1" applyNumberFormat="1" applyFont="1" applyBorder="1" applyAlignment="1">
      <alignment horizontal="center" vertical="center"/>
    </xf>
    <xf numFmtId="0" fontId="9" fillId="0" borderId="10" xfId="1" applyNumberFormat="1" applyFont="1" applyBorder="1" applyAlignment="1">
      <alignment horizontal="center" vertical="center"/>
    </xf>
    <xf numFmtId="0" fontId="9" fillId="0" borderId="8" xfId="1" applyNumberFormat="1" applyFont="1" applyBorder="1" applyAlignment="1">
      <alignment horizontal="center" vertical="center"/>
    </xf>
    <xf numFmtId="0" fontId="9" fillId="0" borderId="6" xfId="1" applyNumberFormat="1" applyFont="1" applyBorder="1" applyAlignment="1">
      <alignment horizontal="center" vertical="center"/>
    </xf>
    <xf numFmtId="0" fontId="9" fillId="0" borderId="0" xfId="1" applyNumberFormat="1" applyFont="1" applyBorder="1" applyAlignment="1">
      <alignment horizontal="center" vertical="center"/>
    </xf>
    <xf numFmtId="0" fontId="9" fillId="0" borderId="5" xfId="1" applyNumberFormat="1" applyFont="1" applyBorder="1" applyAlignment="1">
      <alignment horizontal="center" vertical="center"/>
    </xf>
    <xf numFmtId="41" fontId="9" fillId="0" borderId="11" xfId="1" applyFont="1" applyBorder="1" applyAlignment="1">
      <alignment horizontal="center" vertical="center"/>
    </xf>
    <xf numFmtId="41" fontId="9" fillId="0" borderId="10" xfId="1" applyFont="1" applyBorder="1" applyAlignment="1">
      <alignment horizontal="center" vertical="center"/>
    </xf>
    <xf numFmtId="41" fontId="9" fillId="0" borderId="7" xfId="1" applyFont="1" applyBorder="1" applyAlignment="1">
      <alignment horizontal="center" vertical="center"/>
    </xf>
    <xf numFmtId="41" fontId="9" fillId="0" borderId="0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6" xfId="1" applyNumberFormat="1" applyFont="1" applyFill="1" applyBorder="1" applyAlignment="1">
      <alignment horizontal="center" vertical="center"/>
    </xf>
    <xf numFmtId="0" fontId="8" fillId="0" borderId="12" xfId="1" applyNumberFormat="1" applyFont="1" applyFill="1" applyBorder="1" applyAlignment="1">
      <alignment horizontal="center" vertical="center"/>
    </xf>
    <xf numFmtId="0" fontId="9" fillId="0" borderId="12" xfId="1" applyNumberFormat="1" applyFont="1" applyBorder="1" applyAlignment="1">
      <alignment horizontal="center" vertical="center"/>
    </xf>
    <xf numFmtId="0" fontId="9" fillId="0" borderId="13" xfId="1" applyNumberFormat="1" applyFont="1" applyBorder="1" applyAlignment="1">
      <alignment horizontal="center" vertical="center"/>
    </xf>
    <xf numFmtId="0" fontId="9" fillId="0" borderId="14" xfId="1" applyNumberFormat="1" applyFont="1" applyBorder="1" applyAlignment="1">
      <alignment horizontal="center" vertical="center"/>
    </xf>
    <xf numFmtId="41" fontId="9" fillId="0" borderId="15" xfId="1" applyFont="1" applyBorder="1" applyAlignment="1">
      <alignment horizontal="center" vertical="center"/>
    </xf>
    <xf numFmtId="41" fontId="9" fillId="0" borderId="13" xfId="1" applyFont="1" applyBorder="1" applyAlignment="1">
      <alignment horizontal="center" vertical="center"/>
    </xf>
    <xf numFmtId="41" fontId="10" fillId="0" borderId="14" xfId="1" applyFont="1" applyFill="1" applyBorder="1" applyAlignment="1">
      <alignment vertical="center"/>
    </xf>
    <xf numFmtId="41" fontId="10" fillId="0" borderId="12" xfId="1" applyFont="1" applyFill="1" applyBorder="1" applyAlignment="1">
      <alignment vertical="center"/>
    </xf>
    <xf numFmtId="41" fontId="11" fillId="0" borderId="12" xfId="1" applyFont="1" applyFill="1" applyBorder="1" applyAlignment="1">
      <alignment horizontal="center" vertical="center"/>
    </xf>
    <xf numFmtId="41" fontId="8" fillId="0" borderId="9" xfId="1" applyFont="1" applyFill="1" applyBorder="1" applyAlignment="1">
      <alignment horizontal="center" vertical="center"/>
    </xf>
    <xf numFmtId="41" fontId="10" fillId="0" borderId="11" xfId="1" applyFont="1" applyFill="1" applyBorder="1" applyAlignment="1">
      <alignment vertical="center"/>
    </xf>
    <xf numFmtId="41" fontId="16" fillId="0" borderId="9" xfId="1" applyFont="1" applyFill="1" applyBorder="1" applyAlignment="1">
      <alignment horizontal="center" vertical="center"/>
    </xf>
    <xf numFmtId="41" fontId="17" fillId="0" borderId="6" xfId="1" applyFont="1" applyFill="1" applyBorder="1" applyAlignment="1">
      <alignment horizontal="center" vertical="center"/>
    </xf>
    <xf numFmtId="41" fontId="13" fillId="0" borderId="7" xfId="1" applyFont="1" applyFill="1" applyBorder="1" applyAlignment="1">
      <alignment vertical="center"/>
    </xf>
    <xf numFmtId="41" fontId="16" fillId="0" borderId="6" xfId="1" applyFont="1" applyFill="1" applyBorder="1" applyAlignment="1">
      <alignment horizontal="center" vertical="center"/>
    </xf>
    <xf numFmtId="41" fontId="8" fillId="0" borderId="6" xfId="1" applyFont="1" applyFill="1" applyBorder="1" applyAlignment="1">
      <alignment horizontal="center" vertical="center"/>
    </xf>
    <xf numFmtId="41" fontId="10" fillId="0" borderId="7" xfId="1" applyFont="1" applyFill="1" applyBorder="1" applyAlignment="1">
      <alignment vertical="center"/>
    </xf>
    <xf numFmtId="0" fontId="18" fillId="0" borderId="6" xfId="1" applyNumberFormat="1" applyFont="1" applyFill="1" applyBorder="1" applyAlignment="1">
      <alignment horizontal="center" vertical="center"/>
    </xf>
    <xf numFmtId="0" fontId="18" fillId="0" borderId="0" xfId="1" applyNumberFormat="1" applyFont="1" applyFill="1" applyBorder="1" applyAlignment="1">
      <alignment horizontal="center" vertical="center"/>
    </xf>
    <xf numFmtId="0" fontId="18" fillId="0" borderId="5" xfId="1" applyNumberFormat="1" applyFont="1" applyFill="1" applyBorder="1" applyAlignment="1">
      <alignment horizontal="center" vertical="center"/>
    </xf>
    <xf numFmtId="41" fontId="18" fillId="0" borderId="6" xfId="1" applyFont="1" applyFill="1" applyBorder="1" applyAlignment="1">
      <alignment horizontal="center" vertical="center"/>
    </xf>
    <xf numFmtId="41" fontId="18" fillId="0" borderId="7" xfId="1" applyFont="1" applyFill="1" applyBorder="1" applyAlignment="1">
      <alignment horizontal="center" vertical="center"/>
    </xf>
    <xf numFmtId="41" fontId="18" fillId="0" borderId="0" xfId="1" applyFont="1" applyFill="1" applyBorder="1" applyAlignment="1">
      <alignment horizontal="center" vertical="center"/>
    </xf>
    <xf numFmtId="41" fontId="19" fillId="0" borderId="5" xfId="1" applyFont="1" applyFill="1" applyBorder="1">
      <alignment vertical="center"/>
    </xf>
    <xf numFmtId="41" fontId="19" fillId="0" borderId="6" xfId="1" applyFont="1" applyFill="1" applyBorder="1" applyAlignment="1">
      <alignment vertical="center"/>
    </xf>
    <xf numFmtId="41" fontId="19" fillId="0" borderId="7" xfId="1" applyFont="1" applyFill="1" applyBorder="1">
      <alignment vertical="center"/>
    </xf>
    <xf numFmtId="41" fontId="9" fillId="0" borderId="9" xfId="1" applyFont="1" applyBorder="1" applyAlignment="1">
      <alignment horizontal="center" vertical="center"/>
    </xf>
    <xf numFmtId="41" fontId="8" fillId="0" borderId="8" xfId="1" applyFont="1" applyFill="1" applyBorder="1" applyAlignment="1">
      <alignment horizontal="center" vertical="center"/>
    </xf>
    <xf numFmtId="41" fontId="9" fillId="0" borderId="6" xfId="1" applyFont="1" applyBorder="1" applyAlignment="1">
      <alignment horizontal="center" vertical="center"/>
    </xf>
    <xf numFmtId="41" fontId="17" fillId="0" borderId="5" xfId="1" applyFont="1" applyFill="1" applyBorder="1" applyAlignment="1">
      <alignment horizontal="center" vertical="center"/>
    </xf>
    <xf numFmtId="41" fontId="8" fillId="0" borderId="5" xfId="1" applyFont="1" applyFill="1" applyBorder="1" applyAlignment="1">
      <alignment horizontal="center" vertical="center"/>
    </xf>
    <xf numFmtId="0" fontId="18" fillId="0" borderId="6" xfId="1" applyNumberFormat="1" applyFont="1" applyBorder="1" applyAlignment="1">
      <alignment horizontal="center" vertical="center"/>
    </xf>
    <xf numFmtId="0" fontId="18" fillId="0" borderId="0" xfId="1" applyNumberFormat="1" applyFont="1" applyBorder="1" applyAlignment="1">
      <alignment horizontal="center" vertical="center"/>
    </xf>
    <xf numFmtId="0" fontId="18" fillId="0" borderId="5" xfId="1" applyNumberFormat="1" applyFont="1" applyBorder="1" applyAlignment="1">
      <alignment horizontal="center" vertical="center"/>
    </xf>
    <xf numFmtId="41" fontId="18" fillId="0" borderId="6" xfId="1" applyFont="1" applyBorder="1" applyAlignment="1">
      <alignment horizontal="center" vertical="center"/>
    </xf>
    <xf numFmtId="41" fontId="18" fillId="0" borderId="7" xfId="1" applyFont="1" applyBorder="1" applyAlignment="1">
      <alignment horizontal="center" vertical="center"/>
    </xf>
    <xf numFmtId="41" fontId="18" fillId="0" borderId="0" xfId="1" applyFont="1" applyBorder="1" applyAlignment="1">
      <alignment horizontal="center" vertical="center"/>
    </xf>
    <xf numFmtId="41" fontId="20" fillId="0" borderId="0" xfId="1" applyFont="1" applyFill="1" applyBorder="1">
      <alignment vertical="center"/>
    </xf>
    <xf numFmtId="41" fontId="19" fillId="0" borderId="5" xfId="1" applyFont="1" applyFill="1" applyBorder="1" applyAlignment="1">
      <alignment vertical="center"/>
    </xf>
    <xf numFmtId="41" fontId="19" fillId="0" borderId="12" xfId="1" applyFont="1" applyFill="1" applyBorder="1" applyAlignment="1">
      <alignment vertical="center"/>
    </xf>
    <xf numFmtId="41" fontId="11" fillId="0" borderId="11" xfId="1" applyFont="1" applyFill="1" applyBorder="1" applyAlignment="1">
      <alignment horizontal="center" vertical="center"/>
    </xf>
    <xf numFmtId="41" fontId="11" fillId="0" borderId="7" xfId="1" applyFont="1" applyFill="1" applyBorder="1" applyAlignment="1">
      <alignment horizontal="center" vertical="center"/>
    </xf>
    <xf numFmtId="41" fontId="19" fillId="0" borderId="0" xfId="1" applyFont="1" applyFill="1" applyBorder="1">
      <alignment vertical="center"/>
    </xf>
    <xf numFmtId="41" fontId="21" fillId="0" borderId="8" xfId="1" applyFont="1" applyFill="1" applyBorder="1" applyAlignment="1">
      <alignment vertical="center"/>
    </xf>
    <xf numFmtId="41" fontId="22" fillId="0" borderId="9" xfId="1" applyFont="1" applyFill="1" applyBorder="1" applyAlignment="1">
      <alignment horizontal="center" vertical="center"/>
    </xf>
    <xf numFmtId="41" fontId="21" fillId="0" borderId="11" xfId="1" applyFont="1" applyFill="1" applyBorder="1" applyAlignment="1">
      <alignment vertical="center"/>
    </xf>
    <xf numFmtId="41" fontId="21" fillId="0" borderId="5" xfId="1" applyFont="1" applyFill="1" applyBorder="1" applyAlignment="1">
      <alignment vertical="center"/>
    </xf>
    <xf numFmtId="41" fontId="22" fillId="0" borderId="6" xfId="1" applyFont="1" applyFill="1" applyBorder="1" applyAlignment="1">
      <alignment horizontal="center" vertical="center"/>
    </xf>
    <xf numFmtId="41" fontId="21" fillId="0" borderId="7" xfId="1" applyFont="1" applyFill="1" applyBorder="1" applyAlignment="1">
      <alignment vertical="center"/>
    </xf>
    <xf numFmtId="41" fontId="12" fillId="0" borderId="9" xfId="1" applyFont="1" applyFill="1" applyBorder="1" applyAlignment="1">
      <alignment horizontal="center" vertical="center"/>
    </xf>
    <xf numFmtId="41" fontId="13" fillId="0" borderId="8" xfId="1" applyFont="1" applyFill="1" applyBorder="1" applyAlignment="1">
      <alignment vertical="center"/>
    </xf>
    <xf numFmtId="41" fontId="17" fillId="0" borderId="9" xfId="1" applyFont="1" applyFill="1" applyBorder="1" applyAlignment="1">
      <alignment horizontal="center" vertical="center"/>
    </xf>
    <xf numFmtId="41" fontId="13" fillId="0" borderId="11" xfId="1" applyFont="1" applyFill="1" applyBorder="1" applyAlignment="1">
      <alignment vertical="center"/>
    </xf>
    <xf numFmtId="41" fontId="23" fillId="0" borderId="6" xfId="1" applyFont="1" applyFill="1" applyBorder="1" applyAlignment="1">
      <alignment horizontal="center" vertical="center"/>
    </xf>
    <xf numFmtId="41" fontId="19" fillId="0" borderId="0" xfId="1" applyFont="1" applyFill="1">
      <alignment vertical="center"/>
    </xf>
    <xf numFmtId="41" fontId="19" fillId="0" borderId="7" xfId="1" applyFont="1" applyFill="1" applyBorder="1" applyAlignment="1">
      <alignment vertical="center"/>
    </xf>
    <xf numFmtId="41" fontId="17" fillId="0" borderId="12" xfId="1" applyFont="1" applyFill="1" applyBorder="1" applyAlignment="1">
      <alignment horizontal="center" vertical="center"/>
    </xf>
    <xf numFmtId="41" fontId="10" fillId="5" borderId="7" xfId="1" applyFont="1" applyFill="1" applyBorder="1" applyAlignment="1">
      <alignment vertical="center"/>
    </xf>
    <xf numFmtId="41" fontId="13" fillId="0" borderId="10" xfId="1" applyFont="1" applyFill="1" applyBorder="1" applyAlignment="1">
      <alignment vertical="center"/>
    </xf>
    <xf numFmtId="41" fontId="13" fillId="0" borderId="9" xfId="1" applyFont="1" applyFill="1" applyBorder="1">
      <alignment vertical="center"/>
    </xf>
    <xf numFmtId="41" fontId="13" fillId="0" borderId="6" xfId="1" applyFont="1" applyFill="1" applyBorder="1">
      <alignment vertical="center"/>
    </xf>
    <xf numFmtId="41" fontId="19" fillId="0" borderId="0" xfId="1" applyFont="1" applyFill="1" applyBorder="1" applyAlignment="1">
      <alignment vertical="center"/>
    </xf>
    <xf numFmtId="41" fontId="13" fillId="0" borderId="12" xfId="1" applyFont="1" applyFill="1" applyBorder="1">
      <alignment vertical="center"/>
    </xf>
    <xf numFmtId="41" fontId="23" fillId="0" borderId="7" xfId="1" applyFont="1" applyFill="1" applyBorder="1" applyAlignment="1">
      <alignment horizontal="center" vertical="center"/>
    </xf>
    <xf numFmtId="41" fontId="23" fillId="0" borderId="0" xfId="1" applyFont="1" applyFill="1" applyBorder="1" applyAlignment="1">
      <alignment horizontal="center" vertical="center"/>
    </xf>
    <xf numFmtId="0" fontId="0" fillId="0" borderId="8" xfId="1" applyNumberFormat="1" applyFont="1" applyFill="1" applyBorder="1" applyAlignment="1">
      <alignment horizontal="center" vertical="center"/>
    </xf>
    <xf numFmtId="0" fontId="0" fillId="0" borderId="5" xfId="1" applyNumberFormat="1" applyFont="1" applyFill="1" applyBorder="1" applyAlignment="1">
      <alignment horizontal="center" vertical="center"/>
    </xf>
    <xf numFmtId="41" fontId="16" fillId="0" borderId="11" xfId="1" applyFont="1" applyFill="1" applyBorder="1" applyAlignment="1">
      <alignment horizontal="center" vertical="center"/>
    </xf>
    <xf numFmtId="41" fontId="16" fillId="0" borderId="7" xfId="1" applyFont="1" applyFill="1" applyBorder="1" applyAlignment="1">
      <alignment horizontal="center" vertical="center"/>
    </xf>
    <xf numFmtId="41" fontId="0" fillId="0" borderId="0" xfId="1" applyFont="1" applyFill="1" applyAlignment="1">
      <alignment vertical="center"/>
    </xf>
    <xf numFmtId="41" fontId="10" fillId="5" borderId="5" xfId="1" applyFont="1" applyFill="1" applyBorder="1" applyAlignment="1">
      <alignment vertical="center"/>
    </xf>
    <xf numFmtId="41" fontId="0" fillId="4" borderId="0" xfId="1" applyFont="1" applyFill="1" applyAlignment="1">
      <alignment vertical="center"/>
    </xf>
    <xf numFmtId="41" fontId="22" fillId="0" borderId="8" xfId="1" applyFont="1" applyFill="1" applyBorder="1" applyAlignment="1">
      <alignment horizontal="center" vertical="center"/>
    </xf>
    <xf numFmtId="41" fontId="21" fillId="0" borderId="9" xfId="1" applyFont="1" applyFill="1" applyBorder="1" applyAlignment="1">
      <alignment vertical="center"/>
    </xf>
    <xf numFmtId="41" fontId="22" fillId="0" borderId="5" xfId="1" applyFont="1" applyFill="1" applyBorder="1" applyAlignment="1">
      <alignment horizontal="center" vertical="center"/>
    </xf>
    <xf numFmtId="41" fontId="21" fillId="0" borderId="6" xfId="1" applyFont="1" applyFill="1" applyBorder="1" applyAlignment="1">
      <alignment vertical="center"/>
    </xf>
    <xf numFmtId="41" fontId="0" fillId="3" borderId="0" xfId="1" applyFont="1" applyFill="1" applyAlignment="1">
      <alignment vertical="center"/>
    </xf>
    <xf numFmtId="41" fontId="18" fillId="0" borderId="12" xfId="1" applyFont="1" applyFill="1" applyBorder="1" applyAlignment="1">
      <alignment horizontal="center" vertical="center"/>
    </xf>
    <xf numFmtId="41" fontId="19" fillId="0" borderId="13" xfId="1" applyFont="1" applyFill="1" applyBorder="1" applyAlignment="1">
      <alignment vertical="center"/>
    </xf>
    <xf numFmtId="41" fontId="19" fillId="0" borderId="14" xfId="1" applyFont="1" applyFill="1" applyBorder="1" applyAlignment="1">
      <alignment vertical="center"/>
    </xf>
    <xf numFmtId="41" fontId="0" fillId="0" borderId="9" xfId="1" applyFont="1" applyFill="1" applyBorder="1" applyAlignment="1">
      <alignment vertical="center"/>
    </xf>
    <xf numFmtId="41" fontId="0" fillId="0" borderId="6" xfId="1" applyFont="1" applyFill="1" applyBorder="1" applyAlignment="1">
      <alignment vertical="center"/>
    </xf>
    <xf numFmtId="41" fontId="0" fillId="0" borderId="6" xfId="1" applyFont="1" applyFill="1" applyBorder="1">
      <alignment vertical="center"/>
    </xf>
    <xf numFmtId="41" fontId="8" fillId="0" borderId="12" xfId="1" applyFont="1" applyFill="1" applyBorder="1" applyAlignment="1">
      <alignment horizontal="center" vertical="center"/>
    </xf>
    <xf numFmtId="41" fontId="8" fillId="0" borderId="10" xfId="1" applyFont="1" applyFill="1" applyBorder="1" applyAlignment="1">
      <alignment horizontal="center" vertical="center"/>
    </xf>
    <xf numFmtId="41" fontId="8" fillId="0" borderId="0" xfId="1" applyFont="1" applyFill="1" applyBorder="1" applyAlignment="1">
      <alignment horizontal="center" vertical="center"/>
    </xf>
    <xf numFmtId="41" fontId="17" fillId="0" borderId="0" xfId="1" applyFont="1" applyFill="1" applyBorder="1" applyAlignment="1">
      <alignment horizontal="center" vertical="center"/>
    </xf>
    <xf numFmtId="41" fontId="0" fillId="0" borderId="0" xfId="1" applyFont="1" applyFill="1" applyBorder="1">
      <alignment vertical="center"/>
    </xf>
    <xf numFmtId="41" fontId="13" fillId="0" borderId="0" xfId="1" applyFont="1" applyFill="1" applyBorder="1">
      <alignment vertical="center"/>
    </xf>
    <xf numFmtId="41" fontId="12" fillId="0" borderId="8" xfId="1" applyFont="1" applyFill="1" applyBorder="1" applyAlignment="1">
      <alignment horizontal="center" vertical="center"/>
    </xf>
    <xf numFmtId="41" fontId="13" fillId="0" borderId="9" xfId="1" applyFont="1" applyFill="1" applyBorder="1" applyAlignment="1">
      <alignment vertical="center"/>
    </xf>
    <xf numFmtId="41" fontId="13" fillId="0" borderId="10" xfId="1" applyFont="1" applyFill="1" applyBorder="1">
      <alignment vertical="center"/>
    </xf>
    <xf numFmtId="41" fontId="9" fillId="0" borderId="5" xfId="1" applyFont="1" applyFill="1" applyBorder="1" applyAlignment="1">
      <alignment horizontal="center" vertical="center"/>
    </xf>
    <xf numFmtId="41" fontId="12" fillId="0" borderId="5" xfId="1" applyFont="1" applyFill="1" applyBorder="1" applyAlignment="1">
      <alignment horizontal="center" vertical="center"/>
    </xf>
    <xf numFmtId="41" fontId="0" fillId="0" borderId="10" xfId="1" applyFont="1" applyFill="1" applyBorder="1">
      <alignment vertical="center"/>
    </xf>
    <xf numFmtId="0" fontId="8" fillId="0" borderId="14" xfId="1" applyNumberFormat="1" applyFont="1" applyFill="1" applyBorder="1" applyAlignment="1">
      <alignment horizontal="center" vertical="center"/>
    </xf>
    <xf numFmtId="41" fontId="9" fillId="0" borderId="15" xfId="1" applyFont="1" applyFill="1" applyBorder="1" applyAlignment="1">
      <alignment horizontal="center" vertical="center"/>
    </xf>
    <xf numFmtId="41" fontId="9" fillId="0" borderId="13" xfId="1" applyFont="1" applyFill="1" applyBorder="1" applyAlignment="1">
      <alignment horizontal="center" vertical="center"/>
    </xf>
    <xf numFmtId="41" fontId="8" fillId="0" borderId="14" xfId="1" applyFont="1" applyFill="1" applyBorder="1" applyAlignment="1">
      <alignment horizontal="center" vertical="center"/>
    </xf>
    <xf numFmtId="41" fontId="0" fillId="6" borderId="0" xfId="1" applyFont="1" applyFill="1">
      <alignment vertical="center"/>
    </xf>
    <xf numFmtId="41" fontId="9" fillId="0" borderId="8" xfId="1" applyFont="1" applyFill="1" applyBorder="1" applyAlignment="1">
      <alignment horizontal="center" vertical="center"/>
    </xf>
    <xf numFmtId="41" fontId="9" fillId="0" borderId="14" xfId="1" applyFont="1" applyFill="1" applyBorder="1" applyAlignment="1">
      <alignment horizontal="center" vertical="center"/>
    </xf>
    <xf numFmtId="41" fontId="9" fillId="0" borderId="12" xfId="1" applyFont="1" applyBorder="1" applyAlignment="1">
      <alignment horizontal="center" vertical="center"/>
    </xf>
    <xf numFmtId="41" fontId="0" fillId="7" borderId="0" xfId="1" applyFont="1" applyFill="1">
      <alignment vertical="center"/>
    </xf>
    <xf numFmtId="41" fontId="12" fillId="0" borderId="14" xfId="1" applyFont="1" applyFill="1" applyBorder="1" applyAlignment="1">
      <alignment horizontal="center" vertical="center"/>
    </xf>
    <xf numFmtId="41" fontId="13" fillId="0" borderId="12" xfId="1" applyFont="1" applyFill="1" applyBorder="1" applyAlignment="1">
      <alignment vertical="center"/>
    </xf>
    <xf numFmtId="41" fontId="13" fillId="0" borderId="15" xfId="1" applyFont="1" applyFill="1" applyBorder="1" applyAlignment="1">
      <alignment vertical="center"/>
    </xf>
    <xf numFmtId="41" fontId="13" fillId="0" borderId="13" xfId="1" applyFont="1" applyFill="1" applyBorder="1" applyAlignment="1">
      <alignment vertical="center"/>
    </xf>
    <xf numFmtId="0" fontId="9" fillId="0" borderId="12" xfId="1" applyNumberFormat="1" applyFont="1" applyFill="1" applyBorder="1" applyAlignment="1">
      <alignment horizontal="center" vertical="center"/>
    </xf>
    <xf numFmtId="0" fontId="9" fillId="0" borderId="13" xfId="1" applyNumberFormat="1" applyFont="1" applyFill="1" applyBorder="1" applyAlignment="1">
      <alignment horizontal="center" vertical="center"/>
    </xf>
    <xf numFmtId="0" fontId="9" fillId="0" borderId="14" xfId="1" applyNumberFormat="1" applyFont="1" applyFill="1" applyBorder="1" applyAlignment="1">
      <alignment horizontal="center" vertical="center"/>
    </xf>
    <xf numFmtId="41" fontId="8" fillId="0" borderId="11" xfId="1" applyFont="1" applyFill="1" applyBorder="1" applyAlignment="1">
      <alignment horizontal="center" vertical="center"/>
    </xf>
    <xf numFmtId="41" fontId="8" fillId="0" borderId="7" xfId="1" applyFont="1" applyFill="1" applyBorder="1" applyAlignment="1">
      <alignment horizontal="center" vertical="center"/>
    </xf>
    <xf numFmtId="41" fontId="12" fillId="0" borderId="0" xfId="1" applyFont="1" applyFill="1" applyBorder="1" applyAlignment="1">
      <alignment horizontal="center" vertical="center"/>
    </xf>
    <xf numFmtId="41" fontId="17" fillId="0" borderId="7" xfId="1" applyFont="1" applyFill="1" applyBorder="1" applyAlignment="1">
      <alignment horizontal="center" vertical="center"/>
    </xf>
    <xf numFmtId="41" fontId="0" fillId="8" borderId="0" xfId="1" applyFont="1" applyFill="1">
      <alignment vertical="center"/>
    </xf>
    <xf numFmtId="41" fontId="0" fillId="0" borderId="12" xfId="1" applyFont="1" applyFill="1" applyBorder="1">
      <alignment vertical="center"/>
    </xf>
    <xf numFmtId="41" fontId="23" fillId="0" borderId="9" xfId="1" applyFont="1" applyFill="1" applyBorder="1" applyAlignment="1">
      <alignment horizontal="center" vertical="center"/>
    </xf>
    <xf numFmtId="41" fontId="23" fillId="0" borderId="12" xfId="1" applyFont="1" applyFill="1" applyBorder="1" applyAlignment="1">
      <alignment horizontal="center" vertical="center"/>
    </xf>
    <xf numFmtId="41" fontId="17" fillId="0" borderId="11" xfId="1" applyFont="1" applyFill="1" applyBorder="1" applyAlignment="1">
      <alignment horizontal="center" vertical="center"/>
    </xf>
    <xf numFmtId="41" fontId="8" fillId="0" borderId="15" xfId="1" applyFont="1" applyFill="1" applyBorder="1" applyAlignment="1">
      <alignment horizontal="center" vertical="center"/>
    </xf>
    <xf numFmtId="41" fontId="10" fillId="0" borderId="15" xfId="1" applyFont="1" applyFill="1" applyBorder="1" applyAlignment="1">
      <alignment vertical="center"/>
    </xf>
    <xf numFmtId="41" fontId="9" fillId="0" borderId="6" xfId="1" applyFont="1" applyBorder="1" applyAlignment="1">
      <alignment horizontal="left" vertical="center"/>
    </xf>
    <xf numFmtId="41" fontId="10" fillId="0" borderId="13" xfId="1" applyFont="1" applyFill="1" applyBorder="1" applyAlignment="1">
      <alignment vertical="center"/>
    </xf>
    <xf numFmtId="41" fontId="16" fillId="0" borderId="1" xfId="1" applyFont="1" applyFill="1" applyBorder="1" applyAlignment="1">
      <alignment horizontal="center" vertical="center"/>
    </xf>
    <xf numFmtId="41" fontId="16" fillId="0" borderId="13" xfId="1" applyFont="1" applyFill="1" applyBorder="1" applyAlignment="1">
      <alignment horizontal="center" vertical="center"/>
    </xf>
    <xf numFmtId="41" fontId="16" fillId="0" borderId="15" xfId="1" applyFont="1" applyFill="1" applyBorder="1" applyAlignment="1">
      <alignment horizontal="center" vertical="center"/>
    </xf>
    <xf numFmtId="41" fontId="16" fillId="0" borderId="12" xfId="1" applyFont="1" applyFill="1" applyBorder="1" applyAlignment="1">
      <alignment horizontal="center" vertical="center"/>
    </xf>
    <xf numFmtId="41" fontId="16" fillId="0" borderId="12" xfId="1" applyFont="1" applyBorder="1" applyAlignment="1">
      <alignment vertical="center"/>
    </xf>
    <xf numFmtId="41" fontId="16" fillId="0" borderId="12" xfId="1" applyFont="1" applyFill="1" applyBorder="1" applyAlignment="1">
      <alignment vertical="center"/>
    </xf>
    <xf numFmtId="41" fontId="16" fillId="0" borderId="1" xfId="1" applyFont="1" applyBorder="1" applyAlignment="1">
      <alignment horizontal="center" vertical="center"/>
    </xf>
    <xf numFmtId="41" fontId="16" fillId="0" borderId="3" xfId="1" applyFont="1" applyBorder="1" applyAlignment="1">
      <alignment horizontal="center" vertical="center"/>
    </xf>
    <xf numFmtId="41" fontId="16" fillId="0" borderId="4" xfId="1" applyFont="1" applyBorder="1" applyAlignment="1">
      <alignment horizontal="center" vertical="center"/>
    </xf>
    <xf numFmtId="41" fontId="16" fillId="0" borderId="1" xfId="1" applyFont="1" applyBorder="1" applyAlignment="1">
      <alignment horizontal="center" vertical="center"/>
    </xf>
    <xf numFmtId="41" fontId="16" fillId="3" borderId="1" xfId="1" applyFont="1" applyFill="1" applyBorder="1" applyAlignment="1">
      <alignment horizontal="center" vertical="center"/>
    </xf>
    <xf numFmtId="41" fontId="16" fillId="3" borderId="4" xfId="1" applyFont="1" applyFill="1" applyBorder="1" applyAlignment="1">
      <alignment horizontal="center" vertical="center"/>
    </xf>
    <xf numFmtId="41" fontId="16" fillId="0" borderId="4" xfId="1" applyFont="1" applyBorder="1" applyAlignment="1">
      <alignment vertical="center"/>
    </xf>
    <xf numFmtId="41" fontId="16" fillId="3" borderId="12" xfId="1" applyFont="1" applyFill="1" applyBorder="1" applyAlignment="1">
      <alignment vertical="center"/>
    </xf>
    <xf numFmtId="41" fontId="24" fillId="5" borderId="0" xfId="1" applyFont="1" applyFill="1">
      <alignment vertical="center"/>
    </xf>
    <xf numFmtId="41" fontId="25" fillId="0" borderId="0" xfId="1" applyFont="1" applyFill="1">
      <alignment vertical="center"/>
    </xf>
    <xf numFmtId="0" fontId="8" fillId="0" borderId="0" xfId="1" applyNumberFormat="1" applyFont="1" applyFill="1" applyBorder="1" applyAlignment="1">
      <alignment horizontal="center" vertical="center"/>
    </xf>
    <xf numFmtId="0" fontId="26" fillId="0" borderId="0" xfId="1" applyNumberFormat="1" applyFont="1" applyFill="1" applyBorder="1" applyAlignment="1">
      <alignment horizontal="center" vertical="center"/>
    </xf>
    <xf numFmtId="41" fontId="26" fillId="0" borderId="0" xfId="1" applyFont="1" applyFill="1" applyBorder="1" applyAlignment="1">
      <alignment horizontal="center" vertical="center"/>
    </xf>
    <xf numFmtId="41" fontId="27" fillId="0" borderId="0" xfId="1" applyFont="1" applyFill="1" applyBorder="1" applyAlignment="1">
      <alignment horizontal="center" vertical="center"/>
    </xf>
    <xf numFmtId="41" fontId="10" fillId="0" borderId="0" xfId="1" applyFont="1" applyFill="1" applyBorder="1" applyAlignment="1">
      <alignment horizontal="center" vertical="center"/>
    </xf>
    <xf numFmtId="41" fontId="28" fillId="0" borderId="0" xfId="1" applyFont="1" applyFill="1" applyBorder="1" applyAlignment="1">
      <alignment horizontal="center" vertical="center"/>
    </xf>
    <xf numFmtId="41" fontId="29" fillId="0" borderId="0" xfId="1" applyFont="1" applyFill="1">
      <alignment vertical="center"/>
    </xf>
    <xf numFmtId="41" fontId="29" fillId="0" borderId="0" xfId="1" applyFont="1" applyFill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0" fillId="0" borderId="0" xfId="1" applyNumberFormat="1" applyFont="1" applyFill="1" applyAlignment="1">
      <alignment horizontal="center" vertical="center"/>
    </xf>
    <xf numFmtId="41" fontId="4" fillId="2" borderId="1" xfId="1" applyFont="1" applyFill="1" applyBorder="1" applyAlignment="1">
      <alignment horizontal="center" vertical="center"/>
    </xf>
    <xf numFmtId="41" fontId="4" fillId="2" borderId="8" xfId="1" applyFont="1" applyFill="1" applyBorder="1" applyAlignment="1">
      <alignment horizontal="center" vertical="center" wrapText="1"/>
    </xf>
    <xf numFmtId="41" fontId="4" fillId="2" borderId="9" xfId="1" applyFont="1" applyFill="1" applyBorder="1" applyAlignment="1">
      <alignment horizontal="center" vertical="center"/>
    </xf>
    <xf numFmtId="41" fontId="4" fillId="2" borderId="10" xfId="1" applyFont="1" applyFill="1" applyBorder="1" applyAlignment="1">
      <alignment horizontal="center" vertical="center"/>
    </xf>
    <xf numFmtId="41" fontId="7" fillId="2" borderId="10" xfId="1" applyFont="1" applyFill="1" applyBorder="1" applyAlignment="1">
      <alignment horizontal="center" vertical="center"/>
    </xf>
    <xf numFmtId="41" fontId="7" fillId="2" borderId="9" xfId="1" applyFont="1" applyFill="1" applyBorder="1" applyAlignment="1">
      <alignment horizontal="center" vertical="center" wrapText="1"/>
    </xf>
    <xf numFmtId="41" fontId="7" fillId="2" borderId="10" xfId="1" applyFont="1" applyFill="1" applyBorder="1" applyAlignment="1">
      <alignment horizontal="center" vertical="center" wrapText="1"/>
    </xf>
    <xf numFmtId="41" fontId="12" fillId="0" borderId="12" xfId="1" applyFont="1" applyFill="1" applyBorder="1" applyAlignment="1">
      <alignment horizontal="center" vertical="center"/>
    </xf>
    <xf numFmtId="41" fontId="30" fillId="0" borderId="6" xfId="1" applyFont="1" applyFill="1" applyBorder="1" applyAlignment="1">
      <alignment vertical="center"/>
    </xf>
    <xf numFmtId="41" fontId="30" fillId="0" borderId="0" xfId="1" applyFont="1" applyFill="1" applyBorder="1" applyAlignment="1">
      <alignment vertical="center"/>
    </xf>
    <xf numFmtId="0" fontId="0" fillId="0" borderId="5" xfId="0" applyBorder="1">
      <alignment vertical="center"/>
    </xf>
    <xf numFmtId="41" fontId="16" fillId="0" borderId="3" xfId="1" applyFont="1" applyFill="1" applyBorder="1" applyAlignment="1">
      <alignment horizontal="center" vertical="center"/>
    </xf>
    <xf numFmtId="41" fontId="16" fillId="0" borderId="4" xfId="1" applyFont="1" applyFill="1" applyBorder="1" applyAlignment="1">
      <alignment horizontal="center" vertical="center"/>
    </xf>
    <xf numFmtId="41" fontId="16" fillId="0" borderId="2" xfId="1" applyFont="1" applyFill="1" applyBorder="1" applyAlignment="1">
      <alignment horizontal="center" vertical="center"/>
    </xf>
    <xf numFmtId="41" fontId="16" fillId="9" borderId="9" xfId="1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41" fontId="16" fillId="9" borderId="1" xfId="1" applyFont="1" applyFill="1" applyBorder="1" applyAlignment="1">
      <alignment horizontal="center" vertical="center"/>
    </xf>
    <xf numFmtId="41" fontId="16" fillId="9" borderId="4" xfId="1" applyFont="1" applyFill="1" applyBorder="1" applyAlignment="1">
      <alignment horizontal="center" vertical="center"/>
    </xf>
    <xf numFmtId="41" fontId="16" fillId="0" borderId="3" xfId="1" applyFont="1" applyFill="1" applyBorder="1" applyAlignment="1">
      <alignment horizontal="center" vertical="center"/>
    </xf>
    <xf numFmtId="41" fontId="16" fillId="9" borderId="12" xfId="1" applyFont="1" applyFill="1" applyBorder="1" applyAlignment="1">
      <alignment horizontal="center" vertical="center"/>
    </xf>
    <xf numFmtId="41" fontId="0" fillId="5" borderId="0" xfId="0" applyNumberFormat="1" applyFill="1">
      <alignment vertical="center"/>
    </xf>
    <xf numFmtId="41" fontId="0" fillId="0" borderId="0" xfId="0" applyNumberFormat="1">
      <alignment vertical="center"/>
    </xf>
    <xf numFmtId="0" fontId="0" fillId="0" borderId="0" xfId="1" applyNumberFormat="1" applyFont="1" applyFill="1">
      <alignment vertical="center"/>
    </xf>
    <xf numFmtId="0" fontId="4" fillId="2" borderId="4" xfId="1" applyNumberFormat="1" applyFont="1" applyFill="1" applyBorder="1" applyAlignment="1">
      <alignment horizontal="center" vertical="center"/>
    </xf>
    <xf numFmtId="41" fontId="4" fillId="2" borderId="3" xfId="1" applyFont="1" applyFill="1" applyBorder="1" applyAlignment="1">
      <alignment horizontal="center" vertical="center"/>
    </xf>
    <xf numFmtId="0" fontId="9" fillId="0" borderId="11" xfId="1" applyNumberFormat="1" applyFont="1" applyBorder="1" applyAlignment="1">
      <alignment horizontal="center" vertical="center"/>
    </xf>
    <xf numFmtId="41" fontId="0" fillId="5" borderId="0" xfId="1" applyFont="1" applyFill="1">
      <alignment vertical="center"/>
    </xf>
    <xf numFmtId="0" fontId="9" fillId="0" borderId="7" xfId="1" applyNumberFormat="1" applyFont="1" applyBorder="1" applyAlignment="1">
      <alignment horizontal="center" vertical="center"/>
    </xf>
    <xf numFmtId="0" fontId="9" fillId="0" borderId="7" xfId="1" applyNumberFormat="1" applyFont="1" applyFill="1" applyBorder="1" applyAlignment="1">
      <alignment horizontal="center" vertical="center"/>
    </xf>
    <xf numFmtId="41" fontId="25" fillId="5" borderId="0" xfId="1" applyFont="1" applyFill="1">
      <alignment vertical="center"/>
    </xf>
    <xf numFmtId="41" fontId="2" fillId="5" borderId="0" xfId="1" applyFont="1" applyFill="1">
      <alignment vertical="center"/>
    </xf>
    <xf numFmtId="41" fontId="9" fillId="0" borderId="0" xfId="1" applyFont="1" applyBorder="1" applyAlignment="1">
      <alignment horizontal="left" vertical="center"/>
    </xf>
    <xf numFmtId="0" fontId="9" fillId="0" borderId="15" xfId="1" applyNumberFormat="1" applyFont="1" applyBorder="1" applyAlignment="1">
      <alignment horizontal="center" vertical="center"/>
    </xf>
    <xf numFmtId="41" fontId="16" fillId="9" borderId="2" xfId="1" applyFont="1" applyFill="1" applyBorder="1" applyAlignment="1">
      <alignment horizontal="center" vertical="center"/>
    </xf>
    <xf numFmtId="41" fontId="16" fillId="9" borderId="12" xfId="1" applyFont="1" applyFill="1" applyBorder="1" applyAlignment="1">
      <alignment vertical="center"/>
    </xf>
    <xf numFmtId="0" fontId="25" fillId="0" borderId="0" xfId="0" applyFont="1">
      <alignment vertical="center"/>
    </xf>
    <xf numFmtId="0" fontId="31" fillId="0" borderId="2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176" fontId="33" fillId="0" borderId="3" xfId="0" applyNumberFormat="1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 wrapText="1"/>
    </xf>
    <xf numFmtId="41" fontId="33" fillId="0" borderId="3" xfId="1" applyFont="1" applyFill="1" applyBorder="1" applyAlignment="1">
      <alignment horizontal="center" vertical="center"/>
    </xf>
    <xf numFmtId="41" fontId="33" fillId="0" borderId="2" xfId="1" applyFont="1" applyFill="1" applyBorder="1" applyAlignment="1">
      <alignment horizontal="center" vertical="center" wrapText="1"/>
    </xf>
    <xf numFmtId="41" fontId="33" fillId="0" borderId="3" xfId="1" applyFont="1" applyFill="1" applyBorder="1" applyAlignment="1">
      <alignment horizontal="center" vertical="center" wrapText="1"/>
    </xf>
    <xf numFmtId="41" fontId="33" fillId="0" borderId="4" xfId="1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23" fillId="0" borderId="9" xfId="1" applyNumberFormat="1" applyFont="1" applyFill="1" applyBorder="1" applyAlignment="1">
      <alignment horizontal="center" vertical="center"/>
    </xf>
    <xf numFmtId="0" fontId="23" fillId="0" borderId="10" xfId="1" applyNumberFormat="1" applyFont="1" applyFill="1" applyBorder="1" applyAlignment="1">
      <alignment horizontal="center" vertical="center"/>
    </xf>
    <xf numFmtId="41" fontId="23" fillId="0" borderId="10" xfId="1" applyFont="1" applyFill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41" fontId="10" fillId="0" borderId="10" xfId="0" applyNumberFormat="1" applyFont="1" applyBorder="1">
      <alignment vertical="center"/>
    </xf>
    <xf numFmtId="41" fontId="10" fillId="0" borderId="9" xfId="0" applyNumberFormat="1" applyFont="1" applyBorder="1">
      <alignment vertical="center"/>
    </xf>
    <xf numFmtId="41" fontId="8" fillId="0" borderId="9" xfId="0" applyNumberFormat="1" applyFont="1" applyBorder="1" applyAlignment="1">
      <alignment horizontal="center" vertical="center"/>
    </xf>
    <xf numFmtId="41" fontId="35" fillId="0" borderId="9" xfId="0" applyNumberFormat="1" applyFont="1" applyBorder="1" applyAlignment="1">
      <alignment horizontal="center" vertical="center"/>
    </xf>
    <xf numFmtId="0" fontId="23" fillId="0" borderId="6" xfId="1" applyNumberFormat="1" applyFont="1" applyFill="1" applyBorder="1" applyAlignment="1">
      <alignment horizontal="center" vertical="center"/>
    </xf>
    <xf numFmtId="0" fontId="23" fillId="0" borderId="0" xfId="1" applyNumberFormat="1" applyFont="1" applyFill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41" fontId="13" fillId="0" borderId="0" xfId="0" applyNumberFormat="1" applyFont="1">
      <alignment vertical="center"/>
    </xf>
    <xf numFmtId="41" fontId="13" fillId="0" borderId="6" xfId="0" applyNumberFormat="1" applyFont="1" applyBorder="1">
      <alignment vertical="center"/>
    </xf>
    <xf numFmtId="41" fontId="17" fillId="0" borderId="6" xfId="0" applyNumberFormat="1" applyFont="1" applyBorder="1" applyAlignment="1">
      <alignment horizontal="center" vertical="center"/>
    </xf>
    <xf numFmtId="41" fontId="35" fillId="0" borderId="6" xfId="0" applyNumberFormat="1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41" fontId="10" fillId="0" borderId="0" xfId="0" applyNumberFormat="1" applyFont="1">
      <alignment vertical="center"/>
    </xf>
    <xf numFmtId="41" fontId="10" fillId="0" borderId="6" xfId="0" applyNumberFormat="1" applyFont="1" applyBorder="1">
      <alignment vertical="center"/>
    </xf>
    <xf numFmtId="41" fontId="8" fillId="0" borderId="6" xfId="0" applyNumberFormat="1" applyFont="1" applyBorder="1" applyAlignment="1">
      <alignment horizontal="center" vertical="center"/>
    </xf>
    <xf numFmtId="41" fontId="30" fillId="0" borderId="6" xfId="0" applyNumberFormat="1" applyFont="1" applyBorder="1">
      <alignment vertical="center"/>
    </xf>
    <xf numFmtId="41" fontId="36" fillId="0" borderId="6" xfId="0" applyNumberFormat="1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23" fillId="0" borderId="12" xfId="1" applyNumberFormat="1" applyFont="1" applyFill="1" applyBorder="1" applyAlignment="1">
      <alignment horizontal="center" vertical="center"/>
    </xf>
    <xf numFmtId="0" fontId="23" fillId="0" borderId="13" xfId="1" applyNumberFormat="1" applyFont="1" applyFill="1" applyBorder="1" applyAlignment="1">
      <alignment horizontal="center" vertical="center"/>
    </xf>
    <xf numFmtId="41" fontId="23" fillId="0" borderId="13" xfId="1" applyFont="1" applyFill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41" fontId="10" fillId="0" borderId="13" xfId="0" applyNumberFormat="1" applyFont="1" applyBorder="1">
      <alignment vertical="center"/>
    </xf>
    <xf numFmtId="41" fontId="10" fillId="0" borderId="12" xfId="0" applyNumberFormat="1" applyFont="1" applyBorder="1">
      <alignment vertical="center"/>
    </xf>
    <xf numFmtId="41" fontId="8" fillId="0" borderId="12" xfId="0" applyNumberFormat="1" applyFont="1" applyBorder="1" applyAlignment="1">
      <alignment horizontal="center" vertical="center"/>
    </xf>
    <xf numFmtId="41" fontId="35" fillId="0" borderId="12" xfId="0" applyNumberFormat="1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37" fillId="0" borderId="4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177" fontId="37" fillId="0" borderId="2" xfId="0" applyNumberFormat="1" applyFont="1" applyBorder="1">
      <alignment vertical="center"/>
    </xf>
    <xf numFmtId="177" fontId="37" fillId="0" borderId="9" xfId="0" applyNumberFormat="1" applyFont="1" applyBorder="1">
      <alignment vertical="center"/>
    </xf>
    <xf numFmtId="0" fontId="37" fillId="0" borderId="1" xfId="0" applyFont="1" applyBorder="1" applyAlignment="1">
      <alignment horizontal="center" vertical="center"/>
    </xf>
    <xf numFmtId="177" fontId="37" fillId="0" borderId="1" xfId="0" applyNumberFormat="1" applyFont="1" applyBorder="1" applyAlignment="1">
      <alignment horizontal="center" vertical="center"/>
    </xf>
    <xf numFmtId="177" fontId="37" fillId="0" borderId="4" xfId="0" applyNumberFormat="1" applyFont="1" applyBorder="1" applyAlignment="1">
      <alignment horizontal="center" vertical="center"/>
    </xf>
    <xf numFmtId="177" fontId="37" fillId="0" borderId="4" xfId="0" applyNumberFormat="1" applyFont="1" applyBorder="1">
      <alignment vertical="center"/>
    </xf>
    <xf numFmtId="177" fontId="37" fillId="0" borderId="12" xfId="0" applyNumberFormat="1" applyFont="1" applyBorder="1">
      <alignment vertical="center"/>
    </xf>
    <xf numFmtId="177" fontId="10" fillId="0" borderId="0" xfId="0" applyNumberFormat="1" applyFo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176" fontId="7" fillId="2" borderId="2" xfId="0" applyNumberFormat="1" applyFont="1" applyFill="1" applyBorder="1" applyAlignment="1">
      <alignment horizontal="center" vertical="center"/>
    </xf>
    <xf numFmtId="176" fontId="7" fillId="2" borderId="3" xfId="0" applyNumberFormat="1" applyFont="1" applyFill="1" applyBorder="1" applyAlignment="1">
      <alignment horizontal="center" vertical="center"/>
    </xf>
    <xf numFmtId="176" fontId="7" fillId="2" borderId="4" xfId="0" applyNumberFormat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41" fontId="7" fillId="2" borderId="2" xfId="1" applyFont="1" applyFill="1" applyBorder="1" applyAlignment="1">
      <alignment horizontal="center" vertical="center"/>
    </xf>
    <xf numFmtId="41" fontId="7" fillId="2" borderId="3" xfId="1" applyFont="1" applyFill="1" applyBorder="1" applyAlignment="1">
      <alignment horizontal="center" vertical="center" wrapText="1"/>
    </xf>
    <xf numFmtId="41" fontId="7" fillId="2" borderId="4" xfId="1" applyFont="1" applyFill="1" applyBorder="1" applyAlignment="1">
      <alignment horizontal="center" vertical="center"/>
    </xf>
    <xf numFmtId="41" fontId="2" fillId="0" borderId="0" xfId="1" applyFont="1">
      <alignment vertical="center"/>
    </xf>
    <xf numFmtId="41" fontId="2" fillId="0" borderId="0" xfId="1" applyFont="1" applyAlignment="1">
      <alignment horizontal="center" vertical="center"/>
    </xf>
    <xf numFmtId="41" fontId="15" fillId="0" borderId="0" xfId="0" applyNumberFormat="1" applyFont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41" fontId="11" fillId="0" borderId="11" xfId="0" applyNumberFormat="1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41" fontId="11" fillId="0" borderId="7" xfId="0" applyNumberFormat="1" applyFont="1" applyBorder="1" applyAlignment="1">
      <alignment horizontal="center" vertical="center"/>
    </xf>
    <xf numFmtId="41" fontId="0" fillId="3" borderId="0" xfId="0" applyNumberFormat="1" applyFill="1">
      <alignment vertical="center"/>
    </xf>
    <xf numFmtId="0" fontId="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41" fontId="2" fillId="0" borderId="0" xfId="1" applyFont="1" applyFill="1">
      <alignment vertical="center"/>
    </xf>
    <xf numFmtId="41" fontId="0" fillId="0" borderId="0" xfId="1" applyFont="1" applyAlignment="1">
      <alignment horizontal="center" vertical="center"/>
    </xf>
    <xf numFmtId="41" fontId="2" fillId="4" borderId="0" xfId="1" applyFont="1" applyFill="1">
      <alignment vertical="center"/>
    </xf>
    <xf numFmtId="0" fontId="9" fillId="0" borderId="10" xfId="0" applyFont="1" applyBorder="1" applyAlignment="1">
      <alignment horizontal="center" vertical="center"/>
    </xf>
    <xf numFmtId="41" fontId="2" fillId="0" borderId="0" xfId="0" applyNumberFormat="1" applyFont="1">
      <alignment vertical="center"/>
    </xf>
    <xf numFmtId="41" fontId="0" fillId="4" borderId="0" xfId="0" applyNumberFormat="1" applyFill="1">
      <alignment vertical="center"/>
    </xf>
    <xf numFmtId="0" fontId="12" fillId="0" borderId="10" xfId="0" applyFont="1" applyBorder="1" applyAlignment="1">
      <alignment horizontal="center" vertical="center"/>
    </xf>
    <xf numFmtId="41" fontId="13" fillId="0" borderId="9" xfId="0" applyNumberFormat="1" applyFont="1" applyBorder="1">
      <alignment vertical="center"/>
    </xf>
    <xf numFmtId="41" fontId="13" fillId="0" borderId="10" xfId="0" applyNumberFormat="1" applyFont="1" applyBorder="1">
      <alignment vertical="center"/>
    </xf>
    <xf numFmtId="41" fontId="17" fillId="0" borderId="9" xfId="0" applyNumberFormat="1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41" fontId="11" fillId="0" borderId="15" xfId="0" applyNumberFormat="1" applyFont="1" applyBorder="1" applyAlignment="1">
      <alignment horizontal="center" vertical="center"/>
    </xf>
    <xf numFmtId="0" fontId="0" fillId="3" borderId="0" xfId="0" applyFill="1">
      <alignment vertical="center"/>
    </xf>
    <xf numFmtId="0" fontId="12" fillId="0" borderId="13" xfId="0" applyFont="1" applyBorder="1" applyAlignment="1">
      <alignment horizontal="center" vertical="center"/>
    </xf>
    <xf numFmtId="41" fontId="13" fillId="0" borderId="12" xfId="0" applyNumberFormat="1" applyFont="1" applyBorder="1">
      <alignment vertical="center"/>
    </xf>
    <xf numFmtId="41" fontId="13" fillId="0" borderId="13" xfId="0" applyNumberFormat="1" applyFont="1" applyBorder="1">
      <alignment vertical="center"/>
    </xf>
    <xf numFmtId="41" fontId="17" fillId="0" borderId="12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177" fontId="16" fillId="0" borderId="2" xfId="0" applyNumberFormat="1" applyFont="1" applyBorder="1">
      <alignment vertical="center"/>
    </xf>
    <xf numFmtId="177" fontId="16" fillId="9" borderId="9" xfId="0" applyNumberFormat="1" applyFont="1" applyFill="1" applyBorder="1">
      <alignment vertical="center"/>
    </xf>
    <xf numFmtId="0" fontId="16" fillId="0" borderId="14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77" fontId="37" fillId="9" borderId="2" xfId="0" applyNumberFormat="1" applyFont="1" applyFill="1" applyBorder="1" applyAlignment="1">
      <alignment horizontal="center" vertical="center"/>
    </xf>
    <xf numFmtId="177" fontId="16" fillId="9" borderId="12" xfId="0" applyNumberFormat="1" applyFont="1" applyFill="1" applyBorder="1">
      <alignment vertical="center"/>
    </xf>
    <xf numFmtId="0" fontId="8" fillId="0" borderId="0" xfId="0" applyFont="1" applyAlignment="1">
      <alignment horizontal="center" vertical="center"/>
    </xf>
    <xf numFmtId="41" fontId="38" fillId="5" borderId="0" xfId="0" applyNumberFormat="1" applyFont="1" applyFill="1" applyAlignment="1">
      <alignment horizontal="center" vertical="center"/>
    </xf>
    <xf numFmtId="177" fontId="0" fillId="0" borderId="0" xfId="0" applyNumberFormat="1">
      <alignment vertical="center"/>
    </xf>
    <xf numFmtId="0" fontId="21" fillId="0" borderId="0" xfId="0" applyFont="1">
      <alignment vertical="center"/>
    </xf>
    <xf numFmtId="0" fontId="21" fillId="0" borderId="19" xfId="0" applyFont="1" applyBorder="1">
      <alignment vertical="center"/>
    </xf>
    <xf numFmtId="0" fontId="21" fillId="0" borderId="17" xfId="0" applyFont="1" applyBorder="1">
      <alignment vertical="center"/>
    </xf>
    <xf numFmtId="0" fontId="21" fillId="0" borderId="21" xfId="0" applyFont="1" applyBorder="1">
      <alignment vertical="center"/>
    </xf>
    <xf numFmtId="0" fontId="21" fillId="0" borderId="20" xfId="0" applyFont="1" applyBorder="1">
      <alignment vertical="center"/>
    </xf>
    <xf numFmtId="0" fontId="21" fillId="0" borderId="18" xfId="0" applyFont="1" applyBorder="1">
      <alignment vertical="center"/>
    </xf>
    <xf numFmtId="0" fontId="21" fillId="0" borderId="22" xfId="0" applyFont="1" applyBorder="1">
      <alignment vertical="center"/>
    </xf>
    <xf numFmtId="0" fontId="21" fillId="0" borderId="23" xfId="0" applyFont="1" applyBorder="1">
      <alignment vertical="center"/>
    </xf>
    <xf numFmtId="0" fontId="21" fillId="0" borderId="16" xfId="0" applyFont="1" applyBorder="1">
      <alignment vertical="center"/>
    </xf>
    <xf numFmtId="0" fontId="21" fillId="0" borderId="24" xfId="0" applyFont="1" applyBorder="1">
      <alignment vertical="center"/>
    </xf>
    <xf numFmtId="0" fontId="39" fillId="10" borderId="25" xfId="0" applyFont="1" applyFill="1" applyBorder="1" applyAlignment="1">
      <alignment horizontal="center" vertical="center" wrapText="1"/>
    </xf>
    <xf numFmtId="49" fontId="39" fillId="10" borderId="26" xfId="0" applyNumberFormat="1" applyFont="1" applyFill="1" applyBorder="1" applyAlignment="1">
      <alignment horizontal="center" vertical="center" wrapText="1"/>
    </xf>
    <xf numFmtId="0" fontId="39" fillId="10" borderId="26" xfId="0" applyFont="1" applyFill="1" applyBorder="1" applyAlignment="1">
      <alignment horizontal="center" vertical="center" wrapText="1"/>
    </xf>
    <xf numFmtId="0" fontId="39" fillId="10" borderId="27" xfId="0" applyFont="1" applyFill="1" applyBorder="1" applyAlignment="1">
      <alignment horizontal="center" vertical="center" wrapText="1"/>
    </xf>
  </cellXfs>
  <cellStyles count="2">
    <cellStyle name="쉼표 [0]" xfId="1" builtinId="6"/>
    <cellStyle name="표준" xfId="0" builtinId="0"/>
  </cellStyles>
  <dxfs count="2">
    <dxf>
      <font>
        <condense val="0"/>
        <extend val="0"/>
        <color rgb="FF9C0006"/>
      </font>
    </dxf>
    <dxf>
      <font>
        <condense val="0"/>
        <extend val="0"/>
        <color rgb="FF9C0006"/>
      </font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8F2A1-B4FC-4BF9-B40E-763710F6B765}">
  <sheetPr codeName="Sheet2"/>
  <dimension ref="A1:AE1057"/>
  <sheetViews>
    <sheetView zoomScale="85" zoomScaleNormal="85" workbookViewId="0">
      <selection activeCell="F34" sqref="F34"/>
    </sheetView>
  </sheetViews>
  <sheetFormatPr defaultColWidth="9" defaultRowHeight="17" x14ac:dyDescent="0.45"/>
  <cols>
    <col min="1" max="1" width="10" style="209" bestFit="1" customWidth="1"/>
    <col min="2" max="2" width="10.58203125" style="210" bestFit="1" customWidth="1"/>
    <col min="3" max="5" width="9.83203125" style="210" customWidth="1"/>
    <col min="6" max="6" width="25.58203125" style="13" bestFit="1" customWidth="1"/>
    <col min="7" max="7" width="13" style="13" customWidth="1"/>
    <col min="8" max="8" width="22.83203125" style="31" customWidth="1"/>
    <col min="9" max="9" width="9.58203125" style="31" customWidth="1"/>
    <col min="10" max="11" width="17.75" style="31" bestFit="1" customWidth="1"/>
    <col min="12" max="12" width="15.08203125" style="31" bestFit="1" customWidth="1"/>
    <col min="13" max="13" width="18.58203125" style="13" bestFit="1" customWidth="1"/>
    <col min="14" max="14" width="26.83203125" style="11" bestFit="1" customWidth="1"/>
    <col min="15" max="15" width="11.5" style="12" bestFit="1" customWidth="1"/>
    <col min="16" max="16" width="8.75" style="12" bestFit="1" customWidth="1"/>
    <col min="17" max="17" width="11.5" style="12" bestFit="1" customWidth="1"/>
    <col min="18" max="18" width="4" style="12" bestFit="1" customWidth="1"/>
    <col min="19" max="19" width="11.5" style="12" bestFit="1" customWidth="1"/>
    <col min="20" max="20" width="10" style="12" bestFit="1" customWidth="1"/>
    <col min="21" max="21" width="11.5" style="13" customWidth="1"/>
    <col min="22" max="22" width="3.58203125" style="12" customWidth="1"/>
    <col min="23" max="23" width="9.83203125" style="12" bestFit="1" customWidth="1"/>
    <col min="24" max="24" width="8.75" style="12" bestFit="1" customWidth="1"/>
    <col min="25" max="25" width="9.83203125" style="12" bestFit="1" customWidth="1"/>
    <col min="26" max="26" width="6.25" style="12" customWidth="1"/>
    <col min="27" max="27" width="11" style="12" customWidth="1"/>
    <col min="28" max="28" width="9" style="12"/>
    <col min="29" max="29" width="10.83203125" style="12" customWidth="1"/>
    <col min="30" max="16384" width="9" style="12"/>
  </cols>
  <sheetData>
    <row r="1" spans="1:29" ht="40.5" customHeight="1" x14ac:dyDescent="0.45">
      <c r="A1" s="1" t="s">
        <v>0</v>
      </c>
      <c r="B1" s="2" t="s">
        <v>1</v>
      </c>
      <c r="C1" s="3" t="s">
        <v>2</v>
      </c>
      <c r="D1" s="4" t="s">
        <v>3</v>
      </c>
      <c r="E1" s="1" t="s">
        <v>4</v>
      </c>
      <c r="F1" s="5" t="s">
        <v>5</v>
      </c>
      <c r="G1" s="6" t="s">
        <v>6</v>
      </c>
      <c r="H1" s="7" t="s">
        <v>7</v>
      </c>
      <c r="I1" s="8" t="s">
        <v>8</v>
      </c>
      <c r="J1" s="9" t="s">
        <v>9</v>
      </c>
      <c r="K1" s="8" t="s">
        <v>10</v>
      </c>
      <c r="L1" s="10" t="s">
        <v>11</v>
      </c>
      <c r="M1" s="10" t="s">
        <v>12</v>
      </c>
    </row>
    <row r="2" spans="1:29" s="13" customFormat="1" ht="16.5" customHeight="1" x14ac:dyDescent="0.45">
      <c r="A2" s="14">
        <v>1</v>
      </c>
      <c r="B2" s="14">
        <v>1</v>
      </c>
      <c r="C2" s="15">
        <v>1</v>
      </c>
      <c r="D2" s="16">
        <v>1</v>
      </c>
      <c r="E2" s="17">
        <v>18</v>
      </c>
      <c r="F2" s="18" t="s">
        <v>13</v>
      </c>
      <c r="G2" s="19" t="s">
        <v>14</v>
      </c>
      <c r="H2" s="20" t="s">
        <v>15</v>
      </c>
      <c r="I2" s="18" t="s">
        <v>16</v>
      </c>
      <c r="J2" s="21">
        <v>18900</v>
      </c>
      <c r="K2" s="21"/>
      <c r="L2" s="22">
        <v>900</v>
      </c>
      <c r="M2" s="23">
        <f>SUM(J2:K41)</f>
        <v>705600</v>
      </c>
      <c r="N2" s="24"/>
      <c r="R2" s="12"/>
      <c r="S2" s="12"/>
      <c r="T2" s="12"/>
      <c r="W2" s="25"/>
      <c r="X2" s="25"/>
      <c r="Y2" s="25"/>
      <c r="Z2" s="26"/>
      <c r="AA2" s="25"/>
      <c r="AB2" s="25"/>
      <c r="AC2" s="25"/>
    </row>
    <row r="3" spans="1:29" s="13" customFormat="1" ht="16.5" customHeight="1" x14ac:dyDescent="0.45">
      <c r="A3" s="14">
        <v>2</v>
      </c>
      <c r="B3" s="14">
        <v>2</v>
      </c>
      <c r="C3" s="15">
        <v>1</v>
      </c>
      <c r="D3" s="16">
        <v>2</v>
      </c>
      <c r="E3" s="17">
        <v>12</v>
      </c>
      <c r="F3" s="18" t="s">
        <v>17</v>
      </c>
      <c r="G3" s="19" t="s">
        <v>14</v>
      </c>
      <c r="H3" s="20" t="s">
        <v>15</v>
      </c>
      <c r="I3" s="18" t="s">
        <v>16</v>
      </c>
      <c r="J3" s="21">
        <v>18900</v>
      </c>
      <c r="K3" s="21"/>
      <c r="L3" s="22">
        <v>900</v>
      </c>
      <c r="M3" s="23"/>
      <c r="N3" s="24"/>
      <c r="O3" s="27">
        <f>SUM(J2:K41)</f>
        <v>705600</v>
      </c>
      <c r="R3" s="12"/>
      <c r="S3" s="12"/>
      <c r="T3" s="12"/>
    </row>
    <row r="4" spans="1:29" s="13" customFormat="1" ht="16.5" customHeight="1" x14ac:dyDescent="0.45">
      <c r="A4" s="14">
        <v>3</v>
      </c>
      <c r="B4" s="14">
        <v>3</v>
      </c>
      <c r="C4" s="15">
        <v>1</v>
      </c>
      <c r="D4" s="16">
        <v>5</v>
      </c>
      <c r="E4" s="17">
        <v>16</v>
      </c>
      <c r="F4" s="18" t="s">
        <v>18</v>
      </c>
      <c r="G4" s="19" t="s">
        <v>14</v>
      </c>
      <c r="H4" s="20" t="s">
        <v>15</v>
      </c>
      <c r="I4" s="18" t="s">
        <v>16</v>
      </c>
      <c r="J4" s="21">
        <v>18900</v>
      </c>
      <c r="K4" s="21"/>
      <c r="L4" s="22">
        <v>900</v>
      </c>
      <c r="M4" s="23"/>
      <c r="N4" s="24"/>
      <c r="O4" s="27">
        <f>SUM(L2:L41)</f>
        <v>33600</v>
      </c>
      <c r="R4" s="25"/>
      <c r="S4" s="25"/>
      <c r="T4" s="25"/>
      <c r="U4" s="26"/>
      <c r="V4" s="25"/>
    </row>
    <row r="5" spans="1:29" s="13" customFormat="1" ht="16.5" customHeight="1" x14ac:dyDescent="0.45">
      <c r="A5" s="14">
        <v>4</v>
      </c>
      <c r="B5" s="14">
        <v>4</v>
      </c>
      <c r="C5" s="15">
        <v>1</v>
      </c>
      <c r="D5" s="16">
        <v>6</v>
      </c>
      <c r="E5" s="17">
        <v>2</v>
      </c>
      <c r="F5" s="18" t="s">
        <v>19</v>
      </c>
      <c r="G5" s="19" t="s">
        <v>14</v>
      </c>
      <c r="H5" s="20" t="s">
        <v>15</v>
      </c>
      <c r="I5" s="18" t="s">
        <v>16</v>
      </c>
      <c r="J5" s="21">
        <v>18900</v>
      </c>
      <c r="K5" s="21"/>
      <c r="L5" s="22">
        <v>900</v>
      </c>
      <c r="M5" s="23"/>
      <c r="N5" s="24"/>
      <c r="O5" s="27">
        <f>SUM(O3:O4)</f>
        <v>739200</v>
      </c>
      <c r="R5" s="12"/>
      <c r="S5" s="12"/>
      <c r="T5" s="12"/>
    </row>
    <row r="6" spans="1:29" s="13" customFormat="1" ht="16.5" customHeight="1" x14ac:dyDescent="0.45">
      <c r="A6" s="14">
        <v>5</v>
      </c>
      <c r="B6" s="14">
        <v>5</v>
      </c>
      <c r="C6" s="15">
        <v>1</v>
      </c>
      <c r="D6" s="16">
        <v>6</v>
      </c>
      <c r="E6" s="17">
        <v>19</v>
      </c>
      <c r="F6" s="18" t="s">
        <v>20</v>
      </c>
      <c r="G6" s="19" t="s">
        <v>14</v>
      </c>
      <c r="H6" s="20" t="s">
        <v>15</v>
      </c>
      <c r="I6" s="28" t="s">
        <v>21</v>
      </c>
      <c r="J6" s="29">
        <v>12600</v>
      </c>
      <c r="K6" s="29"/>
      <c r="L6" s="30">
        <v>600</v>
      </c>
      <c r="M6" s="23"/>
      <c r="N6" s="24"/>
      <c r="R6" s="12"/>
      <c r="S6" s="12"/>
      <c r="T6" s="12"/>
    </row>
    <row r="7" spans="1:29" s="13" customFormat="1" ht="16.5" customHeight="1" x14ac:dyDescent="0.45">
      <c r="A7" s="14">
        <v>6</v>
      </c>
      <c r="B7" s="14">
        <v>6</v>
      </c>
      <c r="C7" s="15">
        <v>1</v>
      </c>
      <c r="D7" s="16">
        <v>10</v>
      </c>
      <c r="E7" s="17">
        <v>3</v>
      </c>
      <c r="F7" s="18" t="s">
        <v>22</v>
      </c>
      <c r="G7" s="19" t="s">
        <v>14</v>
      </c>
      <c r="H7" s="20" t="s">
        <v>15</v>
      </c>
      <c r="I7" s="28" t="s">
        <v>21</v>
      </c>
      <c r="J7" s="29">
        <v>12600</v>
      </c>
      <c r="K7" s="29"/>
      <c r="L7" s="30">
        <v>600</v>
      </c>
      <c r="M7" s="23"/>
      <c r="N7" s="24"/>
      <c r="O7" s="13">
        <v>18900</v>
      </c>
      <c r="P7" s="13">
        <v>900</v>
      </c>
      <c r="Q7" s="13">
        <v>19800</v>
      </c>
      <c r="R7" s="25"/>
      <c r="S7" s="25"/>
      <c r="T7" s="25"/>
      <c r="U7" s="26"/>
      <c r="V7" s="25"/>
    </row>
    <row r="8" spans="1:29" s="13" customFormat="1" ht="16.5" customHeight="1" x14ac:dyDescent="0.45">
      <c r="A8" s="14">
        <v>7</v>
      </c>
      <c r="B8" s="14">
        <v>7</v>
      </c>
      <c r="C8" s="15">
        <v>1</v>
      </c>
      <c r="D8" s="16">
        <v>10</v>
      </c>
      <c r="E8" s="17">
        <v>14</v>
      </c>
      <c r="F8" s="18" t="s">
        <v>23</v>
      </c>
      <c r="G8" s="19" t="s">
        <v>14</v>
      </c>
      <c r="H8" s="20" t="s">
        <v>15</v>
      </c>
      <c r="I8" s="18" t="s">
        <v>16</v>
      </c>
      <c r="J8" s="21">
        <v>18900</v>
      </c>
      <c r="K8" s="21"/>
      <c r="L8" s="22">
        <v>900</v>
      </c>
      <c r="M8" s="23"/>
      <c r="N8" s="24"/>
      <c r="O8" s="13">
        <f>O7*40</f>
        <v>756000</v>
      </c>
      <c r="P8" s="13">
        <f t="shared" ref="P8:Q8" si="0">P7*40</f>
        <v>36000</v>
      </c>
      <c r="Q8" s="13">
        <f t="shared" si="0"/>
        <v>792000</v>
      </c>
      <c r="R8" s="12"/>
      <c r="S8" s="12"/>
      <c r="T8" s="12"/>
      <c r="AA8" s="31"/>
    </row>
    <row r="9" spans="1:29" s="13" customFormat="1" ht="16.5" customHeight="1" x14ac:dyDescent="0.45">
      <c r="A9" s="14">
        <v>8</v>
      </c>
      <c r="B9" s="14">
        <v>8</v>
      </c>
      <c r="C9" s="15">
        <v>1</v>
      </c>
      <c r="D9" s="16">
        <v>12</v>
      </c>
      <c r="E9" s="17">
        <v>4</v>
      </c>
      <c r="F9" s="18" t="s">
        <v>24</v>
      </c>
      <c r="G9" s="19" t="s">
        <v>14</v>
      </c>
      <c r="H9" s="20" t="s">
        <v>15</v>
      </c>
      <c r="I9" s="18" t="s">
        <v>16</v>
      </c>
      <c r="J9" s="21">
        <v>18900</v>
      </c>
      <c r="K9" s="21"/>
      <c r="L9" s="22">
        <v>900</v>
      </c>
      <c r="M9" s="23"/>
      <c r="N9" s="24"/>
      <c r="O9" s="13">
        <v>-50400</v>
      </c>
      <c r="P9" s="13">
        <v>-2400</v>
      </c>
      <c r="Q9" s="13">
        <v>-52800</v>
      </c>
      <c r="R9" s="12"/>
      <c r="S9" s="12"/>
      <c r="T9" s="12"/>
    </row>
    <row r="10" spans="1:29" s="13" customFormat="1" ht="16.5" customHeight="1" x14ac:dyDescent="0.45">
      <c r="A10" s="14">
        <v>9</v>
      </c>
      <c r="B10" s="14">
        <v>9</v>
      </c>
      <c r="C10" s="15">
        <v>2</v>
      </c>
      <c r="D10" s="16">
        <v>2</v>
      </c>
      <c r="E10" s="17">
        <v>16</v>
      </c>
      <c r="F10" s="18" t="s">
        <v>25</v>
      </c>
      <c r="G10" s="19" t="s">
        <v>14</v>
      </c>
      <c r="H10" s="20" t="s">
        <v>15</v>
      </c>
      <c r="I10" s="18" t="s">
        <v>16</v>
      </c>
      <c r="J10" s="21">
        <v>18900</v>
      </c>
      <c r="K10" s="21"/>
      <c r="L10" s="22">
        <v>900</v>
      </c>
      <c r="M10" s="23"/>
      <c r="N10" s="24"/>
      <c r="O10" s="13">
        <f>SUM(O8:O9)</f>
        <v>705600</v>
      </c>
      <c r="P10" s="13">
        <f t="shared" ref="P10:Q10" si="1">SUM(P8:P9)</f>
        <v>33600</v>
      </c>
      <c r="Q10" s="13">
        <f t="shared" si="1"/>
        <v>739200</v>
      </c>
      <c r="R10" s="25"/>
      <c r="S10" s="25"/>
      <c r="T10" s="25"/>
      <c r="U10" s="26"/>
      <c r="V10" s="25"/>
      <c r="W10" s="32"/>
      <c r="X10" s="32"/>
      <c r="Y10" s="32"/>
      <c r="Z10" s="32"/>
      <c r="AA10" s="32"/>
      <c r="AB10" s="32"/>
      <c r="AC10" s="32"/>
    </row>
    <row r="11" spans="1:29" s="13" customFormat="1" ht="16.5" customHeight="1" x14ac:dyDescent="0.45">
      <c r="A11" s="14">
        <v>10</v>
      </c>
      <c r="B11" s="14">
        <v>10</v>
      </c>
      <c r="C11" s="15">
        <v>2</v>
      </c>
      <c r="D11" s="16">
        <v>5</v>
      </c>
      <c r="E11" s="17">
        <v>7</v>
      </c>
      <c r="F11" s="18" t="s">
        <v>26</v>
      </c>
      <c r="G11" s="19" t="s">
        <v>14</v>
      </c>
      <c r="H11" s="20" t="s">
        <v>15</v>
      </c>
      <c r="I11" s="18" t="s">
        <v>16</v>
      </c>
      <c r="J11" s="21">
        <v>18900</v>
      </c>
      <c r="K11" s="21"/>
      <c r="L11" s="22">
        <v>900</v>
      </c>
      <c r="M11" s="23"/>
      <c r="N11" s="24"/>
      <c r="R11" s="12"/>
      <c r="S11" s="12"/>
      <c r="T11" s="12"/>
    </row>
    <row r="12" spans="1:29" s="13" customFormat="1" ht="16.5" customHeight="1" x14ac:dyDescent="0.45">
      <c r="A12" s="14">
        <v>11</v>
      </c>
      <c r="B12" s="14">
        <v>11</v>
      </c>
      <c r="C12" s="15">
        <v>2</v>
      </c>
      <c r="D12" s="16">
        <v>6</v>
      </c>
      <c r="E12" s="17">
        <v>5</v>
      </c>
      <c r="F12" s="18" t="s">
        <v>27</v>
      </c>
      <c r="G12" s="19" t="s">
        <v>14</v>
      </c>
      <c r="H12" s="20" t="s">
        <v>15</v>
      </c>
      <c r="I12" s="18" t="s">
        <v>16</v>
      </c>
      <c r="J12" s="21">
        <v>18900</v>
      </c>
      <c r="K12" s="21"/>
      <c r="L12" s="22">
        <v>900</v>
      </c>
      <c r="M12" s="23"/>
      <c r="N12" s="24"/>
      <c r="O12" s="13">
        <v>18900</v>
      </c>
      <c r="P12" s="13">
        <v>900</v>
      </c>
      <c r="Q12" s="13">
        <v>19800</v>
      </c>
      <c r="R12" s="12"/>
      <c r="S12" s="12"/>
      <c r="T12" s="12"/>
    </row>
    <row r="13" spans="1:29" s="13" customFormat="1" ht="16.5" customHeight="1" x14ac:dyDescent="0.45">
      <c r="A13" s="14">
        <v>12</v>
      </c>
      <c r="B13" s="14">
        <v>12</v>
      </c>
      <c r="C13" s="15">
        <v>2</v>
      </c>
      <c r="D13" s="16">
        <v>6</v>
      </c>
      <c r="E13" s="17">
        <v>8</v>
      </c>
      <c r="F13" s="18" t="s">
        <v>28</v>
      </c>
      <c r="G13" s="19" t="s">
        <v>14</v>
      </c>
      <c r="H13" s="20" t="s">
        <v>15</v>
      </c>
      <c r="I13" s="18" t="s">
        <v>16</v>
      </c>
      <c r="J13" s="21">
        <v>18900</v>
      </c>
      <c r="K13" s="21"/>
      <c r="L13" s="22">
        <v>900</v>
      </c>
      <c r="M13" s="23"/>
      <c r="N13" s="24"/>
      <c r="O13" s="13">
        <f>O12*40</f>
        <v>756000</v>
      </c>
      <c r="P13" s="13">
        <f t="shared" ref="P13:Q13" si="2">P12*40</f>
        <v>36000</v>
      </c>
      <c r="Q13" s="13">
        <f t="shared" si="2"/>
        <v>792000</v>
      </c>
      <c r="R13" s="25"/>
      <c r="S13" s="25"/>
      <c r="T13" s="25"/>
      <c r="U13" s="26"/>
      <c r="V13" s="25"/>
      <c r="W13" s="25"/>
      <c r="X13" s="25"/>
      <c r="Y13" s="25"/>
      <c r="Z13" s="25"/>
      <c r="AA13" s="25"/>
      <c r="AB13" s="25"/>
      <c r="AC13" s="25"/>
    </row>
    <row r="14" spans="1:29" s="13" customFormat="1" ht="16.5" customHeight="1" x14ac:dyDescent="0.45">
      <c r="A14" s="14">
        <v>13</v>
      </c>
      <c r="B14" s="14">
        <v>13</v>
      </c>
      <c r="C14" s="15">
        <v>2</v>
      </c>
      <c r="D14" s="16">
        <v>9</v>
      </c>
      <c r="E14" s="17">
        <v>2</v>
      </c>
      <c r="F14" s="18" t="s">
        <v>29</v>
      </c>
      <c r="G14" s="19" t="s">
        <v>14</v>
      </c>
      <c r="H14" s="20" t="s">
        <v>15</v>
      </c>
      <c r="I14" s="18" t="s">
        <v>16</v>
      </c>
      <c r="J14" s="21">
        <v>18900</v>
      </c>
      <c r="K14" s="21"/>
      <c r="L14" s="22">
        <v>900</v>
      </c>
      <c r="M14" s="23"/>
      <c r="N14" s="24"/>
      <c r="R14" s="12"/>
      <c r="S14" s="12"/>
      <c r="T14" s="12"/>
    </row>
    <row r="15" spans="1:29" s="13" customFormat="1" ht="16.5" customHeight="1" x14ac:dyDescent="0.45">
      <c r="A15" s="14">
        <v>14</v>
      </c>
      <c r="B15" s="14">
        <v>14</v>
      </c>
      <c r="C15" s="15">
        <v>2</v>
      </c>
      <c r="D15" s="16">
        <v>9</v>
      </c>
      <c r="E15" s="17">
        <v>8</v>
      </c>
      <c r="F15" s="18" t="s">
        <v>30</v>
      </c>
      <c r="G15" s="19" t="s">
        <v>14</v>
      </c>
      <c r="H15" s="20" t="s">
        <v>15</v>
      </c>
      <c r="I15" s="18" t="s">
        <v>16</v>
      </c>
      <c r="J15" s="21">
        <v>18900</v>
      </c>
      <c r="K15" s="21"/>
      <c r="L15" s="22">
        <v>900</v>
      </c>
      <c r="M15" s="23"/>
      <c r="N15" s="24"/>
      <c r="R15" s="12"/>
      <c r="S15" s="12"/>
      <c r="T15" s="12"/>
    </row>
    <row r="16" spans="1:29" s="13" customFormat="1" ht="16.5" customHeight="1" x14ac:dyDescent="0.45">
      <c r="A16" s="14">
        <v>15</v>
      </c>
      <c r="B16" s="14">
        <v>15</v>
      </c>
      <c r="C16" s="15">
        <v>2</v>
      </c>
      <c r="D16" s="16">
        <v>10</v>
      </c>
      <c r="E16" s="17">
        <v>12</v>
      </c>
      <c r="F16" s="18" t="s">
        <v>31</v>
      </c>
      <c r="G16" s="19" t="s">
        <v>14</v>
      </c>
      <c r="H16" s="20" t="s">
        <v>15</v>
      </c>
      <c r="I16" s="18" t="s">
        <v>16</v>
      </c>
      <c r="J16" s="21">
        <v>18900</v>
      </c>
      <c r="K16" s="21"/>
      <c r="L16" s="22">
        <v>900</v>
      </c>
      <c r="M16" s="23"/>
      <c r="N16" s="24"/>
      <c r="R16" s="25"/>
      <c r="S16" s="25"/>
      <c r="T16" s="25"/>
      <c r="U16" s="26"/>
      <c r="V16" s="25"/>
    </row>
    <row r="17" spans="1:21" s="13" customFormat="1" ht="16.5" customHeight="1" x14ac:dyDescent="0.45">
      <c r="A17" s="14">
        <v>16</v>
      </c>
      <c r="B17" s="14">
        <v>16</v>
      </c>
      <c r="C17" s="15">
        <v>2</v>
      </c>
      <c r="D17" s="16">
        <v>11</v>
      </c>
      <c r="E17" s="17">
        <v>25</v>
      </c>
      <c r="F17" s="18" t="s">
        <v>32</v>
      </c>
      <c r="G17" s="19" t="s">
        <v>14</v>
      </c>
      <c r="H17" s="20" t="s">
        <v>15</v>
      </c>
      <c r="I17" s="28" t="s">
        <v>21</v>
      </c>
      <c r="J17" s="29">
        <v>12600</v>
      </c>
      <c r="K17" s="29"/>
      <c r="L17" s="30">
        <v>600</v>
      </c>
      <c r="M17" s="23"/>
      <c r="N17" s="24"/>
      <c r="O17" s="13">
        <v>25200</v>
      </c>
      <c r="P17" s="13">
        <v>1200</v>
      </c>
      <c r="Q17" s="13">
        <f>SUM(O17:P17)</f>
        <v>26400</v>
      </c>
      <c r="R17" s="12"/>
      <c r="S17" s="12"/>
      <c r="T17" s="12"/>
    </row>
    <row r="18" spans="1:21" s="13" customFormat="1" ht="16.5" customHeight="1" x14ac:dyDescent="0.45">
      <c r="A18" s="14">
        <v>17</v>
      </c>
      <c r="B18" s="14">
        <v>17</v>
      </c>
      <c r="C18" s="15">
        <v>3</v>
      </c>
      <c r="D18" s="16">
        <v>4</v>
      </c>
      <c r="E18" s="17">
        <v>22</v>
      </c>
      <c r="F18" s="18" t="s">
        <v>33</v>
      </c>
      <c r="G18" s="19" t="s">
        <v>14</v>
      </c>
      <c r="H18" s="20" t="s">
        <v>15</v>
      </c>
      <c r="I18" s="18" t="s">
        <v>16</v>
      </c>
      <c r="J18" s="21">
        <v>18900</v>
      </c>
      <c r="K18" s="21"/>
      <c r="L18" s="22">
        <v>900</v>
      </c>
      <c r="M18" s="23"/>
      <c r="N18" s="24"/>
      <c r="O18" s="13">
        <f>O17*40</f>
        <v>1008000</v>
      </c>
      <c r="P18" s="13">
        <f t="shared" ref="P18:Q18" si="3">P17*40</f>
        <v>48000</v>
      </c>
      <c r="Q18" s="13">
        <f t="shared" si="3"/>
        <v>1056000</v>
      </c>
      <c r="R18" s="12"/>
      <c r="S18" s="12"/>
      <c r="T18" s="12"/>
    </row>
    <row r="19" spans="1:21" s="13" customFormat="1" ht="16.5" customHeight="1" x14ac:dyDescent="0.45">
      <c r="A19" s="14">
        <v>18</v>
      </c>
      <c r="B19" s="14">
        <v>18</v>
      </c>
      <c r="C19" s="15">
        <v>3</v>
      </c>
      <c r="D19" s="16">
        <v>5</v>
      </c>
      <c r="E19" s="17">
        <v>8</v>
      </c>
      <c r="F19" s="18" t="s">
        <v>34</v>
      </c>
      <c r="G19" s="19" t="s">
        <v>14</v>
      </c>
      <c r="H19" s="20" t="s">
        <v>15</v>
      </c>
      <c r="I19" s="18" t="s">
        <v>16</v>
      </c>
      <c r="J19" s="21">
        <v>18900</v>
      </c>
      <c r="K19" s="21"/>
      <c r="L19" s="22">
        <v>900</v>
      </c>
      <c r="M19" s="23"/>
      <c r="N19" s="24"/>
      <c r="U19" s="33"/>
    </row>
    <row r="20" spans="1:21" s="13" customFormat="1" ht="16.5" customHeight="1" x14ac:dyDescent="0.45">
      <c r="A20" s="14">
        <v>19</v>
      </c>
      <c r="B20" s="14">
        <v>19</v>
      </c>
      <c r="C20" s="15">
        <v>3</v>
      </c>
      <c r="D20" s="16">
        <v>7</v>
      </c>
      <c r="E20" s="17">
        <v>20</v>
      </c>
      <c r="F20" s="18" t="s">
        <v>35</v>
      </c>
      <c r="G20" s="19" t="s">
        <v>14</v>
      </c>
      <c r="H20" s="20" t="s">
        <v>15</v>
      </c>
      <c r="I20" s="18" t="s">
        <v>16</v>
      </c>
      <c r="J20" s="21">
        <v>18900</v>
      </c>
      <c r="K20" s="21"/>
      <c r="L20" s="22">
        <v>900</v>
      </c>
      <c r="M20" s="23"/>
      <c r="N20" s="24"/>
      <c r="U20" s="33"/>
    </row>
    <row r="21" spans="1:21" s="13" customFormat="1" ht="16.5" customHeight="1" x14ac:dyDescent="0.45">
      <c r="A21" s="14">
        <v>20</v>
      </c>
      <c r="B21" s="14">
        <v>20</v>
      </c>
      <c r="C21" s="15">
        <v>3</v>
      </c>
      <c r="D21" s="16">
        <v>9</v>
      </c>
      <c r="E21" s="17">
        <v>5</v>
      </c>
      <c r="F21" s="18" t="s">
        <v>36</v>
      </c>
      <c r="G21" s="19" t="s">
        <v>14</v>
      </c>
      <c r="H21" s="20" t="s">
        <v>15</v>
      </c>
      <c r="I21" s="18" t="s">
        <v>16</v>
      </c>
      <c r="J21" s="21">
        <v>18900</v>
      </c>
      <c r="K21" s="21"/>
      <c r="L21" s="22">
        <v>900</v>
      </c>
      <c r="M21" s="23"/>
      <c r="N21" s="24"/>
      <c r="S21" s="34">
        <f>SUM(O10,O13,O18)</f>
        <v>2469600</v>
      </c>
      <c r="T21" s="34">
        <f>SUM(P10,P13,P18)</f>
        <v>117600</v>
      </c>
      <c r="U21" s="34">
        <f>SUM(Q10,Q13,Q18)</f>
        <v>2587200</v>
      </c>
    </row>
    <row r="22" spans="1:21" s="13" customFormat="1" ht="16.5" customHeight="1" x14ac:dyDescent="0.45">
      <c r="A22" s="14">
        <v>21</v>
      </c>
      <c r="B22" s="14">
        <v>21</v>
      </c>
      <c r="C22" s="15">
        <v>1</v>
      </c>
      <c r="D22" s="16">
        <v>6</v>
      </c>
      <c r="E22" s="17">
        <v>9</v>
      </c>
      <c r="F22" s="18" t="s">
        <v>37</v>
      </c>
      <c r="G22" s="19" t="s">
        <v>14</v>
      </c>
      <c r="H22" s="20" t="s">
        <v>38</v>
      </c>
      <c r="I22" s="18" t="s">
        <v>16</v>
      </c>
      <c r="J22" s="21">
        <v>18900</v>
      </c>
      <c r="K22" s="21"/>
      <c r="L22" s="22">
        <v>900</v>
      </c>
      <c r="M22" s="23"/>
      <c r="N22" s="24"/>
      <c r="U22" s="33"/>
    </row>
    <row r="23" spans="1:21" s="13" customFormat="1" ht="16.5" customHeight="1" x14ac:dyDescent="0.45">
      <c r="A23" s="14">
        <v>22</v>
      </c>
      <c r="B23" s="14">
        <v>22</v>
      </c>
      <c r="C23" s="15">
        <v>1</v>
      </c>
      <c r="D23" s="16">
        <v>7</v>
      </c>
      <c r="E23" s="17">
        <v>11</v>
      </c>
      <c r="F23" s="18" t="s">
        <v>39</v>
      </c>
      <c r="G23" s="19" t="s">
        <v>14</v>
      </c>
      <c r="H23" s="20" t="s">
        <v>38</v>
      </c>
      <c r="I23" s="28" t="s">
        <v>21</v>
      </c>
      <c r="J23" s="29">
        <v>12600</v>
      </c>
      <c r="K23" s="29"/>
      <c r="L23" s="30">
        <v>600</v>
      </c>
      <c r="M23" s="23"/>
      <c r="N23" s="24"/>
      <c r="U23" s="33"/>
    </row>
    <row r="24" spans="1:21" s="13" customFormat="1" ht="16.5" customHeight="1" x14ac:dyDescent="0.45">
      <c r="A24" s="14">
        <v>23</v>
      </c>
      <c r="B24" s="14">
        <v>23</v>
      </c>
      <c r="C24" s="15">
        <v>2</v>
      </c>
      <c r="D24" s="16">
        <v>6</v>
      </c>
      <c r="E24" s="17">
        <v>11</v>
      </c>
      <c r="F24" s="18" t="s">
        <v>40</v>
      </c>
      <c r="G24" s="19" t="s">
        <v>14</v>
      </c>
      <c r="H24" s="20" t="s">
        <v>38</v>
      </c>
      <c r="I24" s="18" t="s">
        <v>16</v>
      </c>
      <c r="J24" s="21">
        <v>18900</v>
      </c>
      <c r="K24" s="21"/>
      <c r="L24" s="22">
        <v>900</v>
      </c>
      <c r="M24" s="23"/>
      <c r="N24" s="24"/>
      <c r="U24" s="33"/>
    </row>
    <row r="25" spans="1:21" s="13" customFormat="1" ht="16.5" customHeight="1" x14ac:dyDescent="0.45">
      <c r="A25" s="14">
        <v>24</v>
      </c>
      <c r="B25" s="14">
        <v>24</v>
      </c>
      <c r="C25" s="15">
        <v>2</v>
      </c>
      <c r="D25" s="16">
        <v>7</v>
      </c>
      <c r="E25" s="17">
        <v>1</v>
      </c>
      <c r="F25" s="18" t="s">
        <v>41</v>
      </c>
      <c r="G25" s="19" t="s">
        <v>14</v>
      </c>
      <c r="H25" s="20" t="s">
        <v>38</v>
      </c>
      <c r="I25" s="18" t="s">
        <v>16</v>
      </c>
      <c r="J25" s="21">
        <v>18900</v>
      </c>
      <c r="K25" s="21"/>
      <c r="L25" s="22">
        <v>900</v>
      </c>
      <c r="M25" s="23"/>
      <c r="N25" s="24"/>
      <c r="U25" s="33"/>
    </row>
    <row r="26" spans="1:21" s="13" customFormat="1" ht="16.5" customHeight="1" x14ac:dyDescent="0.45">
      <c r="A26" s="14">
        <v>25</v>
      </c>
      <c r="B26" s="14">
        <v>25</v>
      </c>
      <c r="C26" s="15">
        <v>2</v>
      </c>
      <c r="D26" s="16">
        <v>7</v>
      </c>
      <c r="E26" s="17">
        <v>12</v>
      </c>
      <c r="F26" s="18" t="s">
        <v>42</v>
      </c>
      <c r="G26" s="19" t="s">
        <v>14</v>
      </c>
      <c r="H26" s="20" t="s">
        <v>38</v>
      </c>
      <c r="I26" s="28" t="s">
        <v>21</v>
      </c>
      <c r="J26" s="29">
        <v>12600</v>
      </c>
      <c r="K26" s="29"/>
      <c r="L26" s="30">
        <v>600</v>
      </c>
      <c r="M26" s="23"/>
      <c r="N26" s="24"/>
      <c r="U26" s="33"/>
    </row>
    <row r="27" spans="1:21" s="13" customFormat="1" ht="16.5" customHeight="1" x14ac:dyDescent="0.45">
      <c r="A27" s="14">
        <v>26</v>
      </c>
      <c r="B27" s="14">
        <v>26</v>
      </c>
      <c r="C27" s="15">
        <v>2</v>
      </c>
      <c r="D27" s="16">
        <v>8</v>
      </c>
      <c r="E27" s="17">
        <v>13</v>
      </c>
      <c r="F27" s="18" t="s">
        <v>43</v>
      </c>
      <c r="G27" s="19" t="s">
        <v>14</v>
      </c>
      <c r="H27" s="20" t="s">
        <v>38</v>
      </c>
      <c r="I27" s="18" t="s">
        <v>16</v>
      </c>
      <c r="J27" s="21">
        <v>18900</v>
      </c>
      <c r="K27" s="21"/>
      <c r="L27" s="22">
        <v>900</v>
      </c>
      <c r="M27" s="23"/>
      <c r="N27" s="24"/>
      <c r="U27" s="33"/>
    </row>
    <row r="28" spans="1:21" s="13" customFormat="1" ht="16.5" customHeight="1" x14ac:dyDescent="0.45">
      <c r="A28" s="14">
        <v>27</v>
      </c>
      <c r="B28" s="14">
        <v>27</v>
      </c>
      <c r="C28" s="15">
        <v>2</v>
      </c>
      <c r="D28" s="16">
        <v>10</v>
      </c>
      <c r="E28" s="17">
        <v>19</v>
      </c>
      <c r="F28" s="18" t="s">
        <v>44</v>
      </c>
      <c r="G28" s="19" t="s">
        <v>14</v>
      </c>
      <c r="H28" s="20" t="s">
        <v>38</v>
      </c>
      <c r="I28" s="28" t="s">
        <v>21</v>
      </c>
      <c r="J28" s="29">
        <v>12600</v>
      </c>
      <c r="K28" s="29"/>
      <c r="L28" s="30">
        <v>600</v>
      </c>
      <c r="M28" s="23"/>
      <c r="N28" s="24"/>
      <c r="U28" s="33"/>
    </row>
    <row r="29" spans="1:21" s="13" customFormat="1" ht="16.5" customHeight="1" x14ac:dyDescent="0.45">
      <c r="A29" s="14">
        <v>28</v>
      </c>
      <c r="B29" s="14">
        <v>28</v>
      </c>
      <c r="C29" s="15">
        <v>3</v>
      </c>
      <c r="D29" s="16">
        <v>6</v>
      </c>
      <c r="E29" s="17">
        <v>18</v>
      </c>
      <c r="F29" s="18" t="s">
        <v>45</v>
      </c>
      <c r="G29" s="19" t="s">
        <v>14</v>
      </c>
      <c r="H29" s="20" t="s">
        <v>38</v>
      </c>
      <c r="I29" s="18" t="s">
        <v>16</v>
      </c>
      <c r="J29" s="21">
        <v>18900</v>
      </c>
      <c r="K29" s="21"/>
      <c r="L29" s="22">
        <v>900</v>
      </c>
      <c r="M29" s="23"/>
      <c r="N29" s="24"/>
      <c r="U29" s="33"/>
    </row>
    <row r="30" spans="1:21" s="13" customFormat="1" ht="16.5" customHeight="1" x14ac:dyDescent="0.45">
      <c r="A30" s="14">
        <v>29</v>
      </c>
      <c r="B30" s="14">
        <v>29</v>
      </c>
      <c r="C30" s="15">
        <v>3</v>
      </c>
      <c r="D30" s="16">
        <v>8</v>
      </c>
      <c r="E30" s="17">
        <v>1</v>
      </c>
      <c r="F30" s="18" t="s">
        <v>46</v>
      </c>
      <c r="G30" s="19" t="s">
        <v>14</v>
      </c>
      <c r="H30" s="20" t="s">
        <v>38</v>
      </c>
      <c r="I30" s="18" t="s">
        <v>16</v>
      </c>
      <c r="J30" s="21">
        <v>18900</v>
      </c>
      <c r="K30" s="21"/>
      <c r="L30" s="22">
        <v>900</v>
      </c>
      <c r="M30" s="23"/>
      <c r="N30" s="24"/>
      <c r="U30" s="33"/>
    </row>
    <row r="31" spans="1:21" s="13" customFormat="1" ht="16.5" customHeight="1" x14ac:dyDescent="0.45">
      <c r="A31" s="14">
        <v>30</v>
      </c>
      <c r="B31" s="14">
        <v>30</v>
      </c>
      <c r="C31" s="15">
        <v>3</v>
      </c>
      <c r="D31" s="16">
        <v>8</v>
      </c>
      <c r="E31" s="17">
        <v>16</v>
      </c>
      <c r="F31" s="18" t="s">
        <v>47</v>
      </c>
      <c r="G31" s="19" t="s">
        <v>14</v>
      </c>
      <c r="H31" s="20" t="s">
        <v>38</v>
      </c>
      <c r="I31" s="28" t="s">
        <v>21</v>
      </c>
      <c r="J31" s="29">
        <v>12600</v>
      </c>
      <c r="K31" s="29"/>
      <c r="L31" s="30">
        <v>600</v>
      </c>
      <c r="M31" s="23"/>
      <c r="N31" s="24"/>
      <c r="U31" s="33"/>
    </row>
    <row r="32" spans="1:21" s="13" customFormat="1" ht="16.5" customHeight="1" x14ac:dyDescent="0.45">
      <c r="A32" s="14">
        <v>31</v>
      </c>
      <c r="B32" s="14">
        <v>31</v>
      </c>
      <c r="C32" s="15">
        <v>3</v>
      </c>
      <c r="D32" s="16">
        <v>9</v>
      </c>
      <c r="E32" s="17">
        <v>21</v>
      </c>
      <c r="F32" s="18" t="s">
        <v>48</v>
      </c>
      <c r="G32" s="19" t="s">
        <v>14</v>
      </c>
      <c r="H32" s="20" t="s">
        <v>38</v>
      </c>
      <c r="I32" s="18" t="s">
        <v>16</v>
      </c>
      <c r="J32" s="21">
        <v>18900</v>
      </c>
      <c r="K32" s="21"/>
      <c r="L32" s="22">
        <v>900</v>
      </c>
      <c r="M32" s="23"/>
      <c r="N32" s="24"/>
      <c r="U32" s="33"/>
    </row>
    <row r="33" spans="1:21" s="13" customFormat="1" ht="16.5" customHeight="1" x14ac:dyDescent="0.45">
      <c r="A33" s="14">
        <v>32</v>
      </c>
      <c r="B33" s="14">
        <v>32</v>
      </c>
      <c r="C33" s="15">
        <v>4</v>
      </c>
      <c r="D33" s="16">
        <v>1</v>
      </c>
      <c r="E33" s="17">
        <v>3</v>
      </c>
      <c r="F33" s="18" t="s">
        <v>49</v>
      </c>
      <c r="G33" s="19" t="s">
        <v>14</v>
      </c>
      <c r="H33" s="20" t="s">
        <v>38</v>
      </c>
      <c r="I33" s="18" t="s">
        <v>16</v>
      </c>
      <c r="J33" s="21">
        <v>18900</v>
      </c>
      <c r="K33" s="21"/>
      <c r="L33" s="22">
        <v>900</v>
      </c>
      <c r="M33" s="23"/>
      <c r="N33" s="24"/>
      <c r="U33" s="33"/>
    </row>
    <row r="34" spans="1:21" s="13" customFormat="1" ht="16.5" customHeight="1" x14ac:dyDescent="0.45">
      <c r="A34" s="14">
        <v>33</v>
      </c>
      <c r="B34" s="14">
        <v>33</v>
      </c>
      <c r="C34" s="15">
        <v>4</v>
      </c>
      <c r="D34" s="16">
        <v>2</v>
      </c>
      <c r="E34" s="17">
        <v>22</v>
      </c>
      <c r="F34" s="18" t="s">
        <v>50</v>
      </c>
      <c r="G34" s="19" t="s">
        <v>14</v>
      </c>
      <c r="H34" s="20" t="s">
        <v>38</v>
      </c>
      <c r="I34" s="18" t="s">
        <v>16</v>
      </c>
      <c r="J34" s="21">
        <v>18900</v>
      </c>
      <c r="K34" s="21"/>
      <c r="L34" s="22">
        <v>900</v>
      </c>
      <c r="M34" s="23"/>
      <c r="N34" s="24"/>
      <c r="U34" s="33"/>
    </row>
    <row r="35" spans="1:21" s="13" customFormat="1" ht="16.5" customHeight="1" x14ac:dyDescent="0.45">
      <c r="A35" s="14">
        <v>34</v>
      </c>
      <c r="B35" s="14">
        <v>34</v>
      </c>
      <c r="C35" s="15">
        <v>4</v>
      </c>
      <c r="D35" s="16">
        <v>4</v>
      </c>
      <c r="E35" s="17">
        <v>10</v>
      </c>
      <c r="F35" s="18" t="s">
        <v>51</v>
      </c>
      <c r="G35" s="19" t="s">
        <v>14</v>
      </c>
      <c r="H35" s="20" t="s">
        <v>38</v>
      </c>
      <c r="I35" s="18" t="s">
        <v>16</v>
      </c>
      <c r="J35" s="21">
        <v>18900</v>
      </c>
      <c r="K35" s="21"/>
      <c r="L35" s="22">
        <v>900</v>
      </c>
      <c r="M35" s="23"/>
      <c r="N35" s="24"/>
      <c r="U35" s="33"/>
    </row>
    <row r="36" spans="1:21" s="13" customFormat="1" ht="16.5" customHeight="1" x14ac:dyDescent="0.45">
      <c r="A36" s="14">
        <v>35</v>
      </c>
      <c r="B36" s="14">
        <v>35</v>
      </c>
      <c r="C36" s="15">
        <v>4</v>
      </c>
      <c r="D36" s="16">
        <v>4</v>
      </c>
      <c r="E36" s="17">
        <v>13</v>
      </c>
      <c r="F36" s="18" t="s">
        <v>52</v>
      </c>
      <c r="G36" s="19" t="s">
        <v>14</v>
      </c>
      <c r="H36" s="20" t="s">
        <v>38</v>
      </c>
      <c r="I36" s="18" t="s">
        <v>16</v>
      </c>
      <c r="J36" s="21">
        <v>18900</v>
      </c>
      <c r="K36" s="21"/>
      <c r="L36" s="22">
        <v>900</v>
      </c>
      <c r="M36" s="23"/>
      <c r="N36" s="24"/>
      <c r="U36" s="33"/>
    </row>
    <row r="37" spans="1:21" s="13" customFormat="1" ht="16.5" customHeight="1" x14ac:dyDescent="0.45">
      <c r="A37" s="14">
        <v>36</v>
      </c>
      <c r="B37" s="14">
        <v>36</v>
      </c>
      <c r="C37" s="15">
        <v>4</v>
      </c>
      <c r="D37" s="16">
        <v>6</v>
      </c>
      <c r="E37" s="17">
        <v>24</v>
      </c>
      <c r="F37" s="18" t="s">
        <v>53</v>
      </c>
      <c r="G37" s="19" t="s">
        <v>14</v>
      </c>
      <c r="H37" s="20" t="s">
        <v>38</v>
      </c>
      <c r="I37" s="28" t="s">
        <v>21</v>
      </c>
      <c r="J37" s="29">
        <v>12600</v>
      </c>
      <c r="K37" s="29"/>
      <c r="L37" s="30">
        <v>600</v>
      </c>
      <c r="M37" s="23"/>
      <c r="N37" s="24"/>
      <c r="U37" s="33"/>
    </row>
    <row r="38" spans="1:21" s="13" customFormat="1" ht="16.5" customHeight="1" x14ac:dyDescent="0.45">
      <c r="A38" s="14">
        <v>37</v>
      </c>
      <c r="B38" s="14">
        <v>37</v>
      </c>
      <c r="C38" s="15">
        <v>5</v>
      </c>
      <c r="D38" s="16">
        <v>5</v>
      </c>
      <c r="E38" s="17">
        <v>8</v>
      </c>
      <c r="F38" s="18" t="s">
        <v>54</v>
      </c>
      <c r="G38" s="19" t="s">
        <v>14</v>
      </c>
      <c r="H38" s="20" t="s">
        <v>38</v>
      </c>
      <c r="I38" s="18" t="s">
        <v>16</v>
      </c>
      <c r="J38" s="21">
        <v>18900</v>
      </c>
      <c r="K38" s="21"/>
      <c r="L38" s="22">
        <v>900</v>
      </c>
      <c r="M38" s="23"/>
      <c r="N38" s="24"/>
      <c r="U38" s="33"/>
    </row>
    <row r="39" spans="1:21" s="13" customFormat="1" ht="16.5" customHeight="1" x14ac:dyDescent="0.45">
      <c r="A39" s="14">
        <v>38</v>
      </c>
      <c r="B39" s="14">
        <v>38</v>
      </c>
      <c r="C39" s="15">
        <v>5</v>
      </c>
      <c r="D39" s="16">
        <v>6</v>
      </c>
      <c r="E39" s="17">
        <v>26</v>
      </c>
      <c r="F39" s="18" t="s">
        <v>55</v>
      </c>
      <c r="G39" s="19" t="s">
        <v>14</v>
      </c>
      <c r="H39" s="20" t="s">
        <v>38</v>
      </c>
      <c r="I39" s="18" t="s">
        <v>16</v>
      </c>
      <c r="J39" s="21">
        <v>18900</v>
      </c>
      <c r="K39" s="21"/>
      <c r="L39" s="22">
        <v>900</v>
      </c>
      <c r="M39" s="23"/>
      <c r="N39" s="24"/>
      <c r="U39" s="33"/>
    </row>
    <row r="40" spans="1:21" s="13" customFormat="1" ht="16.5" customHeight="1" x14ac:dyDescent="0.45">
      <c r="A40" s="14">
        <v>39</v>
      </c>
      <c r="B40" s="14">
        <v>39</v>
      </c>
      <c r="C40" s="15">
        <v>5</v>
      </c>
      <c r="D40" s="16">
        <v>7</v>
      </c>
      <c r="E40" s="17">
        <v>18</v>
      </c>
      <c r="F40" s="18" t="s">
        <v>56</v>
      </c>
      <c r="G40" s="19" t="s">
        <v>14</v>
      </c>
      <c r="H40" s="20" t="s">
        <v>38</v>
      </c>
      <c r="I40" s="18" t="s">
        <v>16</v>
      </c>
      <c r="J40" s="21">
        <v>18900</v>
      </c>
      <c r="K40" s="21"/>
      <c r="L40" s="22">
        <v>900</v>
      </c>
      <c r="M40" s="23"/>
      <c r="N40" s="24"/>
      <c r="U40" s="33"/>
    </row>
    <row r="41" spans="1:21" s="13" customFormat="1" ht="16.5" customHeight="1" x14ac:dyDescent="0.45">
      <c r="A41" s="14">
        <v>40</v>
      </c>
      <c r="B41" s="14">
        <v>40</v>
      </c>
      <c r="C41" s="15">
        <v>6</v>
      </c>
      <c r="D41" s="16">
        <v>2</v>
      </c>
      <c r="E41" s="17">
        <v>6</v>
      </c>
      <c r="F41" s="18" t="s">
        <v>57</v>
      </c>
      <c r="G41" s="19" t="s">
        <v>14</v>
      </c>
      <c r="H41" s="20" t="s">
        <v>38</v>
      </c>
      <c r="I41" s="18" t="s">
        <v>16</v>
      </c>
      <c r="J41" s="21">
        <v>18900</v>
      </c>
      <c r="K41" s="21"/>
      <c r="L41" s="22">
        <v>900</v>
      </c>
      <c r="M41" s="23"/>
      <c r="N41" s="24"/>
      <c r="U41" s="33"/>
    </row>
    <row r="42" spans="1:21" s="13" customFormat="1" ht="16.5" customHeight="1" x14ac:dyDescent="0.45">
      <c r="A42" s="14">
        <v>41</v>
      </c>
      <c r="B42" s="35">
        <v>1</v>
      </c>
      <c r="C42" s="36">
        <v>1</v>
      </c>
      <c r="D42" s="37">
        <v>1</v>
      </c>
      <c r="E42" s="38">
        <v>6</v>
      </c>
      <c r="F42" s="39" t="s">
        <v>58</v>
      </c>
      <c r="G42" s="40" t="s">
        <v>14</v>
      </c>
      <c r="H42" s="41" t="s">
        <v>59</v>
      </c>
      <c r="I42" s="39" t="s">
        <v>60</v>
      </c>
      <c r="J42" s="42">
        <v>25200</v>
      </c>
      <c r="K42" s="43"/>
      <c r="L42" s="44">
        <v>1200</v>
      </c>
      <c r="M42" s="45">
        <f>SUM(J42:K81)</f>
        <v>970200</v>
      </c>
      <c r="N42" s="24"/>
      <c r="O42" s="27"/>
      <c r="U42" s="33"/>
    </row>
    <row r="43" spans="1:21" s="13" customFormat="1" ht="16.5" customHeight="1" x14ac:dyDescent="0.45">
      <c r="A43" s="14">
        <v>42</v>
      </c>
      <c r="B43" s="14">
        <v>2</v>
      </c>
      <c r="C43" s="15">
        <v>1</v>
      </c>
      <c r="D43" s="16">
        <v>2</v>
      </c>
      <c r="E43" s="17">
        <v>10</v>
      </c>
      <c r="F43" s="18" t="s">
        <v>61</v>
      </c>
      <c r="G43" s="19" t="s">
        <v>14</v>
      </c>
      <c r="H43" s="20" t="s">
        <v>59</v>
      </c>
      <c r="I43" s="18" t="s">
        <v>60</v>
      </c>
      <c r="J43" s="46">
        <v>25200</v>
      </c>
      <c r="K43" s="21"/>
      <c r="L43" s="22">
        <v>1200</v>
      </c>
      <c r="M43" s="23"/>
      <c r="N43" s="24"/>
      <c r="O43" s="27">
        <f>SUM(J42:K81)</f>
        <v>970200</v>
      </c>
      <c r="U43" s="33"/>
    </row>
    <row r="44" spans="1:21" s="13" customFormat="1" ht="16.5" customHeight="1" x14ac:dyDescent="0.45">
      <c r="A44" s="14">
        <v>43</v>
      </c>
      <c r="B44" s="14">
        <v>3</v>
      </c>
      <c r="C44" s="15">
        <v>1</v>
      </c>
      <c r="D44" s="16">
        <v>5</v>
      </c>
      <c r="E44" s="17">
        <v>5</v>
      </c>
      <c r="F44" s="18" t="s">
        <v>62</v>
      </c>
      <c r="G44" s="19" t="s">
        <v>14</v>
      </c>
      <c r="H44" s="20" t="s">
        <v>59</v>
      </c>
      <c r="I44" s="18" t="s">
        <v>60</v>
      </c>
      <c r="J44" s="46">
        <v>25200</v>
      </c>
      <c r="K44" s="21"/>
      <c r="L44" s="22">
        <v>1200</v>
      </c>
      <c r="M44" s="23"/>
      <c r="N44" s="24"/>
      <c r="O44" s="27">
        <f>SUM(L42:L81)</f>
        <v>46200</v>
      </c>
      <c r="U44" s="33"/>
    </row>
    <row r="45" spans="1:21" s="13" customFormat="1" ht="16.5" customHeight="1" x14ac:dyDescent="0.45">
      <c r="A45" s="14">
        <v>44</v>
      </c>
      <c r="B45" s="14">
        <v>4</v>
      </c>
      <c r="C45" s="15">
        <v>1</v>
      </c>
      <c r="D45" s="16">
        <v>6</v>
      </c>
      <c r="E45" s="17">
        <v>21</v>
      </c>
      <c r="F45" s="18" t="s">
        <v>63</v>
      </c>
      <c r="G45" s="19" t="s">
        <v>14</v>
      </c>
      <c r="H45" s="20" t="s">
        <v>59</v>
      </c>
      <c r="I45" s="18" t="s">
        <v>60</v>
      </c>
      <c r="J45" s="46">
        <v>25200</v>
      </c>
      <c r="K45" s="21"/>
      <c r="L45" s="22">
        <v>1200</v>
      </c>
      <c r="M45" s="23"/>
      <c r="N45" s="24"/>
      <c r="O45" s="27">
        <f>SUM(O43:O44)</f>
        <v>1016400</v>
      </c>
      <c r="U45" s="33"/>
    </row>
    <row r="46" spans="1:21" s="13" customFormat="1" ht="16.5" customHeight="1" x14ac:dyDescent="0.45">
      <c r="A46" s="14">
        <v>45</v>
      </c>
      <c r="B46" s="14">
        <v>5</v>
      </c>
      <c r="C46" s="15">
        <v>1</v>
      </c>
      <c r="D46" s="16">
        <v>7</v>
      </c>
      <c r="E46" s="17">
        <v>5</v>
      </c>
      <c r="F46" s="18" t="s">
        <v>64</v>
      </c>
      <c r="G46" s="19" t="s">
        <v>14</v>
      </c>
      <c r="H46" s="20" t="s">
        <v>59</v>
      </c>
      <c r="I46" s="18" t="s">
        <v>60</v>
      </c>
      <c r="J46" s="46">
        <v>25200</v>
      </c>
      <c r="K46" s="21"/>
      <c r="L46" s="22">
        <v>1200</v>
      </c>
      <c r="M46" s="23"/>
      <c r="N46" s="24"/>
      <c r="U46" s="33"/>
    </row>
    <row r="47" spans="1:21" s="13" customFormat="1" ht="16.5" customHeight="1" x14ac:dyDescent="0.45">
      <c r="A47" s="14">
        <v>46</v>
      </c>
      <c r="B47" s="14">
        <v>6</v>
      </c>
      <c r="C47" s="15">
        <v>1</v>
      </c>
      <c r="D47" s="16">
        <v>8</v>
      </c>
      <c r="E47" s="17">
        <v>12</v>
      </c>
      <c r="F47" s="18" t="s">
        <v>65</v>
      </c>
      <c r="G47" s="19" t="s">
        <v>14</v>
      </c>
      <c r="H47" s="20" t="s">
        <v>59</v>
      </c>
      <c r="I47" s="28" t="s">
        <v>16</v>
      </c>
      <c r="J47" s="47">
        <v>18900</v>
      </c>
      <c r="K47" s="29"/>
      <c r="L47" s="30">
        <v>900</v>
      </c>
      <c r="M47" s="23"/>
      <c r="N47" s="24"/>
      <c r="U47" s="33"/>
    </row>
    <row r="48" spans="1:21" s="13" customFormat="1" ht="16.5" customHeight="1" x14ac:dyDescent="0.45">
      <c r="A48" s="14">
        <v>47</v>
      </c>
      <c r="B48" s="14">
        <v>7</v>
      </c>
      <c r="C48" s="15">
        <v>1</v>
      </c>
      <c r="D48" s="16">
        <v>8</v>
      </c>
      <c r="E48" s="17">
        <v>16</v>
      </c>
      <c r="F48" s="18" t="s">
        <v>66</v>
      </c>
      <c r="G48" s="19" t="s">
        <v>14</v>
      </c>
      <c r="H48" s="20" t="s">
        <v>59</v>
      </c>
      <c r="I48" s="18" t="s">
        <v>60</v>
      </c>
      <c r="J48" s="46">
        <v>25200</v>
      </c>
      <c r="K48" s="21"/>
      <c r="L48" s="22">
        <v>1200</v>
      </c>
      <c r="M48" s="23"/>
      <c r="N48" s="24"/>
      <c r="U48" s="33"/>
    </row>
    <row r="49" spans="1:21" s="13" customFormat="1" ht="16.5" customHeight="1" x14ac:dyDescent="0.45">
      <c r="A49" s="14">
        <v>48</v>
      </c>
      <c r="B49" s="14">
        <v>8</v>
      </c>
      <c r="C49" s="15">
        <v>1</v>
      </c>
      <c r="D49" s="16">
        <v>11</v>
      </c>
      <c r="E49" s="17">
        <v>12</v>
      </c>
      <c r="F49" s="18" t="s">
        <v>67</v>
      </c>
      <c r="G49" s="19" t="s">
        <v>14</v>
      </c>
      <c r="H49" s="20" t="s">
        <v>59</v>
      </c>
      <c r="I49" s="18" t="s">
        <v>60</v>
      </c>
      <c r="J49" s="46">
        <v>25200</v>
      </c>
      <c r="K49" s="21"/>
      <c r="L49" s="22">
        <v>1200</v>
      </c>
      <c r="M49" s="23"/>
      <c r="N49" s="24"/>
      <c r="U49" s="33"/>
    </row>
    <row r="50" spans="1:21" s="13" customFormat="1" ht="16.5" customHeight="1" x14ac:dyDescent="0.45">
      <c r="A50" s="14">
        <v>49</v>
      </c>
      <c r="B50" s="14">
        <v>9</v>
      </c>
      <c r="C50" s="15">
        <v>2</v>
      </c>
      <c r="D50" s="16">
        <v>1</v>
      </c>
      <c r="E50" s="17">
        <v>24</v>
      </c>
      <c r="F50" s="18" t="s">
        <v>68</v>
      </c>
      <c r="G50" s="19" t="s">
        <v>14</v>
      </c>
      <c r="H50" s="20" t="s">
        <v>59</v>
      </c>
      <c r="I50" s="18" t="s">
        <v>60</v>
      </c>
      <c r="J50" s="46">
        <v>25200</v>
      </c>
      <c r="K50" s="21"/>
      <c r="L50" s="22">
        <v>1200</v>
      </c>
      <c r="M50" s="23"/>
      <c r="N50" s="24"/>
      <c r="U50" s="33"/>
    </row>
    <row r="51" spans="1:21" s="13" customFormat="1" ht="16.5" customHeight="1" x14ac:dyDescent="0.45">
      <c r="A51" s="14">
        <v>50</v>
      </c>
      <c r="B51" s="14">
        <v>10</v>
      </c>
      <c r="C51" s="15">
        <v>2</v>
      </c>
      <c r="D51" s="16">
        <v>4</v>
      </c>
      <c r="E51" s="17">
        <v>7</v>
      </c>
      <c r="F51" s="18" t="s">
        <v>69</v>
      </c>
      <c r="G51" s="19" t="s">
        <v>14</v>
      </c>
      <c r="H51" s="20" t="s">
        <v>59</v>
      </c>
      <c r="I51" s="18" t="s">
        <v>60</v>
      </c>
      <c r="J51" s="46">
        <v>25200</v>
      </c>
      <c r="K51" s="21"/>
      <c r="L51" s="22">
        <v>1200</v>
      </c>
      <c r="M51" s="23"/>
      <c r="N51" s="24"/>
      <c r="U51" s="33"/>
    </row>
    <row r="52" spans="1:21" s="13" customFormat="1" ht="16.5" customHeight="1" x14ac:dyDescent="0.45">
      <c r="A52" s="14">
        <v>51</v>
      </c>
      <c r="B52" s="14">
        <v>11</v>
      </c>
      <c r="C52" s="15">
        <v>2</v>
      </c>
      <c r="D52" s="16">
        <v>6</v>
      </c>
      <c r="E52" s="17">
        <v>9</v>
      </c>
      <c r="F52" s="18" t="s">
        <v>70</v>
      </c>
      <c r="G52" s="19" t="s">
        <v>14</v>
      </c>
      <c r="H52" s="20" t="s">
        <v>59</v>
      </c>
      <c r="I52" s="18" t="s">
        <v>60</v>
      </c>
      <c r="J52" s="46">
        <v>25200</v>
      </c>
      <c r="K52" s="21"/>
      <c r="L52" s="22">
        <v>1200</v>
      </c>
      <c r="M52" s="23"/>
      <c r="N52" s="24"/>
      <c r="O52" s="13">
        <v>25200</v>
      </c>
      <c r="P52" s="13">
        <v>1200</v>
      </c>
      <c r="Q52" s="13">
        <f>SUM(O52:P52)</f>
        <v>26400</v>
      </c>
      <c r="U52" s="33"/>
    </row>
    <row r="53" spans="1:21" s="13" customFormat="1" ht="16.5" customHeight="1" x14ac:dyDescent="0.45">
      <c r="A53" s="14">
        <v>52</v>
      </c>
      <c r="B53" s="14">
        <v>12</v>
      </c>
      <c r="C53" s="15">
        <v>2</v>
      </c>
      <c r="D53" s="16">
        <v>9</v>
      </c>
      <c r="E53" s="17">
        <v>21</v>
      </c>
      <c r="F53" s="18" t="s">
        <v>71</v>
      </c>
      <c r="G53" s="19" t="s">
        <v>14</v>
      </c>
      <c r="H53" s="20" t="s">
        <v>59</v>
      </c>
      <c r="I53" s="18" t="s">
        <v>60</v>
      </c>
      <c r="J53" s="46">
        <v>25200</v>
      </c>
      <c r="K53" s="21"/>
      <c r="L53" s="22">
        <v>1200</v>
      </c>
      <c r="M53" s="23"/>
      <c r="N53" s="24"/>
      <c r="O53" s="13">
        <f>O52*40</f>
        <v>1008000</v>
      </c>
      <c r="P53" s="13">
        <f t="shared" ref="P53:Q53" si="4">P52*40</f>
        <v>48000</v>
      </c>
      <c r="Q53" s="13">
        <f t="shared" si="4"/>
        <v>1056000</v>
      </c>
      <c r="U53" s="33"/>
    </row>
    <row r="54" spans="1:21" s="13" customFormat="1" ht="16.5" customHeight="1" x14ac:dyDescent="0.45">
      <c r="A54" s="14">
        <v>53</v>
      </c>
      <c r="B54" s="14">
        <v>13</v>
      </c>
      <c r="C54" s="15">
        <v>2</v>
      </c>
      <c r="D54" s="16">
        <v>10</v>
      </c>
      <c r="E54" s="17">
        <v>5</v>
      </c>
      <c r="F54" s="18" t="s">
        <v>72</v>
      </c>
      <c r="G54" s="19" t="s">
        <v>14</v>
      </c>
      <c r="H54" s="20" t="s">
        <v>59</v>
      </c>
      <c r="I54" s="28" t="s">
        <v>16</v>
      </c>
      <c r="J54" s="47">
        <v>18900</v>
      </c>
      <c r="K54" s="29"/>
      <c r="L54" s="30">
        <v>900</v>
      </c>
      <c r="M54" s="23"/>
      <c r="N54" s="24"/>
      <c r="O54" s="13">
        <v>-37800</v>
      </c>
      <c r="P54" s="13">
        <v>-1800</v>
      </c>
      <c r="Q54" s="13">
        <v>-39600</v>
      </c>
      <c r="U54" s="33"/>
    </row>
    <row r="55" spans="1:21" s="13" customFormat="1" ht="16.5" customHeight="1" x14ac:dyDescent="0.45">
      <c r="A55" s="14">
        <v>54</v>
      </c>
      <c r="B55" s="14">
        <v>14</v>
      </c>
      <c r="C55" s="15">
        <v>3</v>
      </c>
      <c r="D55" s="16">
        <v>1</v>
      </c>
      <c r="E55" s="17">
        <v>16</v>
      </c>
      <c r="F55" s="18" t="s">
        <v>73</v>
      </c>
      <c r="G55" s="19" t="s">
        <v>14</v>
      </c>
      <c r="H55" s="20" t="s">
        <v>59</v>
      </c>
      <c r="I55" s="18" t="s">
        <v>60</v>
      </c>
      <c r="J55" s="46">
        <v>25200</v>
      </c>
      <c r="K55" s="21"/>
      <c r="L55" s="22">
        <v>1200</v>
      </c>
      <c r="M55" s="23"/>
      <c r="N55" s="24"/>
      <c r="O55" s="13">
        <f>SUM(O53:O54)</f>
        <v>970200</v>
      </c>
      <c r="P55" s="13">
        <f t="shared" ref="P55:Q55" si="5">SUM(P53:P54)</f>
        <v>46200</v>
      </c>
      <c r="Q55" s="13">
        <f t="shared" si="5"/>
        <v>1016400</v>
      </c>
      <c r="U55" s="33"/>
    </row>
    <row r="56" spans="1:21" s="13" customFormat="1" ht="16.5" customHeight="1" x14ac:dyDescent="0.45">
      <c r="A56" s="14">
        <v>55</v>
      </c>
      <c r="B56" s="14">
        <v>15</v>
      </c>
      <c r="C56" s="15">
        <v>3</v>
      </c>
      <c r="D56" s="16">
        <v>4</v>
      </c>
      <c r="E56" s="17">
        <v>1</v>
      </c>
      <c r="F56" s="18" t="s">
        <v>74</v>
      </c>
      <c r="G56" s="19" t="s">
        <v>14</v>
      </c>
      <c r="H56" s="20" t="s">
        <v>59</v>
      </c>
      <c r="I56" s="18" t="s">
        <v>60</v>
      </c>
      <c r="J56" s="46">
        <v>25200</v>
      </c>
      <c r="K56" s="21"/>
      <c r="L56" s="22">
        <v>1200</v>
      </c>
      <c r="M56" s="23"/>
      <c r="N56" s="24"/>
      <c r="U56" s="33"/>
    </row>
    <row r="57" spans="1:21" s="13" customFormat="1" ht="16.5" customHeight="1" x14ac:dyDescent="0.45">
      <c r="A57" s="14">
        <v>56</v>
      </c>
      <c r="B57" s="14">
        <v>16</v>
      </c>
      <c r="C57" s="15">
        <v>3</v>
      </c>
      <c r="D57" s="16">
        <v>4</v>
      </c>
      <c r="E57" s="17">
        <v>11</v>
      </c>
      <c r="F57" s="18" t="s">
        <v>75</v>
      </c>
      <c r="G57" s="19" t="s">
        <v>14</v>
      </c>
      <c r="H57" s="20" t="s">
        <v>59</v>
      </c>
      <c r="I57" s="18" t="s">
        <v>60</v>
      </c>
      <c r="J57" s="46">
        <v>25200</v>
      </c>
      <c r="K57" s="21"/>
      <c r="L57" s="22">
        <v>1200</v>
      </c>
      <c r="M57" s="23"/>
      <c r="N57" s="24"/>
      <c r="U57" s="33"/>
    </row>
    <row r="58" spans="1:21" s="13" customFormat="1" ht="16.5" customHeight="1" x14ac:dyDescent="0.45">
      <c r="A58" s="14">
        <v>57</v>
      </c>
      <c r="B58" s="14">
        <v>17</v>
      </c>
      <c r="C58" s="15">
        <v>3</v>
      </c>
      <c r="D58" s="16">
        <v>6</v>
      </c>
      <c r="E58" s="17">
        <v>9</v>
      </c>
      <c r="F58" s="18" t="s">
        <v>76</v>
      </c>
      <c r="G58" s="19" t="s">
        <v>14</v>
      </c>
      <c r="H58" s="20" t="s">
        <v>59</v>
      </c>
      <c r="I58" s="18" t="s">
        <v>60</v>
      </c>
      <c r="J58" s="46">
        <v>25200</v>
      </c>
      <c r="K58" s="21"/>
      <c r="L58" s="22">
        <v>1200</v>
      </c>
      <c r="M58" s="23"/>
      <c r="N58" s="24"/>
      <c r="O58" s="13">
        <v>18900</v>
      </c>
      <c r="P58" s="13">
        <v>900</v>
      </c>
      <c r="Q58" s="13">
        <v>19800</v>
      </c>
      <c r="U58" s="33"/>
    </row>
    <row r="59" spans="1:21" s="13" customFormat="1" ht="16.5" customHeight="1" x14ac:dyDescent="0.45">
      <c r="A59" s="14">
        <v>58</v>
      </c>
      <c r="B59" s="14">
        <v>18</v>
      </c>
      <c r="C59" s="15">
        <v>3</v>
      </c>
      <c r="D59" s="16">
        <v>9</v>
      </c>
      <c r="E59" s="17">
        <v>20</v>
      </c>
      <c r="F59" s="18" t="s">
        <v>77</v>
      </c>
      <c r="G59" s="19" t="s">
        <v>14</v>
      </c>
      <c r="H59" s="20" t="s">
        <v>59</v>
      </c>
      <c r="I59" s="28" t="s">
        <v>16</v>
      </c>
      <c r="J59" s="47">
        <v>18900</v>
      </c>
      <c r="K59" s="29"/>
      <c r="L59" s="30">
        <v>900</v>
      </c>
      <c r="M59" s="23"/>
      <c r="N59" s="24"/>
      <c r="O59" s="13">
        <f>O58*40</f>
        <v>756000</v>
      </c>
      <c r="P59" s="13">
        <f t="shared" ref="P59:Q59" si="6">P58*40</f>
        <v>36000</v>
      </c>
      <c r="Q59" s="13">
        <f t="shared" si="6"/>
        <v>792000</v>
      </c>
      <c r="U59" s="33"/>
    </row>
    <row r="60" spans="1:21" s="13" customFormat="1" ht="16.5" customHeight="1" x14ac:dyDescent="0.45">
      <c r="A60" s="14">
        <v>59</v>
      </c>
      <c r="B60" s="14">
        <v>19</v>
      </c>
      <c r="C60" s="15">
        <v>4</v>
      </c>
      <c r="D60" s="16">
        <v>3</v>
      </c>
      <c r="E60" s="17">
        <v>13</v>
      </c>
      <c r="F60" s="18" t="s">
        <v>78</v>
      </c>
      <c r="G60" s="19" t="s">
        <v>14</v>
      </c>
      <c r="H60" s="20" t="s">
        <v>59</v>
      </c>
      <c r="I60" s="18" t="s">
        <v>60</v>
      </c>
      <c r="J60" s="46">
        <v>25200</v>
      </c>
      <c r="K60" s="21"/>
      <c r="L60" s="22">
        <v>1200</v>
      </c>
      <c r="M60" s="23"/>
      <c r="N60" s="24"/>
      <c r="U60" s="33"/>
    </row>
    <row r="61" spans="1:21" s="13" customFormat="1" ht="16.5" customHeight="1" x14ac:dyDescent="0.45">
      <c r="A61" s="14">
        <v>60</v>
      </c>
      <c r="B61" s="14">
        <v>20</v>
      </c>
      <c r="C61" s="15">
        <v>4</v>
      </c>
      <c r="D61" s="16">
        <v>5</v>
      </c>
      <c r="E61" s="17">
        <v>15</v>
      </c>
      <c r="F61" s="18" t="s">
        <v>79</v>
      </c>
      <c r="G61" s="19" t="s">
        <v>14</v>
      </c>
      <c r="H61" s="20" t="s">
        <v>59</v>
      </c>
      <c r="I61" s="18" t="s">
        <v>60</v>
      </c>
      <c r="J61" s="46">
        <v>25200</v>
      </c>
      <c r="K61" s="21"/>
      <c r="L61" s="22">
        <v>1200</v>
      </c>
      <c r="M61" s="23"/>
      <c r="N61" s="24"/>
      <c r="U61" s="33"/>
    </row>
    <row r="62" spans="1:21" s="13" customFormat="1" ht="16.5" customHeight="1" x14ac:dyDescent="0.45">
      <c r="A62" s="14">
        <v>61</v>
      </c>
      <c r="B62" s="14">
        <v>21</v>
      </c>
      <c r="C62" s="15">
        <v>1</v>
      </c>
      <c r="D62" s="16">
        <v>3</v>
      </c>
      <c r="E62" s="17">
        <v>6</v>
      </c>
      <c r="F62" s="18" t="s">
        <v>80</v>
      </c>
      <c r="G62" s="19" t="s">
        <v>14</v>
      </c>
      <c r="H62" s="20" t="s">
        <v>81</v>
      </c>
      <c r="I62" s="28" t="s">
        <v>16</v>
      </c>
      <c r="J62" s="47">
        <v>18900</v>
      </c>
      <c r="K62" s="29"/>
      <c r="L62" s="30">
        <v>900</v>
      </c>
      <c r="M62" s="23"/>
      <c r="N62" s="24"/>
      <c r="U62" s="33"/>
    </row>
    <row r="63" spans="1:21" s="13" customFormat="1" ht="16.5" customHeight="1" x14ac:dyDescent="0.45">
      <c r="A63" s="14">
        <v>62</v>
      </c>
      <c r="B63" s="14">
        <v>22</v>
      </c>
      <c r="C63" s="15">
        <v>1</v>
      </c>
      <c r="D63" s="16">
        <v>8</v>
      </c>
      <c r="E63" s="17">
        <v>10</v>
      </c>
      <c r="F63" s="18" t="s">
        <v>82</v>
      </c>
      <c r="G63" s="19" t="s">
        <v>14</v>
      </c>
      <c r="H63" s="20" t="s">
        <v>81</v>
      </c>
      <c r="I63" s="18" t="s">
        <v>60</v>
      </c>
      <c r="J63" s="46">
        <v>25200</v>
      </c>
      <c r="K63" s="21"/>
      <c r="L63" s="22">
        <v>1200</v>
      </c>
      <c r="M63" s="23"/>
      <c r="N63" s="24"/>
      <c r="O63" s="13">
        <v>25200</v>
      </c>
      <c r="P63" s="13">
        <v>1200</v>
      </c>
      <c r="Q63" s="13">
        <f>SUM(O63:P63)</f>
        <v>26400</v>
      </c>
      <c r="U63" s="33"/>
    </row>
    <row r="64" spans="1:21" s="13" customFormat="1" ht="16.5" customHeight="1" x14ac:dyDescent="0.45">
      <c r="A64" s="14">
        <v>63</v>
      </c>
      <c r="B64" s="14">
        <v>23</v>
      </c>
      <c r="C64" s="15">
        <v>2</v>
      </c>
      <c r="D64" s="16">
        <v>1</v>
      </c>
      <c r="E64" s="17">
        <v>12</v>
      </c>
      <c r="F64" s="18" t="s">
        <v>83</v>
      </c>
      <c r="G64" s="19" t="s">
        <v>14</v>
      </c>
      <c r="H64" s="20" t="s">
        <v>81</v>
      </c>
      <c r="I64" s="18" t="s">
        <v>60</v>
      </c>
      <c r="J64" s="46">
        <v>25200</v>
      </c>
      <c r="K64" s="21"/>
      <c r="L64" s="22">
        <v>1200</v>
      </c>
      <c r="M64" s="23"/>
      <c r="N64" s="24"/>
      <c r="O64" s="13">
        <f>O63*40</f>
        <v>1008000</v>
      </c>
      <c r="P64" s="13">
        <f t="shared" ref="P64:Q64" si="7">P63*40</f>
        <v>48000</v>
      </c>
      <c r="Q64" s="13">
        <f t="shared" si="7"/>
        <v>1056000</v>
      </c>
      <c r="U64" s="33"/>
    </row>
    <row r="65" spans="1:21" s="13" customFormat="1" ht="16.5" customHeight="1" x14ac:dyDescent="0.45">
      <c r="A65" s="14">
        <v>64</v>
      </c>
      <c r="B65" s="14">
        <v>24</v>
      </c>
      <c r="C65" s="15">
        <v>2</v>
      </c>
      <c r="D65" s="16">
        <v>7</v>
      </c>
      <c r="E65" s="17">
        <v>20</v>
      </c>
      <c r="F65" s="18" t="s">
        <v>84</v>
      </c>
      <c r="G65" s="19" t="s">
        <v>14</v>
      </c>
      <c r="H65" s="20" t="s">
        <v>81</v>
      </c>
      <c r="I65" s="18" t="s">
        <v>60</v>
      </c>
      <c r="J65" s="46">
        <v>25200</v>
      </c>
      <c r="K65" s="21"/>
      <c r="L65" s="22">
        <v>1200</v>
      </c>
      <c r="M65" s="23"/>
      <c r="N65" s="24"/>
      <c r="U65" s="33"/>
    </row>
    <row r="66" spans="1:21" s="13" customFormat="1" ht="16.5" customHeight="1" x14ac:dyDescent="0.45">
      <c r="A66" s="14">
        <v>65</v>
      </c>
      <c r="B66" s="14">
        <v>25</v>
      </c>
      <c r="C66" s="15">
        <v>2</v>
      </c>
      <c r="D66" s="16">
        <v>7</v>
      </c>
      <c r="E66" s="17">
        <v>21</v>
      </c>
      <c r="F66" s="18" t="s">
        <v>85</v>
      </c>
      <c r="G66" s="19" t="s">
        <v>14</v>
      </c>
      <c r="H66" s="20" t="s">
        <v>81</v>
      </c>
      <c r="I66" s="18" t="s">
        <v>60</v>
      </c>
      <c r="J66" s="46">
        <v>25200</v>
      </c>
      <c r="K66" s="21"/>
      <c r="L66" s="22">
        <v>1200</v>
      </c>
      <c r="M66" s="23"/>
      <c r="N66" s="24"/>
      <c r="U66" s="33"/>
    </row>
    <row r="67" spans="1:21" s="13" customFormat="1" ht="16.5" customHeight="1" x14ac:dyDescent="0.45">
      <c r="A67" s="14">
        <v>66</v>
      </c>
      <c r="B67" s="14">
        <v>26</v>
      </c>
      <c r="C67" s="15">
        <v>3</v>
      </c>
      <c r="D67" s="16">
        <v>3</v>
      </c>
      <c r="E67" s="17">
        <v>13</v>
      </c>
      <c r="F67" s="18" t="s">
        <v>86</v>
      </c>
      <c r="G67" s="19" t="s">
        <v>14</v>
      </c>
      <c r="H67" s="20" t="s">
        <v>81</v>
      </c>
      <c r="I67" s="18" t="s">
        <v>60</v>
      </c>
      <c r="J67" s="46">
        <v>25200</v>
      </c>
      <c r="K67" s="21"/>
      <c r="L67" s="22">
        <v>1200</v>
      </c>
      <c r="M67" s="23"/>
      <c r="N67" s="24"/>
      <c r="S67" s="34">
        <f>SUM(O55,O59,O64)</f>
        <v>2734200</v>
      </c>
      <c r="T67" s="34">
        <f>SUM(P55,P59,P64)</f>
        <v>130200</v>
      </c>
      <c r="U67" s="34">
        <f>SUM(Q55,Q59,Q64)</f>
        <v>2864400</v>
      </c>
    </row>
    <row r="68" spans="1:21" s="13" customFormat="1" ht="16.5" customHeight="1" x14ac:dyDescent="0.45">
      <c r="A68" s="14">
        <v>67</v>
      </c>
      <c r="B68" s="14">
        <v>27</v>
      </c>
      <c r="C68" s="15">
        <v>3</v>
      </c>
      <c r="D68" s="16">
        <v>5</v>
      </c>
      <c r="E68" s="17">
        <v>16</v>
      </c>
      <c r="F68" s="18" t="s">
        <v>87</v>
      </c>
      <c r="G68" s="19" t="s">
        <v>14</v>
      </c>
      <c r="H68" s="20" t="s">
        <v>81</v>
      </c>
      <c r="I68" s="18" t="s">
        <v>60</v>
      </c>
      <c r="J68" s="46">
        <v>25200</v>
      </c>
      <c r="K68" s="21"/>
      <c r="L68" s="22">
        <v>1200</v>
      </c>
      <c r="M68" s="23"/>
      <c r="N68" s="24"/>
      <c r="U68" s="33"/>
    </row>
    <row r="69" spans="1:21" s="13" customFormat="1" ht="16.5" customHeight="1" x14ac:dyDescent="0.45">
      <c r="A69" s="14">
        <v>68</v>
      </c>
      <c r="B69" s="14">
        <v>28</v>
      </c>
      <c r="C69" s="15">
        <v>3</v>
      </c>
      <c r="D69" s="16">
        <v>6</v>
      </c>
      <c r="E69" s="17">
        <v>11</v>
      </c>
      <c r="F69" s="18" t="s">
        <v>88</v>
      </c>
      <c r="G69" s="19" t="s">
        <v>14</v>
      </c>
      <c r="H69" s="20" t="s">
        <v>81</v>
      </c>
      <c r="I69" s="18" t="s">
        <v>60</v>
      </c>
      <c r="J69" s="46">
        <v>25200</v>
      </c>
      <c r="K69" s="21"/>
      <c r="L69" s="22">
        <v>1200</v>
      </c>
      <c r="M69" s="23"/>
      <c r="N69" s="24"/>
      <c r="U69" s="33"/>
    </row>
    <row r="70" spans="1:21" s="13" customFormat="1" ht="16.5" customHeight="1" x14ac:dyDescent="0.45">
      <c r="A70" s="14">
        <v>69</v>
      </c>
      <c r="B70" s="14">
        <v>29</v>
      </c>
      <c r="C70" s="15">
        <v>3</v>
      </c>
      <c r="D70" s="16">
        <v>7</v>
      </c>
      <c r="E70" s="17">
        <v>22</v>
      </c>
      <c r="F70" s="18" t="s">
        <v>89</v>
      </c>
      <c r="G70" s="19" t="s">
        <v>14</v>
      </c>
      <c r="H70" s="20" t="s">
        <v>81</v>
      </c>
      <c r="I70" s="18" t="s">
        <v>60</v>
      </c>
      <c r="J70" s="46">
        <v>25200</v>
      </c>
      <c r="K70" s="21"/>
      <c r="L70" s="22">
        <v>1200</v>
      </c>
      <c r="M70" s="23"/>
      <c r="N70" s="24"/>
      <c r="U70" s="33"/>
    </row>
    <row r="71" spans="1:21" s="13" customFormat="1" ht="16.5" customHeight="1" x14ac:dyDescent="0.45">
      <c r="A71" s="14">
        <v>70</v>
      </c>
      <c r="B71" s="14">
        <v>30</v>
      </c>
      <c r="C71" s="15">
        <v>3</v>
      </c>
      <c r="D71" s="16">
        <v>9</v>
      </c>
      <c r="E71" s="17">
        <v>8</v>
      </c>
      <c r="F71" s="18" t="s">
        <v>90</v>
      </c>
      <c r="G71" s="19" t="s">
        <v>14</v>
      </c>
      <c r="H71" s="20" t="s">
        <v>81</v>
      </c>
      <c r="I71" s="18" t="s">
        <v>60</v>
      </c>
      <c r="J71" s="46">
        <v>25200</v>
      </c>
      <c r="K71" s="21"/>
      <c r="L71" s="22">
        <v>1200</v>
      </c>
      <c r="M71" s="23"/>
      <c r="N71" s="24"/>
      <c r="U71" s="33"/>
    </row>
    <row r="72" spans="1:21" s="13" customFormat="1" ht="16.5" customHeight="1" x14ac:dyDescent="0.45">
      <c r="A72" s="14">
        <v>71</v>
      </c>
      <c r="B72" s="14">
        <v>31</v>
      </c>
      <c r="C72" s="15">
        <v>4</v>
      </c>
      <c r="D72" s="16">
        <v>3</v>
      </c>
      <c r="E72" s="17">
        <v>2</v>
      </c>
      <c r="F72" s="18" t="s">
        <v>91</v>
      </c>
      <c r="G72" s="19" t="s">
        <v>14</v>
      </c>
      <c r="H72" s="20" t="s">
        <v>81</v>
      </c>
      <c r="I72" s="18" t="s">
        <v>60</v>
      </c>
      <c r="J72" s="46">
        <v>25200</v>
      </c>
      <c r="K72" s="21"/>
      <c r="L72" s="22">
        <v>1200</v>
      </c>
      <c r="M72" s="23"/>
      <c r="N72" s="24"/>
      <c r="U72" s="33"/>
    </row>
    <row r="73" spans="1:21" s="13" customFormat="1" ht="16.5" customHeight="1" x14ac:dyDescent="0.45">
      <c r="A73" s="14">
        <v>72</v>
      </c>
      <c r="B73" s="14">
        <v>32</v>
      </c>
      <c r="C73" s="15">
        <v>4</v>
      </c>
      <c r="D73" s="16">
        <v>8</v>
      </c>
      <c r="E73" s="17">
        <v>16</v>
      </c>
      <c r="F73" s="18" t="s">
        <v>92</v>
      </c>
      <c r="G73" s="19" t="s">
        <v>14</v>
      </c>
      <c r="H73" s="20" t="s">
        <v>81</v>
      </c>
      <c r="I73" s="28" t="s">
        <v>16</v>
      </c>
      <c r="J73" s="47">
        <v>18900</v>
      </c>
      <c r="K73" s="29"/>
      <c r="L73" s="30">
        <v>900</v>
      </c>
      <c r="M73" s="23"/>
      <c r="N73" s="24"/>
      <c r="U73" s="33"/>
    </row>
    <row r="74" spans="1:21" s="13" customFormat="1" ht="16.5" customHeight="1" x14ac:dyDescent="0.45">
      <c r="A74" s="14">
        <v>73</v>
      </c>
      <c r="B74" s="14">
        <v>33</v>
      </c>
      <c r="C74" s="15">
        <v>5</v>
      </c>
      <c r="D74" s="16">
        <v>2</v>
      </c>
      <c r="E74" s="17">
        <v>3</v>
      </c>
      <c r="F74" s="18" t="s">
        <v>93</v>
      </c>
      <c r="G74" s="19" t="s">
        <v>14</v>
      </c>
      <c r="H74" s="20" t="s">
        <v>81</v>
      </c>
      <c r="I74" s="18" t="s">
        <v>60</v>
      </c>
      <c r="J74" s="46">
        <v>25200</v>
      </c>
      <c r="K74" s="21"/>
      <c r="L74" s="22">
        <v>1200</v>
      </c>
      <c r="M74" s="23"/>
      <c r="N74" s="24"/>
      <c r="U74" s="33"/>
    </row>
    <row r="75" spans="1:21" s="13" customFormat="1" ht="16.5" customHeight="1" x14ac:dyDescent="0.45">
      <c r="A75" s="14">
        <v>74</v>
      </c>
      <c r="B75" s="14">
        <v>34</v>
      </c>
      <c r="C75" s="15">
        <v>5</v>
      </c>
      <c r="D75" s="16">
        <v>2</v>
      </c>
      <c r="E75" s="17">
        <v>4</v>
      </c>
      <c r="F75" s="18" t="s">
        <v>94</v>
      </c>
      <c r="G75" s="19" t="s">
        <v>14</v>
      </c>
      <c r="H75" s="20" t="s">
        <v>81</v>
      </c>
      <c r="I75" s="28" t="s">
        <v>16</v>
      </c>
      <c r="J75" s="47">
        <v>18900</v>
      </c>
      <c r="K75" s="29"/>
      <c r="L75" s="30">
        <v>900</v>
      </c>
      <c r="M75" s="23"/>
      <c r="N75" s="24"/>
      <c r="U75" s="33"/>
    </row>
    <row r="76" spans="1:21" s="13" customFormat="1" ht="16.5" customHeight="1" x14ac:dyDescent="0.45">
      <c r="A76" s="14">
        <v>75</v>
      </c>
      <c r="B76" s="14">
        <v>35</v>
      </c>
      <c r="C76" s="15">
        <v>5</v>
      </c>
      <c r="D76" s="16">
        <v>5</v>
      </c>
      <c r="E76" s="17">
        <v>13</v>
      </c>
      <c r="F76" s="18" t="s">
        <v>95</v>
      </c>
      <c r="G76" s="19" t="s">
        <v>14</v>
      </c>
      <c r="H76" s="20" t="s">
        <v>81</v>
      </c>
      <c r="I76" s="18" t="s">
        <v>60</v>
      </c>
      <c r="J76" s="46">
        <v>25200</v>
      </c>
      <c r="K76" s="21"/>
      <c r="L76" s="22">
        <v>1200</v>
      </c>
      <c r="M76" s="23"/>
      <c r="N76" s="24"/>
      <c r="U76" s="33"/>
    </row>
    <row r="77" spans="1:21" s="13" customFormat="1" ht="16.5" customHeight="1" x14ac:dyDescent="0.45">
      <c r="A77" s="14">
        <v>76</v>
      </c>
      <c r="B77" s="14">
        <v>36</v>
      </c>
      <c r="C77" s="15">
        <v>6</v>
      </c>
      <c r="D77" s="16">
        <v>2</v>
      </c>
      <c r="E77" s="17">
        <v>16</v>
      </c>
      <c r="F77" s="18" t="s">
        <v>96</v>
      </c>
      <c r="G77" s="19" t="s">
        <v>14</v>
      </c>
      <c r="H77" s="20" t="s">
        <v>81</v>
      </c>
      <c r="I77" s="18" t="s">
        <v>60</v>
      </c>
      <c r="J77" s="46">
        <v>25200</v>
      </c>
      <c r="K77" s="21"/>
      <c r="L77" s="22">
        <v>1200</v>
      </c>
      <c r="M77" s="23"/>
      <c r="N77" s="24"/>
      <c r="U77" s="33"/>
    </row>
    <row r="78" spans="1:21" s="13" customFormat="1" ht="16.5" customHeight="1" x14ac:dyDescent="0.45">
      <c r="A78" s="14">
        <v>77</v>
      </c>
      <c r="B78" s="14">
        <v>37</v>
      </c>
      <c r="C78" s="15">
        <v>6</v>
      </c>
      <c r="D78" s="16">
        <v>6</v>
      </c>
      <c r="E78" s="17">
        <v>2</v>
      </c>
      <c r="F78" s="18" t="s">
        <v>97</v>
      </c>
      <c r="G78" s="19" t="s">
        <v>14</v>
      </c>
      <c r="H78" s="20" t="s">
        <v>81</v>
      </c>
      <c r="I78" s="18" t="s">
        <v>60</v>
      </c>
      <c r="J78" s="46">
        <v>25200</v>
      </c>
      <c r="K78" s="21"/>
      <c r="L78" s="22">
        <v>1200</v>
      </c>
      <c r="M78" s="23"/>
      <c r="N78" s="24"/>
      <c r="U78" s="33"/>
    </row>
    <row r="79" spans="1:21" s="13" customFormat="1" ht="16.5" customHeight="1" x14ac:dyDescent="0.45">
      <c r="A79" s="14">
        <v>78</v>
      </c>
      <c r="B79" s="14">
        <v>38</v>
      </c>
      <c r="C79" s="15">
        <v>6</v>
      </c>
      <c r="D79" s="16">
        <v>6</v>
      </c>
      <c r="E79" s="17">
        <v>5</v>
      </c>
      <c r="F79" s="18" t="s">
        <v>98</v>
      </c>
      <c r="G79" s="19" t="s">
        <v>14</v>
      </c>
      <c r="H79" s="20" t="s">
        <v>81</v>
      </c>
      <c r="I79" s="18" t="s">
        <v>60</v>
      </c>
      <c r="J79" s="46">
        <v>25200</v>
      </c>
      <c r="K79" s="21"/>
      <c r="L79" s="22">
        <v>1200</v>
      </c>
      <c r="M79" s="23"/>
      <c r="N79" s="24"/>
      <c r="U79" s="33"/>
    </row>
    <row r="80" spans="1:21" s="13" customFormat="1" ht="16.5" customHeight="1" x14ac:dyDescent="0.45">
      <c r="A80" s="14">
        <v>79</v>
      </c>
      <c r="B80" s="14">
        <v>39</v>
      </c>
      <c r="C80" s="15">
        <v>6</v>
      </c>
      <c r="D80" s="16">
        <v>6</v>
      </c>
      <c r="E80" s="17">
        <v>24</v>
      </c>
      <c r="F80" s="18" t="s">
        <v>99</v>
      </c>
      <c r="G80" s="19" t="s">
        <v>14</v>
      </c>
      <c r="H80" s="20" t="s">
        <v>81</v>
      </c>
      <c r="I80" s="18" t="s">
        <v>60</v>
      </c>
      <c r="J80" s="46">
        <v>25200</v>
      </c>
      <c r="K80" s="21"/>
      <c r="L80" s="22">
        <v>1200</v>
      </c>
      <c r="M80" s="23"/>
      <c r="N80" s="24"/>
      <c r="U80" s="33"/>
    </row>
    <row r="81" spans="1:21" s="13" customFormat="1" ht="16.5" customHeight="1" x14ac:dyDescent="0.45">
      <c r="A81" s="14">
        <v>80</v>
      </c>
      <c r="B81" s="14">
        <v>40</v>
      </c>
      <c r="C81" s="15">
        <v>6</v>
      </c>
      <c r="D81" s="16">
        <v>7</v>
      </c>
      <c r="E81" s="17">
        <v>3</v>
      </c>
      <c r="F81" s="18" t="s">
        <v>100</v>
      </c>
      <c r="G81" s="19" t="s">
        <v>14</v>
      </c>
      <c r="H81" s="20" t="s">
        <v>81</v>
      </c>
      <c r="I81" s="48" t="s">
        <v>60</v>
      </c>
      <c r="J81" s="46">
        <v>25200</v>
      </c>
      <c r="K81" s="21"/>
      <c r="L81" s="22">
        <v>1200</v>
      </c>
      <c r="M81" s="23"/>
      <c r="N81" s="24"/>
      <c r="U81" s="33"/>
    </row>
    <row r="82" spans="1:21" s="13" customFormat="1" ht="16.5" customHeight="1" x14ac:dyDescent="0.45">
      <c r="A82" s="14">
        <v>81</v>
      </c>
      <c r="B82" s="35">
        <v>1</v>
      </c>
      <c r="C82" s="49">
        <v>1</v>
      </c>
      <c r="D82" s="50">
        <v>2</v>
      </c>
      <c r="E82" s="51">
        <v>13</v>
      </c>
      <c r="F82" s="39" t="s">
        <v>101</v>
      </c>
      <c r="G82" s="40" t="s">
        <v>14</v>
      </c>
      <c r="H82" s="41" t="s">
        <v>102</v>
      </c>
      <c r="I82" s="39" t="s">
        <v>60</v>
      </c>
      <c r="J82" s="43">
        <v>25200</v>
      </c>
      <c r="K82" s="43"/>
      <c r="L82" s="44">
        <v>1200</v>
      </c>
      <c r="M82" s="45">
        <f>SUM(J82:K107)</f>
        <v>585900</v>
      </c>
      <c r="N82" s="24"/>
      <c r="O82" s="27"/>
      <c r="U82" s="33"/>
    </row>
    <row r="83" spans="1:21" s="13" customFormat="1" ht="16.5" customHeight="1" x14ac:dyDescent="0.45">
      <c r="A83" s="14">
        <v>82</v>
      </c>
      <c r="B83" s="14">
        <v>2</v>
      </c>
      <c r="C83" s="52">
        <v>1</v>
      </c>
      <c r="D83" s="53">
        <v>5</v>
      </c>
      <c r="E83" s="54">
        <v>13</v>
      </c>
      <c r="F83" s="18" t="s">
        <v>103</v>
      </c>
      <c r="G83" s="19" t="s">
        <v>14</v>
      </c>
      <c r="H83" s="20" t="s">
        <v>102</v>
      </c>
      <c r="I83" s="28" t="s">
        <v>16</v>
      </c>
      <c r="J83" s="29">
        <v>18900</v>
      </c>
      <c r="K83" s="29"/>
      <c r="L83" s="30">
        <v>900</v>
      </c>
      <c r="M83" s="23"/>
      <c r="N83" s="24"/>
      <c r="O83" s="27">
        <f>SUM(J82:K107)</f>
        <v>585900</v>
      </c>
      <c r="U83" s="33"/>
    </row>
    <row r="84" spans="1:21" s="13" customFormat="1" ht="16.5" customHeight="1" x14ac:dyDescent="0.45">
      <c r="A84" s="14">
        <v>83</v>
      </c>
      <c r="B84" s="14">
        <v>3</v>
      </c>
      <c r="C84" s="52">
        <v>1</v>
      </c>
      <c r="D84" s="53">
        <v>6</v>
      </c>
      <c r="E84" s="54">
        <v>1</v>
      </c>
      <c r="F84" s="18" t="s">
        <v>104</v>
      </c>
      <c r="G84" s="19" t="s">
        <v>14</v>
      </c>
      <c r="H84" s="20" t="s">
        <v>102</v>
      </c>
      <c r="I84" s="18" t="s">
        <v>60</v>
      </c>
      <c r="J84" s="21">
        <v>25200</v>
      </c>
      <c r="K84" s="21"/>
      <c r="L84" s="22">
        <v>1200</v>
      </c>
      <c r="M84" s="23"/>
      <c r="N84" s="24"/>
      <c r="O84" s="27">
        <f>SUM(L82:L107)</f>
        <v>27900</v>
      </c>
      <c r="U84" s="33"/>
    </row>
    <row r="85" spans="1:21" s="13" customFormat="1" ht="16.5" customHeight="1" x14ac:dyDescent="0.45">
      <c r="A85" s="14">
        <v>84</v>
      </c>
      <c r="B85" s="14">
        <v>4</v>
      </c>
      <c r="C85" s="52">
        <v>1</v>
      </c>
      <c r="D85" s="53">
        <v>6</v>
      </c>
      <c r="E85" s="54">
        <v>11</v>
      </c>
      <c r="F85" s="18" t="s">
        <v>105</v>
      </c>
      <c r="G85" s="19" t="s">
        <v>14</v>
      </c>
      <c r="H85" s="20" t="s">
        <v>102</v>
      </c>
      <c r="I85" s="18" t="s">
        <v>60</v>
      </c>
      <c r="J85" s="21">
        <v>25200</v>
      </c>
      <c r="K85" s="21"/>
      <c r="L85" s="22">
        <v>1200</v>
      </c>
      <c r="M85" s="23"/>
      <c r="N85" s="24"/>
      <c r="O85" s="27">
        <f>SUM(O83:O84)</f>
        <v>613800</v>
      </c>
      <c r="U85" s="33"/>
    </row>
    <row r="86" spans="1:21" s="13" customFormat="1" ht="16.5" customHeight="1" x14ac:dyDescent="0.45">
      <c r="A86" s="14">
        <v>85</v>
      </c>
      <c r="B86" s="14">
        <v>5</v>
      </c>
      <c r="C86" s="52">
        <v>1</v>
      </c>
      <c r="D86" s="53">
        <v>6</v>
      </c>
      <c r="E86" s="54">
        <v>12</v>
      </c>
      <c r="F86" s="18" t="s">
        <v>106</v>
      </c>
      <c r="G86" s="19" t="s">
        <v>14</v>
      </c>
      <c r="H86" s="20" t="s">
        <v>102</v>
      </c>
      <c r="I86" s="28" t="s">
        <v>16</v>
      </c>
      <c r="J86" s="29">
        <v>18900</v>
      </c>
      <c r="K86" s="29"/>
      <c r="L86" s="30">
        <v>900</v>
      </c>
      <c r="M86" s="23"/>
      <c r="N86" s="24"/>
      <c r="U86" s="33"/>
    </row>
    <row r="87" spans="1:21" s="13" customFormat="1" ht="16.5" customHeight="1" x14ac:dyDescent="0.45">
      <c r="A87" s="14">
        <v>86</v>
      </c>
      <c r="B87" s="14">
        <v>6</v>
      </c>
      <c r="C87" s="52">
        <v>1</v>
      </c>
      <c r="D87" s="53">
        <v>7</v>
      </c>
      <c r="E87" s="54">
        <v>11</v>
      </c>
      <c r="F87" s="18" t="s">
        <v>39</v>
      </c>
      <c r="G87" s="19" t="s">
        <v>14</v>
      </c>
      <c r="H87" s="20" t="s">
        <v>102</v>
      </c>
      <c r="I87" s="28" t="s">
        <v>16</v>
      </c>
      <c r="J87" s="29">
        <v>18900</v>
      </c>
      <c r="K87" s="29"/>
      <c r="L87" s="30">
        <v>900</v>
      </c>
      <c r="M87" s="23"/>
      <c r="N87" s="24"/>
      <c r="O87" s="13">
        <v>25200</v>
      </c>
      <c r="P87" s="13">
        <v>1200</v>
      </c>
      <c r="Q87" s="13">
        <f>SUM(O87:P87)</f>
        <v>26400</v>
      </c>
      <c r="U87" s="33"/>
    </row>
    <row r="88" spans="1:21" s="13" customFormat="1" ht="16.5" customHeight="1" x14ac:dyDescent="0.45">
      <c r="A88" s="14">
        <v>87</v>
      </c>
      <c r="B88" s="14">
        <v>7</v>
      </c>
      <c r="C88" s="52">
        <v>1</v>
      </c>
      <c r="D88" s="53">
        <v>8</v>
      </c>
      <c r="E88" s="54">
        <v>4</v>
      </c>
      <c r="F88" s="18" t="s">
        <v>107</v>
      </c>
      <c r="G88" s="19" t="s">
        <v>14</v>
      </c>
      <c r="H88" s="20" t="s">
        <v>102</v>
      </c>
      <c r="I88" s="28" t="s">
        <v>16</v>
      </c>
      <c r="J88" s="29">
        <v>18900</v>
      </c>
      <c r="K88" s="29"/>
      <c r="L88" s="30">
        <v>900</v>
      </c>
      <c r="M88" s="23"/>
      <c r="N88" s="24"/>
      <c r="O88" s="13">
        <f>O87*26</f>
        <v>655200</v>
      </c>
      <c r="P88" s="13">
        <f t="shared" ref="P88:Q88" si="8">P87*26</f>
        <v>31200</v>
      </c>
      <c r="Q88" s="13">
        <f t="shared" si="8"/>
        <v>686400</v>
      </c>
      <c r="U88" s="33"/>
    </row>
    <row r="89" spans="1:21" s="13" customFormat="1" ht="16.5" customHeight="1" x14ac:dyDescent="0.45">
      <c r="A89" s="14">
        <v>88</v>
      </c>
      <c r="B89" s="14">
        <v>8</v>
      </c>
      <c r="C89" s="52">
        <v>1</v>
      </c>
      <c r="D89" s="53">
        <v>9</v>
      </c>
      <c r="E89" s="54">
        <v>19</v>
      </c>
      <c r="F89" s="18" t="s">
        <v>108</v>
      </c>
      <c r="G89" s="19" t="s">
        <v>14</v>
      </c>
      <c r="H89" s="20" t="s">
        <v>102</v>
      </c>
      <c r="I89" s="18" t="s">
        <v>60</v>
      </c>
      <c r="J89" s="21">
        <v>25200</v>
      </c>
      <c r="K89" s="21"/>
      <c r="L89" s="22">
        <v>1200</v>
      </c>
      <c r="M89" s="23"/>
      <c r="N89" s="24"/>
      <c r="O89" s="13">
        <v>-69300</v>
      </c>
      <c r="P89" s="13">
        <v>-3300</v>
      </c>
      <c r="Q89" s="13">
        <v>-72600</v>
      </c>
      <c r="U89" s="33"/>
    </row>
    <row r="90" spans="1:21" s="13" customFormat="1" ht="16.5" customHeight="1" x14ac:dyDescent="0.45">
      <c r="A90" s="14">
        <v>89</v>
      </c>
      <c r="B90" s="14">
        <v>9</v>
      </c>
      <c r="C90" s="52">
        <v>1</v>
      </c>
      <c r="D90" s="53">
        <v>10</v>
      </c>
      <c r="E90" s="54">
        <v>5</v>
      </c>
      <c r="F90" s="18" t="s">
        <v>109</v>
      </c>
      <c r="G90" s="19" t="s">
        <v>14</v>
      </c>
      <c r="H90" s="20" t="s">
        <v>102</v>
      </c>
      <c r="I90" s="28" t="s">
        <v>16</v>
      </c>
      <c r="J90" s="29">
        <v>18900</v>
      </c>
      <c r="K90" s="29"/>
      <c r="L90" s="30">
        <v>900</v>
      </c>
      <c r="M90" s="23"/>
      <c r="N90" s="24"/>
      <c r="U90" s="33"/>
    </row>
    <row r="91" spans="1:21" s="13" customFormat="1" ht="16.5" customHeight="1" x14ac:dyDescent="0.45">
      <c r="A91" s="14">
        <v>90</v>
      </c>
      <c r="B91" s="14">
        <v>10</v>
      </c>
      <c r="C91" s="52">
        <v>1</v>
      </c>
      <c r="D91" s="53">
        <v>10</v>
      </c>
      <c r="E91" s="54">
        <v>15</v>
      </c>
      <c r="F91" s="18" t="s">
        <v>110</v>
      </c>
      <c r="G91" s="19" t="s">
        <v>14</v>
      </c>
      <c r="H91" s="20" t="s">
        <v>102</v>
      </c>
      <c r="I91" s="28" t="s">
        <v>16</v>
      </c>
      <c r="J91" s="29">
        <v>18900</v>
      </c>
      <c r="K91" s="29"/>
      <c r="L91" s="30">
        <v>900</v>
      </c>
      <c r="M91" s="23"/>
      <c r="N91" s="24"/>
      <c r="O91" s="13">
        <f>SUM(O88:O89)</f>
        <v>585900</v>
      </c>
      <c r="P91" s="13">
        <f t="shared" ref="P91:Q91" si="9">SUM(P88:P89)</f>
        <v>27900</v>
      </c>
      <c r="Q91" s="13">
        <f t="shared" si="9"/>
        <v>613800</v>
      </c>
      <c r="U91" s="33"/>
    </row>
    <row r="92" spans="1:21" s="13" customFormat="1" ht="16.5" customHeight="1" x14ac:dyDescent="0.45">
      <c r="A92" s="14">
        <v>91</v>
      </c>
      <c r="B92" s="14">
        <v>11</v>
      </c>
      <c r="C92" s="52">
        <v>1</v>
      </c>
      <c r="D92" s="53">
        <v>10</v>
      </c>
      <c r="E92" s="54">
        <v>16</v>
      </c>
      <c r="F92" s="18" t="s">
        <v>111</v>
      </c>
      <c r="G92" s="19" t="s">
        <v>14</v>
      </c>
      <c r="H92" s="20" t="s">
        <v>102</v>
      </c>
      <c r="I92" s="18" t="s">
        <v>21</v>
      </c>
      <c r="J92" s="21">
        <v>12600</v>
      </c>
      <c r="K92" s="21"/>
      <c r="L92" s="22">
        <v>600</v>
      </c>
      <c r="M92" s="23"/>
      <c r="N92" s="24"/>
      <c r="U92" s="33"/>
    </row>
    <row r="93" spans="1:21" s="13" customFormat="1" ht="16.5" customHeight="1" x14ac:dyDescent="0.45">
      <c r="A93" s="14">
        <v>92</v>
      </c>
      <c r="B93" s="14">
        <v>12</v>
      </c>
      <c r="C93" s="52">
        <v>1</v>
      </c>
      <c r="D93" s="53">
        <v>11</v>
      </c>
      <c r="E93" s="54">
        <v>5</v>
      </c>
      <c r="F93" s="18" t="s">
        <v>112</v>
      </c>
      <c r="G93" s="19" t="s">
        <v>14</v>
      </c>
      <c r="H93" s="20" t="s">
        <v>102</v>
      </c>
      <c r="I93" s="18" t="s">
        <v>21</v>
      </c>
      <c r="J93" s="21">
        <v>12600</v>
      </c>
      <c r="K93" s="21"/>
      <c r="L93" s="22">
        <v>600</v>
      </c>
      <c r="M93" s="23"/>
      <c r="N93" s="24"/>
      <c r="U93" s="33"/>
    </row>
    <row r="94" spans="1:21" s="13" customFormat="1" ht="16.5" customHeight="1" x14ac:dyDescent="0.45">
      <c r="A94" s="14">
        <v>93</v>
      </c>
      <c r="B94" s="14">
        <v>13</v>
      </c>
      <c r="C94" s="52">
        <v>1</v>
      </c>
      <c r="D94" s="53">
        <v>11</v>
      </c>
      <c r="E94" s="54">
        <v>6</v>
      </c>
      <c r="F94" s="18" t="s">
        <v>113</v>
      </c>
      <c r="G94" s="19" t="s">
        <v>14</v>
      </c>
      <c r="H94" s="20" t="s">
        <v>102</v>
      </c>
      <c r="I94" s="18" t="s">
        <v>60</v>
      </c>
      <c r="J94" s="21">
        <v>25200</v>
      </c>
      <c r="K94" s="21"/>
      <c r="L94" s="22">
        <v>1200</v>
      </c>
      <c r="M94" s="23"/>
      <c r="N94" s="24"/>
      <c r="O94" s="13">
        <v>18900</v>
      </c>
      <c r="P94" s="13">
        <v>900</v>
      </c>
      <c r="Q94" s="13">
        <v>19800</v>
      </c>
      <c r="U94" s="33"/>
    </row>
    <row r="95" spans="1:21" s="13" customFormat="1" ht="16.5" customHeight="1" x14ac:dyDescent="0.45">
      <c r="A95" s="14">
        <v>94</v>
      </c>
      <c r="B95" s="14">
        <v>14</v>
      </c>
      <c r="C95" s="52">
        <v>1</v>
      </c>
      <c r="D95" s="53">
        <v>11</v>
      </c>
      <c r="E95" s="54">
        <v>14</v>
      </c>
      <c r="F95" s="18" t="s">
        <v>114</v>
      </c>
      <c r="G95" s="19" t="s">
        <v>14</v>
      </c>
      <c r="H95" s="20" t="s">
        <v>102</v>
      </c>
      <c r="I95" s="18" t="s">
        <v>60</v>
      </c>
      <c r="J95" s="21">
        <v>25200</v>
      </c>
      <c r="K95" s="21"/>
      <c r="L95" s="22">
        <v>1200</v>
      </c>
      <c r="M95" s="23"/>
      <c r="N95" s="24"/>
      <c r="O95" s="13">
        <f>O94*26</f>
        <v>491400</v>
      </c>
      <c r="P95" s="13">
        <f t="shared" ref="P95:Q95" si="10">P94*26</f>
        <v>23400</v>
      </c>
      <c r="Q95" s="13">
        <f t="shared" si="10"/>
        <v>514800</v>
      </c>
      <c r="U95" s="33"/>
    </row>
    <row r="96" spans="1:21" s="13" customFormat="1" ht="16.5" customHeight="1" x14ac:dyDescent="0.45">
      <c r="A96" s="14">
        <v>95</v>
      </c>
      <c r="B96" s="14">
        <v>15</v>
      </c>
      <c r="C96" s="52">
        <v>1</v>
      </c>
      <c r="D96" s="53">
        <v>11</v>
      </c>
      <c r="E96" s="54">
        <v>19</v>
      </c>
      <c r="F96" s="18" t="s">
        <v>115</v>
      </c>
      <c r="G96" s="19" t="s">
        <v>14</v>
      </c>
      <c r="H96" s="20" t="s">
        <v>102</v>
      </c>
      <c r="I96" s="18" t="s">
        <v>60</v>
      </c>
      <c r="J96" s="21">
        <v>25200</v>
      </c>
      <c r="K96" s="21"/>
      <c r="L96" s="22">
        <v>1200</v>
      </c>
      <c r="M96" s="23"/>
      <c r="N96" s="24"/>
      <c r="O96" s="13">
        <v>25200</v>
      </c>
      <c r="P96" s="13">
        <v>1200</v>
      </c>
      <c r="Q96" s="13">
        <f>SUM(O96:P96)</f>
        <v>26400</v>
      </c>
      <c r="U96" s="33"/>
    </row>
    <row r="97" spans="1:21" s="13" customFormat="1" ht="16.5" customHeight="1" x14ac:dyDescent="0.45">
      <c r="A97" s="14">
        <v>96</v>
      </c>
      <c r="B97" s="14">
        <v>16</v>
      </c>
      <c r="C97" s="52">
        <v>2</v>
      </c>
      <c r="D97" s="53">
        <v>2</v>
      </c>
      <c r="E97" s="54">
        <v>14</v>
      </c>
      <c r="F97" s="18" t="s">
        <v>116</v>
      </c>
      <c r="G97" s="19" t="s">
        <v>14</v>
      </c>
      <c r="H97" s="20" t="s">
        <v>102</v>
      </c>
      <c r="I97" s="18" t="s">
        <v>60</v>
      </c>
      <c r="J97" s="21">
        <v>25200</v>
      </c>
      <c r="K97" s="21"/>
      <c r="L97" s="22">
        <v>1200</v>
      </c>
      <c r="M97" s="23"/>
      <c r="N97" s="24"/>
      <c r="O97" s="13">
        <f>O96*26</f>
        <v>655200</v>
      </c>
      <c r="P97" s="13">
        <f t="shared" ref="P97:Q97" si="11">P96*26</f>
        <v>31200</v>
      </c>
      <c r="Q97" s="13">
        <f t="shared" si="11"/>
        <v>686400</v>
      </c>
      <c r="U97" s="33"/>
    </row>
    <row r="98" spans="1:21" s="13" customFormat="1" ht="16.5" customHeight="1" x14ac:dyDescent="0.45">
      <c r="A98" s="14">
        <v>97</v>
      </c>
      <c r="B98" s="14">
        <v>17</v>
      </c>
      <c r="C98" s="52">
        <v>2</v>
      </c>
      <c r="D98" s="53">
        <v>2</v>
      </c>
      <c r="E98" s="54">
        <v>23</v>
      </c>
      <c r="F98" s="18" t="s">
        <v>117</v>
      </c>
      <c r="G98" s="19" t="s">
        <v>14</v>
      </c>
      <c r="H98" s="20" t="s">
        <v>102</v>
      </c>
      <c r="I98" s="18" t="s">
        <v>60</v>
      </c>
      <c r="J98" s="21">
        <v>25200</v>
      </c>
      <c r="K98" s="21"/>
      <c r="L98" s="22">
        <v>1200</v>
      </c>
      <c r="M98" s="23"/>
      <c r="N98" s="24"/>
      <c r="U98" s="33"/>
    </row>
    <row r="99" spans="1:21" s="13" customFormat="1" ht="16.5" customHeight="1" x14ac:dyDescent="0.45">
      <c r="A99" s="14">
        <v>98</v>
      </c>
      <c r="B99" s="14">
        <v>18</v>
      </c>
      <c r="C99" s="52">
        <v>2</v>
      </c>
      <c r="D99" s="53">
        <v>5</v>
      </c>
      <c r="E99" s="54">
        <v>5</v>
      </c>
      <c r="F99" s="18" t="s">
        <v>118</v>
      </c>
      <c r="G99" s="19" t="s">
        <v>14</v>
      </c>
      <c r="H99" s="20" t="s">
        <v>102</v>
      </c>
      <c r="I99" s="18" t="s">
        <v>60</v>
      </c>
      <c r="J99" s="21">
        <v>25200</v>
      </c>
      <c r="K99" s="21"/>
      <c r="L99" s="22">
        <v>1200</v>
      </c>
      <c r="M99" s="23"/>
      <c r="N99" s="24"/>
      <c r="U99" s="33"/>
    </row>
    <row r="100" spans="1:21" s="13" customFormat="1" ht="16.5" customHeight="1" x14ac:dyDescent="0.45">
      <c r="A100" s="14">
        <v>99</v>
      </c>
      <c r="B100" s="14">
        <v>19</v>
      </c>
      <c r="C100" s="52">
        <v>2</v>
      </c>
      <c r="D100" s="53">
        <v>8</v>
      </c>
      <c r="E100" s="54">
        <v>10</v>
      </c>
      <c r="F100" s="18" t="s">
        <v>119</v>
      </c>
      <c r="G100" s="19" t="s">
        <v>14</v>
      </c>
      <c r="H100" s="20" t="s">
        <v>102</v>
      </c>
      <c r="I100" s="18" t="s">
        <v>60</v>
      </c>
      <c r="J100" s="21">
        <v>25200</v>
      </c>
      <c r="K100" s="21"/>
      <c r="L100" s="22">
        <v>1200</v>
      </c>
      <c r="M100" s="23"/>
      <c r="N100" s="24"/>
      <c r="U100" s="33"/>
    </row>
    <row r="101" spans="1:21" s="13" customFormat="1" ht="16.5" customHeight="1" x14ac:dyDescent="0.45">
      <c r="A101" s="14">
        <v>100</v>
      </c>
      <c r="B101" s="14">
        <v>20</v>
      </c>
      <c r="C101" s="52">
        <v>2</v>
      </c>
      <c r="D101" s="53">
        <v>10</v>
      </c>
      <c r="E101" s="54">
        <v>3</v>
      </c>
      <c r="F101" s="18" t="s">
        <v>120</v>
      </c>
      <c r="G101" s="19" t="s">
        <v>14</v>
      </c>
      <c r="H101" s="20" t="s">
        <v>102</v>
      </c>
      <c r="I101" s="28" t="s">
        <v>16</v>
      </c>
      <c r="J101" s="29">
        <v>18900</v>
      </c>
      <c r="K101" s="29"/>
      <c r="L101" s="30">
        <v>900</v>
      </c>
      <c r="M101" s="23"/>
      <c r="N101" s="24"/>
      <c r="U101" s="33"/>
    </row>
    <row r="102" spans="1:21" s="13" customFormat="1" ht="16.5" customHeight="1" x14ac:dyDescent="0.45">
      <c r="A102" s="14">
        <v>101</v>
      </c>
      <c r="B102" s="14">
        <v>21</v>
      </c>
      <c r="C102" s="52">
        <v>2</v>
      </c>
      <c r="D102" s="53">
        <v>7</v>
      </c>
      <c r="E102" s="54">
        <v>4</v>
      </c>
      <c r="F102" s="18" t="s">
        <v>121</v>
      </c>
      <c r="G102" s="19" t="s">
        <v>14</v>
      </c>
      <c r="H102" s="20" t="s">
        <v>122</v>
      </c>
      <c r="I102" s="18" t="s">
        <v>60</v>
      </c>
      <c r="J102" s="21">
        <v>25200</v>
      </c>
      <c r="K102" s="21"/>
      <c r="L102" s="22">
        <v>1200</v>
      </c>
      <c r="M102" s="23"/>
      <c r="N102" s="24"/>
      <c r="U102" s="33"/>
    </row>
    <row r="103" spans="1:21" s="13" customFormat="1" ht="16.5" customHeight="1" x14ac:dyDescent="0.45">
      <c r="A103" s="14">
        <v>102</v>
      </c>
      <c r="B103" s="14">
        <v>22</v>
      </c>
      <c r="C103" s="52">
        <v>3</v>
      </c>
      <c r="D103" s="53">
        <v>4</v>
      </c>
      <c r="E103" s="54">
        <v>4</v>
      </c>
      <c r="F103" s="18" t="s">
        <v>123</v>
      </c>
      <c r="G103" s="19" t="s">
        <v>14</v>
      </c>
      <c r="H103" s="20" t="s">
        <v>122</v>
      </c>
      <c r="I103" s="18" t="s">
        <v>60</v>
      </c>
      <c r="J103" s="21">
        <v>25200</v>
      </c>
      <c r="K103" s="21"/>
      <c r="L103" s="22">
        <v>1200</v>
      </c>
      <c r="M103" s="23"/>
      <c r="N103" s="24"/>
      <c r="U103" s="33"/>
    </row>
    <row r="104" spans="1:21" s="13" customFormat="1" ht="16.5" customHeight="1" x14ac:dyDescent="0.45">
      <c r="A104" s="14">
        <v>103</v>
      </c>
      <c r="B104" s="14">
        <v>23</v>
      </c>
      <c r="C104" s="52">
        <v>3</v>
      </c>
      <c r="D104" s="53">
        <v>7</v>
      </c>
      <c r="E104" s="54">
        <v>8</v>
      </c>
      <c r="F104" s="18" t="s">
        <v>124</v>
      </c>
      <c r="G104" s="19" t="s">
        <v>14</v>
      </c>
      <c r="H104" s="20" t="s">
        <v>122</v>
      </c>
      <c r="I104" s="18" t="s">
        <v>60</v>
      </c>
      <c r="J104" s="21">
        <v>25200</v>
      </c>
      <c r="K104" s="21"/>
      <c r="L104" s="22">
        <v>1200</v>
      </c>
      <c r="M104" s="23"/>
      <c r="N104" s="24"/>
      <c r="S104" s="34">
        <f>SUM(O91,O95,O97)</f>
        <v>1732500</v>
      </c>
      <c r="T104" s="34">
        <f>SUM(P91,P95,P97)</f>
        <v>82500</v>
      </c>
      <c r="U104" s="34">
        <f>SUM(Q91,Q95,Q97)</f>
        <v>1815000</v>
      </c>
    </row>
    <row r="105" spans="1:21" s="13" customFormat="1" ht="16.5" customHeight="1" x14ac:dyDescent="0.45">
      <c r="A105" s="14">
        <v>104</v>
      </c>
      <c r="B105" s="14">
        <v>24</v>
      </c>
      <c r="C105" s="52">
        <v>5</v>
      </c>
      <c r="D105" s="53">
        <v>4</v>
      </c>
      <c r="E105" s="54">
        <v>1</v>
      </c>
      <c r="F105" s="18" t="s">
        <v>125</v>
      </c>
      <c r="G105" s="19" t="s">
        <v>14</v>
      </c>
      <c r="H105" s="20" t="s">
        <v>122</v>
      </c>
      <c r="I105" s="18" t="s">
        <v>60</v>
      </c>
      <c r="J105" s="21">
        <v>25200</v>
      </c>
      <c r="K105" s="21"/>
      <c r="L105" s="22">
        <v>1200</v>
      </c>
      <c r="M105" s="23"/>
      <c r="N105" s="24"/>
      <c r="U105" s="33"/>
    </row>
    <row r="106" spans="1:21" s="13" customFormat="1" ht="16.5" customHeight="1" x14ac:dyDescent="0.45">
      <c r="A106" s="14">
        <v>105</v>
      </c>
      <c r="B106" s="14">
        <v>25</v>
      </c>
      <c r="C106" s="52">
        <v>5</v>
      </c>
      <c r="D106" s="53">
        <v>4</v>
      </c>
      <c r="E106" s="54">
        <v>14</v>
      </c>
      <c r="F106" s="18" t="s">
        <v>126</v>
      </c>
      <c r="G106" s="19" t="s">
        <v>14</v>
      </c>
      <c r="H106" s="20" t="s">
        <v>122</v>
      </c>
      <c r="I106" s="18" t="s">
        <v>60</v>
      </c>
      <c r="J106" s="21">
        <v>25200</v>
      </c>
      <c r="K106" s="21"/>
      <c r="L106" s="22">
        <v>1200</v>
      </c>
      <c r="M106" s="23"/>
      <c r="N106" s="24"/>
      <c r="U106" s="33"/>
    </row>
    <row r="107" spans="1:21" s="13" customFormat="1" ht="16.5" customHeight="1" x14ac:dyDescent="0.45">
      <c r="A107" s="14">
        <v>106</v>
      </c>
      <c r="B107" s="14">
        <v>26</v>
      </c>
      <c r="C107" s="52">
        <v>5</v>
      </c>
      <c r="D107" s="53">
        <v>5</v>
      </c>
      <c r="E107" s="54">
        <v>18</v>
      </c>
      <c r="F107" s="18" t="s">
        <v>127</v>
      </c>
      <c r="G107" s="19" t="s">
        <v>14</v>
      </c>
      <c r="H107" s="20" t="s">
        <v>122</v>
      </c>
      <c r="I107" s="48" t="s">
        <v>60</v>
      </c>
      <c r="J107" s="21">
        <v>25200</v>
      </c>
      <c r="K107" s="21"/>
      <c r="L107" s="22">
        <v>1200</v>
      </c>
      <c r="M107" s="23"/>
      <c r="N107" s="24"/>
      <c r="U107" s="33"/>
    </row>
    <row r="108" spans="1:21" s="13" customFormat="1" ht="16.5" customHeight="1" x14ac:dyDescent="0.45">
      <c r="A108" s="14">
        <v>107</v>
      </c>
      <c r="B108" s="35">
        <v>1</v>
      </c>
      <c r="C108" s="49">
        <v>1</v>
      </c>
      <c r="D108" s="50">
        <v>6</v>
      </c>
      <c r="E108" s="51">
        <v>20</v>
      </c>
      <c r="F108" s="39" t="s">
        <v>128</v>
      </c>
      <c r="G108" s="55" t="s">
        <v>14</v>
      </c>
      <c r="H108" s="56" t="s">
        <v>129</v>
      </c>
      <c r="I108" s="39" t="s">
        <v>16</v>
      </c>
      <c r="J108" s="43">
        <v>18900</v>
      </c>
      <c r="K108" s="43"/>
      <c r="L108" s="44">
        <v>900</v>
      </c>
      <c r="M108" s="45">
        <f>SUM(J108:K132)</f>
        <v>466200</v>
      </c>
      <c r="N108" s="24"/>
      <c r="U108" s="33"/>
    </row>
    <row r="109" spans="1:21" s="13" customFormat="1" ht="16.5" customHeight="1" x14ac:dyDescent="0.45">
      <c r="A109" s="14">
        <v>108</v>
      </c>
      <c r="B109" s="14">
        <v>2</v>
      </c>
      <c r="C109" s="52">
        <v>1</v>
      </c>
      <c r="D109" s="53">
        <v>8</v>
      </c>
      <c r="E109" s="54">
        <v>6</v>
      </c>
      <c r="F109" s="18" t="s">
        <v>130</v>
      </c>
      <c r="G109" s="57" t="s">
        <v>14</v>
      </c>
      <c r="H109" s="58" t="s">
        <v>129</v>
      </c>
      <c r="I109" s="18" t="s">
        <v>16</v>
      </c>
      <c r="J109" s="21">
        <v>18900</v>
      </c>
      <c r="K109" s="21"/>
      <c r="L109" s="22">
        <v>900</v>
      </c>
      <c r="M109" s="23"/>
      <c r="N109" s="24"/>
      <c r="O109" s="27">
        <f>SUM(J108:K132)</f>
        <v>466200</v>
      </c>
      <c r="U109" s="33"/>
    </row>
    <row r="110" spans="1:21" s="13" customFormat="1" ht="16.5" customHeight="1" x14ac:dyDescent="0.45">
      <c r="A110" s="14">
        <v>109</v>
      </c>
      <c r="B110" s="14">
        <v>3</v>
      </c>
      <c r="C110" s="52">
        <v>1</v>
      </c>
      <c r="D110" s="53">
        <v>8</v>
      </c>
      <c r="E110" s="54">
        <v>18</v>
      </c>
      <c r="F110" s="18" t="s">
        <v>131</v>
      </c>
      <c r="G110" s="57" t="s">
        <v>14</v>
      </c>
      <c r="H110" s="58" t="s">
        <v>129</v>
      </c>
      <c r="I110" s="18" t="s">
        <v>16</v>
      </c>
      <c r="J110" s="21">
        <v>18900</v>
      </c>
      <c r="K110" s="21"/>
      <c r="L110" s="22">
        <v>900</v>
      </c>
      <c r="M110" s="23"/>
      <c r="N110" s="24"/>
      <c r="O110" s="27">
        <f>SUM(L108:L132)</f>
        <v>22200</v>
      </c>
      <c r="U110" s="33"/>
    </row>
    <row r="111" spans="1:21" s="13" customFormat="1" ht="16.5" customHeight="1" x14ac:dyDescent="0.45">
      <c r="A111" s="14">
        <v>110</v>
      </c>
      <c r="B111" s="14">
        <v>4</v>
      </c>
      <c r="C111" s="52">
        <v>1</v>
      </c>
      <c r="D111" s="53">
        <v>9</v>
      </c>
      <c r="E111" s="54">
        <v>9</v>
      </c>
      <c r="F111" s="18" t="s">
        <v>132</v>
      </c>
      <c r="G111" s="57" t="s">
        <v>14</v>
      </c>
      <c r="H111" s="58" t="s">
        <v>129</v>
      </c>
      <c r="I111" s="18" t="s">
        <v>16</v>
      </c>
      <c r="J111" s="21">
        <v>18900</v>
      </c>
      <c r="K111" s="21"/>
      <c r="L111" s="22">
        <v>900</v>
      </c>
      <c r="M111" s="23"/>
      <c r="N111" s="24"/>
      <c r="O111" s="27">
        <f>SUM(O109:O110)</f>
        <v>488400</v>
      </c>
      <c r="U111" s="33"/>
    </row>
    <row r="112" spans="1:21" s="13" customFormat="1" ht="16.5" customHeight="1" x14ac:dyDescent="0.45">
      <c r="A112" s="14">
        <v>111</v>
      </c>
      <c r="B112" s="14">
        <v>5</v>
      </c>
      <c r="C112" s="52">
        <v>1</v>
      </c>
      <c r="D112" s="53">
        <v>9</v>
      </c>
      <c r="E112" s="54">
        <v>15</v>
      </c>
      <c r="F112" s="18" t="s">
        <v>133</v>
      </c>
      <c r="G112" s="57" t="s">
        <v>14</v>
      </c>
      <c r="H112" s="58" t="s">
        <v>129</v>
      </c>
      <c r="I112" s="18" t="s">
        <v>16</v>
      </c>
      <c r="J112" s="21">
        <v>18900</v>
      </c>
      <c r="K112" s="21"/>
      <c r="L112" s="22">
        <v>900</v>
      </c>
      <c r="M112" s="23"/>
      <c r="N112" s="24"/>
      <c r="U112" s="33"/>
    </row>
    <row r="113" spans="1:21" s="13" customFormat="1" ht="16.5" customHeight="1" x14ac:dyDescent="0.45">
      <c r="A113" s="14">
        <v>112</v>
      </c>
      <c r="B113" s="14">
        <v>6</v>
      </c>
      <c r="C113" s="52">
        <v>1</v>
      </c>
      <c r="D113" s="53">
        <v>9</v>
      </c>
      <c r="E113" s="54">
        <v>18</v>
      </c>
      <c r="F113" s="18" t="s">
        <v>134</v>
      </c>
      <c r="G113" s="57" t="s">
        <v>14</v>
      </c>
      <c r="H113" s="58" t="s">
        <v>129</v>
      </c>
      <c r="I113" s="18" t="s">
        <v>16</v>
      </c>
      <c r="J113" s="21">
        <v>18900</v>
      </c>
      <c r="K113" s="21"/>
      <c r="L113" s="22">
        <v>900</v>
      </c>
      <c r="M113" s="23"/>
      <c r="N113" s="24"/>
      <c r="U113" s="33"/>
    </row>
    <row r="114" spans="1:21" s="13" customFormat="1" ht="16.5" customHeight="1" x14ac:dyDescent="0.45">
      <c r="A114" s="14">
        <v>113</v>
      </c>
      <c r="B114" s="14">
        <v>7</v>
      </c>
      <c r="C114" s="52">
        <v>2</v>
      </c>
      <c r="D114" s="53">
        <v>7</v>
      </c>
      <c r="E114" s="54">
        <v>22</v>
      </c>
      <c r="F114" s="18" t="s">
        <v>135</v>
      </c>
      <c r="G114" s="57" t="s">
        <v>14</v>
      </c>
      <c r="H114" s="58" t="s">
        <v>129</v>
      </c>
      <c r="I114" s="18" t="s">
        <v>16</v>
      </c>
      <c r="J114" s="21">
        <v>18900</v>
      </c>
      <c r="K114" s="21"/>
      <c r="L114" s="22">
        <v>900</v>
      </c>
      <c r="M114" s="23"/>
      <c r="N114" s="24"/>
      <c r="O114" s="59">
        <v>18900</v>
      </c>
      <c r="P114" s="59">
        <v>900</v>
      </c>
      <c r="Q114" s="59">
        <v>19800</v>
      </c>
      <c r="U114" s="33"/>
    </row>
    <row r="115" spans="1:21" s="13" customFormat="1" ht="16.5" customHeight="1" x14ac:dyDescent="0.45">
      <c r="A115" s="14">
        <v>114</v>
      </c>
      <c r="B115" s="14">
        <v>8</v>
      </c>
      <c r="C115" s="52">
        <v>2</v>
      </c>
      <c r="D115" s="53">
        <v>8</v>
      </c>
      <c r="E115" s="54">
        <v>1</v>
      </c>
      <c r="F115" s="18" t="s">
        <v>123</v>
      </c>
      <c r="G115" s="57" t="s">
        <v>14</v>
      </c>
      <c r="H115" s="58" t="s">
        <v>129</v>
      </c>
      <c r="I115" s="18" t="s">
        <v>16</v>
      </c>
      <c r="J115" s="21">
        <v>18900</v>
      </c>
      <c r="K115" s="21"/>
      <c r="L115" s="22">
        <v>900</v>
      </c>
      <c r="M115" s="23"/>
      <c r="N115" s="24"/>
      <c r="O115" s="13">
        <f>O114*25</f>
        <v>472500</v>
      </c>
      <c r="P115" s="13">
        <f t="shared" ref="P115:Q115" si="12">P114*25</f>
        <v>22500</v>
      </c>
      <c r="Q115" s="13">
        <f t="shared" si="12"/>
        <v>495000</v>
      </c>
      <c r="U115" s="33"/>
    </row>
    <row r="116" spans="1:21" s="13" customFormat="1" ht="16.5" customHeight="1" x14ac:dyDescent="0.45">
      <c r="A116" s="14">
        <v>115</v>
      </c>
      <c r="B116" s="14">
        <v>9</v>
      </c>
      <c r="C116" s="52">
        <v>2</v>
      </c>
      <c r="D116" s="53">
        <v>9</v>
      </c>
      <c r="E116" s="54">
        <v>23</v>
      </c>
      <c r="F116" s="18" t="s">
        <v>136</v>
      </c>
      <c r="G116" s="57" t="s">
        <v>14</v>
      </c>
      <c r="H116" s="58" t="s">
        <v>129</v>
      </c>
      <c r="I116" s="18" t="s">
        <v>16</v>
      </c>
      <c r="J116" s="21">
        <v>18900</v>
      </c>
      <c r="K116" s="21"/>
      <c r="L116" s="22">
        <v>900</v>
      </c>
      <c r="M116" s="23"/>
      <c r="N116" s="24"/>
      <c r="O116" s="13">
        <v>-6300</v>
      </c>
      <c r="P116" s="13">
        <v>-300</v>
      </c>
      <c r="Q116" s="13">
        <v>-6600</v>
      </c>
      <c r="U116" s="33"/>
    </row>
    <row r="117" spans="1:21" s="13" customFormat="1" ht="16.5" customHeight="1" x14ac:dyDescent="0.45">
      <c r="A117" s="14">
        <v>116</v>
      </c>
      <c r="B117" s="60">
        <v>10</v>
      </c>
      <c r="C117" s="52">
        <v>3</v>
      </c>
      <c r="D117" s="53">
        <v>3</v>
      </c>
      <c r="E117" s="54">
        <v>11</v>
      </c>
      <c r="F117" s="18" t="s">
        <v>137</v>
      </c>
      <c r="G117" s="57" t="s">
        <v>14</v>
      </c>
      <c r="H117" s="58" t="s">
        <v>129</v>
      </c>
      <c r="I117" s="18" t="s">
        <v>16</v>
      </c>
      <c r="J117" s="21">
        <v>18900</v>
      </c>
      <c r="K117" s="21"/>
      <c r="L117" s="22">
        <v>900</v>
      </c>
      <c r="M117" s="23"/>
      <c r="N117" s="24"/>
      <c r="O117" s="13">
        <f>SUM(O115:O116)</f>
        <v>466200</v>
      </c>
      <c r="P117" s="13">
        <f t="shared" ref="P117:Q117" si="13">SUM(P115:P116)</f>
        <v>22200</v>
      </c>
      <c r="Q117" s="13">
        <f t="shared" si="13"/>
        <v>488400</v>
      </c>
      <c r="U117" s="33"/>
    </row>
    <row r="118" spans="1:21" s="13" customFormat="1" ht="16.5" customHeight="1" x14ac:dyDescent="0.45">
      <c r="A118" s="14">
        <v>117</v>
      </c>
      <c r="B118" s="60">
        <v>11</v>
      </c>
      <c r="C118" s="52">
        <v>3</v>
      </c>
      <c r="D118" s="53">
        <v>7</v>
      </c>
      <c r="E118" s="54">
        <v>1</v>
      </c>
      <c r="F118" s="18" t="s">
        <v>138</v>
      </c>
      <c r="G118" s="57" t="s">
        <v>14</v>
      </c>
      <c r="H118" s="58" t="s">
        <v>129</v>
      </c>
      <c r="I118" s="18" t="s">
        <v>16</v>
      </c>
      <c r="J118" s="21">
        <v>18900</v>
      </c>
      <c r="K118" s="21"/>
      <c r="L118" s="22">
        <v>900</v>
      </c>
      <c r="M118" s="23"/>
      <c r="N118" s="24"/>
      <c r="U118" s="33"/>
    </row>
    <row r="119" spans="1:21" s="13" customFormat="1" ht="16.5" customHeight="1" x14ac:dyDescent="0.45">
      <c r="A119" s="14">
        <v>118</v>
      </c>
      <c r="B119" s="60">
        <v>12</v>
      </c>
      <c r="C119" s="52">
        <v>4</v>
      </c>
      <c r="D119" s="53">
        <v>1</v>
      </c>
      <c r="E119" s="54">
        <v>3</v>
      </c>
      <c r="F119" s="18" t="s">
        <v>49</v>
      </c>
      <c r="G119" s="57" t="s">
        <v>14</v>
      </c>
      <c r="H119" s="58" t="s">
        <v>129</v>
      </c>
      <c r="I119" s="18" t="s">
        <v>16</v>
      </c>
      <c r="J119" s="21">
        <v>18900</v>
      </c>
      <c r="K119" s="21"/>
      <c r="L119" s="22">
        <v>900</v>
      </c>
      <c r="M119" s="23"/>
      <c r="N119" s="24"/>
      <c r="O119" s="59">
        <v>18900</v>
      </c>
      <c r="P119" s="59">
        <v>900</v>
      </c>
      <c r="Q119" s="59">
        <v>19800</v>
      </c>
      <c r="U119" s="33"/>
    </row>
    <row r="120" spans="1:21" s="13" customFormat="1" ht="16.5" customHeight="1" x14ac:dyDescent="0.45">
      <c r="A120" s="14">
        <v>119</v>
      </c>
      <c r="B120" s="60">
        <v>13</v>
      </c>
      <c r="C120" s="52">
        <v>4</v>
      </c>
      <c r="D120" s="53">
        <v>4</v>
      </c>
      <c r="E120" s="54">
        <v>5</v>
      </c>
      <c r="F120" s="18" t="s">
        <v>139</v>
      </c>
      <c r="G120" s="57" t="s">
        <v>14</v>
      </c>
      <c r="H120" s="58" t="s">
        <v>129</v>
      </c>
      <c r="I120" s="18" t="s">
        <v>16</v>
      </c>
      <c r="J120" s="21">
        <v>18900</v>
      </c>
      <c r="K120" s="21"/>
      <c r="L120" s="22">
        <v>900</v>
      </c>
      <c r="M120" s="23"/>
      <c r="N120" s="24"/>
      <c r="O120" s="13">
        <f>O119*25</f>
        <v>472500</v>
      </c>
      <c r="P120" s="13">
        <f t="shared" ref="P120:Q120" si="14">P119*25</f>
        <v>22500</v>
      </c>
      <c r="Q120" s="13">
        <f t="shared" si="14"/>
        <v>495000</v>
      </c>
      <c r="U120" s="33"/>
    </row>
    <row r="121" spans="1:21" s="13" customFormat="1" ht="16.5" customHeight="1" x14ac:dyDescent="0.45">
      <c r="A121" s="14">
        <v>120</v>
      </c>
      <c r="B121" s="60">
        <v>14</v>
      </c>
      <c r="C121" s="52">
        <v>4</v>
      </c>
      <c r="D121" s="53">
        <v>4</v>
      </c>
      <c r="E121" s="54">
        <v>10</v>
      </c>
      <c r="F121" s="18" t="s">
        <v>51</v>
      </c>
      <c r="G121" s="57" t="s">
        <v>14</v>
      </c>
      <c r="H121" s="58" t="s">
        <v>129</v>
      </c>
      <c r="I121" s="18" t="s">
        <v>16</v>
      </c>
      <c r="J121" s="21">
        <v>18900</v>
      </c>
      <c r="K121" s="21"/>
      <c r="L121" s="22">
        <v>900</v>
      </c>
      <c r="M121" s="23"/>
      <c r="N121" s="24"/>
      <c r="U121" s="33"/>
    </row>
    <row r="122" spans="1:21" s="13" customFormat="1" ht="16.5" customHeight="1" x14ac:dyDescent="0.45">
      <c r="A122" s="14">
        <v>121</v>
      </c>
      <c r="B122" s="60">
        <v>15</v>
      </c>
      <c r="C122" s="52">
        <v>4</v>
      </c>
      <c r="D122" s="53">
        <v>4</v>
      </c>
      <c r="E122" s="54">
        <v>24</v>
      </c>
      <c r="F122" s="18" t="s">
        <v>140</v>
      </c>
      <c r="G122" s="57" t="s">
        <v>14</v>
      </c>
      <c r="H122" s="58" t="s">
        <v>129</v>
      </c>
      <c r="I122" s="18" t="s">
        <v>16</v>
      </c>
      <c r="J122" s="21">
        <v>18900</v>
      </c>
      <c r="K122" s="21"/>
      <c r="L122" s="22">
        <v>900</v>
      </c>
      <c r="M122" s="23"/>
      <c r="N122" s="24"/>
      <c r="U122" s="33"/>
    </row>
    <row r="123" spans="1:21" s="13" customFormat="1" ht="16.5" customHeight="1" x14ac:dyDescent="0.45">
      <c r="A123" s="14">
        <v>122</v>
      </c>
      <c r="B123" s="60">
        <v>16</v>
      </c>
      <c r="C123" s="52">
        <v>4</v>
      </c>
      <c r="D123" s="53">
        <v>6</v>
      </c>
      <c r="E123" s="54">
        <v>14</v>
      </c>
      <c r="F123" s="18" t="s">
        <v>141</v>
      </c>
      <c r="G123" s="57" t="s">
        <v>14</v>
      </c>
      <c r="H123" s="58" t="s">
        <v>129</v>
      </c>
      <c r="I123" s="18" t="s">
        <v>16</v>
      </c>
      <c r="J123" s="21">
        <v>18900</v>
      </c>
      <c r="K123" s="21"/>
      <c r="L123" s="22">
        <v>900</v>
      </c>
      <c r="M123" s="23"/>
      <c r="N123" s="24"/>
      <c r="O123" s="13">
        <v>25200</v>
      </c>
      <c r="P123" s="13">
        <v>1200</v>
      </c>
      <c r="Q123" s="13">
        <v>26400</v>
      </c>
      <c r="U123" s="33"/>
    </row>
    <row r="124" spans="1:21" s="13" customFormat="1" ht="16.5" customHeight="1" x14ac:dyDescent="0.45">
      <c r="A124" s="14">
        <v>123</v>
      </c>
      <c r="B124" s="60">
        <v>17</v>
      </c>
      <c r="C124" s="52">
        <v>4</v>
      </c>
      <c r="D124" s="53">
        <v>7</v>
      </c>
      <c r="E124" s="54">
        <v>18</v>
      </c>
      <c r="F124" s="18" t="s">
        <v>142</v>
      </c>
      <c r="G124" s="57" t="s">
        <v>14</v>
      </c>
      <c r="H124" s="58" t="s">
        <v>129</v>
      </c>
      <c r="I124" s="18" t="s">
        <v>16</v>
      </c>
      <c r="J124" s="21">
        <v>18900</v>
      </c>
      <c r="K124" s="21"/>
      <c r="L124" s="22">
        <v>900</v>
      </c>
      <c r="M124" s="23"/>
      <c r="N124" s="24"/>
      <c r="O124" s="13">
        <f>O123*25</f>
        <v>630000</v>
      </c>
      <c r="P124" s="13">
        <f t="shared" ref="P124:Q124" si="15">P123*25</f>
        <v>30000</v>
      </c>
      <c r="Q124" s="13">
        <f t="shared" si="15"/>
        <v>660000</v>
      </c>
      <c r="U124" s="33"/>
    </row>
    <row r="125" spans="1:21" s="13" customFormat="1" ht="16.5" customHeight="1" x14ac:dyDescent="0.45">
      <c r="A125" s="14">
        <v>124</v>
      </c>
      <c r="B125" s="60">
        <v>18</v>
      </c>
      <c r="C125" s="52">
        <v>4</v>
      </c>
      <c r="D125" s="53">
        <v>8</v>
      </c>
      <c r="E125" s="54">
        <v>8</v>
      </c>
      <c r="F125" s="18" t="s">
        <v>143</v>
      </c>
      <c r="G125" s="57" t="s">
        <v>14</v>
      </c>
      <c r="H125" s="58" t="s">
        <v>129</v>
      </c>
      <c r="I125" s="28" t="s">
        <v>21</v>
      </c>
      <c r="J125" s="29">
        <v>12600</v>
      </c>
      <c r="K125" s="29"/>
      <c r="L125" s="30">
        <v>600</v>
      </c>
      <c r="M125" s="23"/>
      <c r="N125" s="24"/>
      <c r="U125" s="33"/>
    </row>
    <row r="126" spans="1:21" s="13" customFormat="1" ht="16.5" customHeight="1" x14ac:dyDescent="0.45">
      <c r="A126" s="14">
        <v>125</v>
      </c>
      <c r="B126" s="60">
        <v>19</v>
      </c>
      <c r="C126" s="52">
        <v>1</v>
      </c>
      <c r="D126" s="53">
        <v>1</v>
      </c>
      <c r="E126" s="54">
        <v>10</v>
      </c>
      <c r="F126" s="18" t="s">
        <v>144</v>
      </c>
      <c r="G126" s="57" t="s">
        <v>14</v>
      </c>
      <c r="H126" s="58" t="s">
        <v>145</v>
      </c>
      <c r="I126" s="18" t="s">
        <v>16</v>
      </c>
      <c r="J126" s="21">
        <v>18900</v>
      </c>
      <c r="K126" s="21"/>
      <c r="L126" s="22">
        <v>900</v>
      </c>
      <c r="M126" s="23"/>
      <c r="N126" s="24"/>
      <c r="U126" s="33"/>
    </row>
    <row r="127" spans="1:21" s="13" customFormat="1" ht="16.5" customHeight="1" x14ac:dyDescent="0.45">
      <c r="A127" s="14">
        <v>126</v>
      </c>
      <c r="B127" s="60">
        <v>20</v>
      </c>
      <c r="C127" s="52">
        <v>1</v>
      </c>
      <c r="D127" s="53">
        <v>11</v>
      </c>
      <c r="E127" s="54">
        <v>11</v>
      </c>
      <c r="F127" s="18" t="s">
        <v>146</v>
      </c>
      <c r="G127" s="57" t="s">
        <v>14</v>
      </c>
      <c r="H127" s="58" t="s">
        <v>145</v>
      </c>
      <c r="I127" s="18" t="s">
        <v>16</v>
      </c>
      <c r="J127" s="21">
        <v>18900</v>
      </c>
      <c r="K127" s="21"/>
      <c r="L127" s="22">
        <v>900</v>
      </c>
      <c r="M127" s="23"/>
      <c r="N127" s="24"/>
      <c r="R127" s="34"/>
      <c r="S127" s="34">
        <f>SUM(O117,O120,O124)</f>
        <v>1568700</v>
      </c>
      <c r="T127" s="34">
        <f>SUM(P117,P120,P124)</f>
        <v>74700</v>
      </c>
      <c r="U127" s="34">
        <f>SUM(Q117,Q120,Q124)</f>
        <v>1643400</v>
      </c>
    </row>
    <row r="128" spans="1:21" s="13" customFormat="1" ht="16.5" customHeight="1" x14ac:dyDescent="0.45">
      <c r="A128" s="14">
        <v>127</v>
      </c>
      <c r="B128" s="60">
        <v>21</v>
      </c>
      <c r="C128" s="52">
        <v>2</v>
      </c>
      <c r="D128" s="53">
        <v>5</v>
      </c>
      <c r="E128" s="54">
        <v>2</v>
      </c>
      <c r="F128" s="18" t="s">
        <v>147</v>
      </c>
      <c r="G128" s="57" t="s">
        <v>14</v>
      </c>
      <c r="H128" s="58" t="s">
        <v>145</v>
      </c>
      <c r="I128" s="18" t="s">
        <v>16</v>
      </c>
      <c r="J128" s="21">
        <v>18900</v>
      </c>
      <c r="K128" s="21"/>
      <c r="L128" s="22">
        <v>900</v>
      </c>
      <c r="M128" s="23"/>
      <c r="N128" s="24"/>
      <c r="U128" s="33"/>
    </row>
    <row r="129" spans="1:21" s="13" customFormat="1" ht="16.5" customHeight="1" x14ac:dyDescent="0.45">
      <c r="A129" s="14">
        <v>128</v>
      </c>
      <c r="B129" s="60">
        <v>22</v>
      </c>
      <c r="C129" s="52">
        <v>2</v>
      </c>
      <c r="D129" s="53">
        <v>8</v>
      </c>
      <c r="E129" s="54">
        <v>16</v>
      </c>
      <c r="F129" s="18" t="s">
        <v>148</v>
      </c>
      <c r="G129" s="57" t="s">
        <v>14</v>
      </c>
      <c r="H129" s="58" t="s">
        <v>145</v>
      </c>
      <c r="I129" s="18" t="s">
        <v>16</v>
      </c>
      <c r="J129" s="21">
        <v>18900</v>
      </c>
      <c r="K129" s="21"/>
      <c r="L129" s="22">
        <v>900</v>
      </c>
      <c r="M129" s="23"/>
      <c r="N129" s="24"/>
      <c r="U129" s="33"/>
    </row>
    <row r="130" spans="1:21" s="13" customFormat="1" ht="16.5" customHeight="1" x14ac:dyDescent="0.45">
      <c r="A130" s="14">
        <v>129</v>
      </c>
      <c r="B130" s="60">
        <v>23</v>
      </c>
      <c r="C130" s="52">
        <v>2</v>
      </c>
      <c r="D130" s="53">
        <v>10</v>
      </c>
      <c r="E130" s="54">
        <v>21</v>
      </c>
      <c r="F130" s="18" t="s">
        <v>149</v>
      </c>
      <c r="G130" s="57" t="s">
        <v>14</v>
      </c>
      <c r="H130" s="58" t="s">
        <v>145</v>
      </c>
      <c r="I130" s="18" t="s">
        <v>16</v>
      </c>
      <c r="J130" s="21">
        <v>18900</v>
      </c>
      <c r="K130" s="21"/>
      <c r="L130" s="22">
        <v>900</v>
      </c>
      <c r="M130" s="23"/>
      <c r="N130" s="24"/>
      <c r="U130" s="33"/>
    </row>
    <row r="131" spans="1:21" s="13" customFormat="1" ht="16.5" customHeight="1" x14ac:dyDescent="0.45">
      <c r="A131" s="14">
        <v>130</v>
      </c>
      <c r="B131" s="60">
        <v>24</v>
      </c>
      <c r="C131" s="52">
        <v>3</v>
      </c>
      <c r="D131" s="53">
        <v>8</v>
      </c>
      <c r="E131" s="54">
        <v>12</v>
      </c>
      <c r="F131" s="18" t="s">
        <v>150</v>
      </c>
      <c r="G131" s="57" t="s">
        <v>14</v>
      </c>
      <c r="H131" s="58" t="s">
        <v>145</v>
      </c>
      <c r="I131" s="18" t="s">
        <v>16</v>
      </c>
      <c r="J131" s="21">
        <v>18900</v>
      </c>
      <c r="K131" s="21"/>
      <c r="L131" s="22">
        <v>900</v>
      </c>
      <c r="M131" s="23"/>
      <c r="N131" s="24"/>
      <c r="U131" s="33"/>
    </row>
    <row r="132" spans="1:21" s="13" customFormat="1" ht="16.5" customHeight="1" x14ac:dyDescent="0.45">
      <c r="A132" s="14">
        <v>131</v>
      </c>
      <c r="B132" s="61">
        <v>25</v>
      </c>
      <c r="C132" s="62">
        <v>3</v>
      </c>
      <c r="D132" s="63">
        <v>9</v>
      </c>
      <c r="E132" s="64">
        <v>25</v>
      </c>
      <c r="F132" s="48" t="s">
        <v>151</v>
      </c>
      <c r="G132" s="65" t="s">
        <v>14</v>
      </c>
      <c r="H132" s="66" t="s">
        <v>145</v>
      </c>
      <c r="I132" s="48" t="s">
        <v>16</v>
      </c>
      <c r="J132" s="67">
        <v>18900</v>
      </c>
      <c r="K132" s="67"/>
      <c r="L132" s="68">
        <v>900</v>
      </c>
      <c r="M132" s="69"/>
      <c r="N132" s="24"/>
      <c r="U132" s="33"/>
    </row>
    <row r="133" spans="1:21" s="13" customFormat="1" ht="16.5" customHeight="1" x14ac:dyDescent="0.45">
      <c r="A133" s="14">
        <v>132</v>
      </c>
      <c r="B133" s="14">
        <v>1</v>
      </c>
      <c r="C133" s="36">
        <v>1</v>
      </c>
      <c r="D133" s="37">
        <v>1</v>
      </c>
      <c r="E133" s="38">
        <v>1</v>
      </c>
      <c r="F133" s="39" t="s">
        <v>152</v>
      </c>
      <c r="G133" s="40" t="s">
        <v>14</v>
      </c>
      <c r="H133" s="41" t="s">
        <v>153</v>
      </c>
      <c r="I133" s="39" t="s">
        <v>60</v>
      </c>
      <c r="J133" s="43">
        <v>25200</v>
      </c>
      <c r="K133" s="70"/>
      <c r="L133" s="71">
        <v>1200</v>
      </c>
      <c r="M133" s="72">
        <f>SUM(J133:K172)</f>
        <v>932400</v>
      </c>
      <c r="N133" s="24"/>
      <c r="U133" s="33"/>
    </row>
    <row r="134" spans="1:21" s="13" customFormat="1" ht="16.5" customHeight="1" x14ac:dyDescent="0.45">
      <c r="A134" s="14">
        <v>133</v>
      </c>
      <c r="B134" s="60">
        <v>2</v>
      </c>
      <c r="C134" s="15">
        <v>1</v>
      </c>
      <c r="D134" s="16">
        <v>3</v>
      </c>
      <c r="E134" s="17">
        <v>14</v>
      </c>
      <c r="F134" s="18" t="s">
        <v>154</v>
      </c>
      <c r="G134" s="19" t="s">
        <v>14</v>
      </c>
      <c r="H134" s="20" t="s">
        <v>153</v>
      </c>
      <c r="I134" s="28" t="s">
        <v>16</v>
      </c>
      <c r="J134" s="29">
        <v>18900</v>
      </c>
      <c r="K134" s="73"/>
      <c r="L134" s="74">
        <v>900</v>
      </c>
      <c r="M134" s="75"/>
      <c r="N134" s="24"/>
      <c r="U134" s="33"/>
    </row>
    <row r="135" spans="1:21" s="13" customFormat="1" ht="16.5" customHeight="1" x14ac:dyDescent="0.45">
      <c r="A135" s="14">
        <v>134</v>
      </c>
      <c r="B135" s="60">
        <v>3</v>
      </c>
      <c r="C135" s="15">
        <v>1</v>
      </c>
      <c r="D135" s="16">
        <v>3</v>
      </c>
      <c r="E135" s="17">
        <v>15</v>
      </c>
      <c r="F135" s="18" t="s">
        <v>155</v>
      </c>
      <c r="G135" s="19" t="s">
        <v>14</v>
      </c>
      <c r="H135" s="20" t="s">
        <v>153</v>
      </c>
      <c r="I135" s="28" t="s">
        <v>16</v>
      </c>
      <c r="J135" s="29">
        <v>18900</v>
      </c>
      <c r="K135" s="73"/>
      <c r="L135" s="74">
        <v>900</v>
      </c>
      <c r="M135" s="75"/>
      <c r="N135" s="24"/>
      <c r="O135" s="27">
        <f>SUM(J133:K172)</f>
        <v>932400</v>
      </c>
      <c r="U135" s="33"/>
    </row>
    <row r="136" spans="1:21" s="13" customFormat="1" ht="16.5" customHeight="1" x14ac:dyDescent="0.45">
      <c r="A136" s="14">
        <v>135</v>
      </c>
      <c r="B136" s="60">
        <v>4</v>
      </c>
      <c r="C136" s="15">
        <v>1</v>
      </c>
      <c r="D136" s="16">
        <v>4</v>
      </c>
      <c r="E136" s="17">
        <v>13</v>
      </c>
      <c r="F136" s="18" t="s">
        <v>156</v>
      </c>
      <c r="G136" s="19" t="s">
        <v>14</v>
      </c>
      <c r="H136" s="20" t="s">
        <v>153</v>
      </c>
      <c r="I136" s="18" t="s">
        <v>60</v>
      </c>
      <c r="J136" s="21">
        <v>25200</v>
      </c>
      <c r="K136" s="76"/>
      <c r="L136" s="77">
        <v>1200</v>
      </c>
      <c r="M136" s="75"/>
      <c r="N136" s="24"/>
      <c r="O136" s="27">
        <f>SUM(L133:L172)</f>
        <v>44400</v>
      </c>
      <c r="U136" s="33"/>
    </row>
    <row r="137" spans="1:21" s="13" customFormat="1" ht="16.5" customHeight="1" x14ac:dyDescent="0.45">
      <c r="A137" s="14">
        <v>136</v>
      </c>
      <c r="B137" s="60">
        <v>5</v>
      </c>
      <c r="C137" s="15">
        <v>1</v>
      </c>
      <c r="D137" s="16">
        <v>9</v>
      </c>
      <c r="E137" s="17">
        <v>3</v>
      </c>
      <c r="F137" s="18" t="s">
        <v>157</v>
      </c>
      <c r="G137" s="19" t="s">
        <v>14</v>
      </c>
      <c r="H137" s="20" t="s">
        <v>153</v>
      </c>
      <c r="I137" s="28" t="s">
        <v>16</v>
      </c>
      <c r="J137" s="29">
        <v>18900</v>
      </c>
      <c r="K137" s="73"/>
      <c r="L137" s="74">
        <v>900</v>
      </c>
      <c r="M137" s="75"/>
      <c r="N137" s="24"/>
      <c r="O137" s="27">
        <f>SUM(O135:O136)</f>
        <v>976800</v>
      </c>
      <c r="U137" s="33"/>
    </row>
    <row r="138" spans="1:21" s="13" customFormat="1" ht="16.5" customHeight="1" x14ac:dyDescent="0.45">
      <c r="A138" s="14">
        <v>137</v>
      </c>
      <c r="B138" s="60">
        <v>6</v>
      </c>
      <c r="C138" s="15">
        <v>1</v>
      </c>
      <c r="D138" s="16">
        <v>11</v>
      </c>
      <c r="E138" s="17">
        <v>1</v>
      </c>
      <c r="F138" s="18" t="s">
        <v>158</v>
      </c>
      <c r="G138" s="19" t="s">
        <v>14</v>
      </c>
      <c r="H138" s="20" t="s">
        <v>153</v>
      </c>
      <c r="I138" s="18" t="s">
        <v>60</v>
      </c>
      <c r="J138" s="21">
        <v>25200</v>
      </c>
      <c r="K138" s="76"/>
      <c r="L138" s="77">
        <v>1200</v>
      </c>
      <c r="M138" s="75"/>
      <c r="N138" s="24"/>
      <c r="U138" s="33"/>
    </row>
    <row r="139" spans="1:21" s="13" customFormat="1" ht="16.5" customHeight="1" x14ac:dyDescent="0.45">
      <c r="A139" s="14">
        <v>138</v>
      </c>
      <c r="B139" s="60">
        <v>7</v>
      </c>
      <c r="C139" s="15">
        <v>2</v>
      </c>
      <c r="D139" s="16">
        <v>1</v>
      </c>
      <c r="E139" s="17">
        <v>5</v>
      </c>
      <c r="F139" s="18" t="s">
        <v>159</v>
      </c>
      <c r="G139" s="19" t="s">
        <v>14</v>
      </c>
      <c r="H139" s="20" t="s">
        <v>153</v>
      </c>
      <c r="I139" s="18" t="s">
        <v>60</v>
      </c>
      <c r="J139" s="21">
        <v>25200</v>
      </c>
      <c r="K139" s="76"/>
      <c r="L139" s="77">
        <v>1200</v>
      </c>
      <c r="M139" s="75"/>
      <c r="N139" s="24"/>
      <c r="U139" s="33"/>
    </row>
    <row r="140" spans="1:21" s="13" customFormat="1" ht="16.5" customHeight="1" x14ac:dyDescent="0.45">
      <c r="A140" s="14">
        <v>139</v>
      </c>
      <c r="B140" s="60">
        <v>8</v>
      </c>
      <c r="C140" s="15">
        <v>2</v>
      </c>
      <c r="D140" s="16">
        <v>3</v>
      </c>
      <c r="E140" s="17">
        <v>9</v>
      </c>
      <c r="F140" s="18" t="s">
        <v>160</v>
      </c>
      <c r="G140" s="19" t="s">
        <v>14</v>
      </c>
      <c r="H140" s="20" t="s">
        <v>153</v>
      </c>
      <c r="I140" s="18" t="s">
        <v>60</v>
      </c>
      <c r="J140" s="21">
        <v>25200</v>
      </c>
      <c r="K140" s="76"/>
      <c r="L140" s="77">
        <v>1200</v>
      </c>
      <c r="M140" s="75"/>
      <c r="N140" s="24"/>
      <c r="O140" s="13">
        <v>25200</v>
      </c>
      <c r="P140" s="13">
        <v>1200</v>
      </c>
      <c r="Q140" s="13">
        <v>26400</v>
      </c>
      <c r="U140" s="33"/>
    </row>
    <row r="141" spans="1:21" s="13" customFormat="1" ht="16.5" customHeight="1" x14ac:dyDescent="0.45">
      <c r="A141" s="14">
        <v>140</v>
      </c>
      <c r="B141" s="60">
        <v>9</v>
      </c>
      <c r="C141" s="15">
        <v>2</v>
      </c>
      <c r="D141" s="16">
        <v>5</v>
      </c>
      <c r="E141" s="17">
        <v>1</v>
      </c>
      <c r="F141" s="18" t="s">
        <v>161</v>
      </c>
      <c r="G141" s="19" t="s">
        <v>14</v>
      </c>
      <c r="H141" s="20" t="s">
        <v>153</v>
      </c>
      <c r="I141" s="18" t="s">
        <v>60</v>
      </c>
      <c r="J141" s="21">
        <v>25200</v>
      </c>
      <c r="K141" s="76"/>
      <c r="L141" s="77">
        <v>1200</v>
      </c>
      <c r="M141" s="75"/>
      <c r="N141" s="24"/>
      <c r="O141" s="13">
        <f>O140*40</f>
        <v>1008000</v>
      </c>
      <c r="P141" s="13">
        <f t="shared" ref="P141:Q141" si="16">P140*40</f>
        <v>48000</v>
      </c>
      <c r="Q141" s="13">
        <f t="shared" si="16"/>
        <v>1056000</v>
      </c>
      <c r="U141" s="33"/>
    </row>
    <row r="142" spans="1:21" s="13" customFormat="1" ht="16.5" customHeight="1" x14ac:dyDescent="0.45">
      <c r="A142" s="14">
        <v>141</v>
      </c>
      <c r="B142" s="60">
        <v>10</v>
      </c>
      <c r="C142" s="15">
        <v>2</v>
      </c>
      <c r="D142" s="16">
        <v>5</v>
      </c>
      <c r="E142" s="17">
        <v>22</v>
      </c>
      <c r="F142" s="18" t="s">
        <v>162</v>
      </c>
      <c r="G142" s="19" t="s">
        <v>14</v>
      </c>
      <c r="H142" s="20" t="s">
        <v>153</v>
      </c>
      <c r="I142" s="18" t="s">
        <v>60</v>
      </c>
      <c r="J142" s="21">
        <v>25200</v>
      </c>
      <c r="K142" s="76"/>
      <c r="L142" s="77">
        <v>1200</v>
      </c>
      <c r="M142" s="75"/>
      <c r="N142" s="24"/>
      <c r="O142" s="13">
        <v>-75600</v>
      </c>
      <c r="P142" s="13">
        <v>-3600</v>
      </c>
      <c r="Q142" s="13">
        <v>-79200</v>
      </c>
      <c r="U142" s="33"/>
    </row>
    <row r="143" spans="1:21" s="13" customFormat="1" ht="16.5" customHeight="1" x14ac:dyDescent="0.45">
      <c r="A143" s="14">
        <v>142</v>
      </c>
      <c r="B143" s="60">
        <v>11</v>
      </c>
      <c r="C143" s="15">
        <v>2</v>
      </c>
      <c r="D143" s="16">
        <v>6</v>
      </c>
      <c r="E143" s="17">
        <v>10</v>
      </c>
      <c r="F143" s="18" t="s">
        <v>163</v>
      </c>
      <c r="G143" s="19" t="s">
        <v>14</v>
      </c>
      <c r="H143" s="20" t="s">
        <v>153</v>
      </c>
      <c r="I143" s="28" t="s">
        <v>16</v>
      </c>
      <c r="J143" s="29">
        <v>18900</v>
      </c>
      <c r="K143" s="73"/>
      <c r="L143" s="74">
        <v>900</v>
      </c>
      <c r="M143" s="75"/>
      <c r="N143" s="24"/>
      <c r="O143" s="13">
        <f>SUM(O141:O142)</f>
        <v>932400</v>
      </c>
      <c r="P143" s="13">
        <f t="shared" ref="P143:Q143" si="17">SUM(P141:P142)</f>
        <v>44400</v>
      </c>
      <c r="Q143" s="13">
        <f t="shared" si="17"/>
        <v>976800</v>
      </c>
      <c r="U143" s="33"/>
    </row>
    <row r="144" spans="1:21" s="13" customFormat="1" ht="16.5" customHeight="1" x14ac:dyDescent="0.45">
      <c r="A144" s="14">
        <v>143</v>
      </c>
      <c r="B144" s="60">
        <v>12</v>
      </c>
      <c r="C144" s="15">
        <v>2</v>
      </c>
      <c r="D144" s="16">
        <v>6</v>
      </c>
      <c r="E144" s="17">
        <v>18</v>
      </c>
      <c r="F144" s="18" t="s">
        <v>164</v>
      </c>
      <c r="G144" s="19" t="s">
        <v>14</v>
      </c>
      <c r="H144" s="20" t="s">
        <v>153</v>
      </c>
      <c r="I144" s="18" t="s">
        <v>60</v>
      </c>
      <c r="J144" s="21">
        <v>25200</v>
      </c>
      <c r="K144" s="76"/>
      <c r="L144" s="77">
        <v>1200</v>
      </c>
      <c r="M144" s="75"/>
      <c r="N144" s="24"/>
      <c r="U144" s="33"/>
    </row>
    <row r="145" spans="1:21" s="13" customFormat="1" ht="16.5" customHeight="1" x14ac:dyDescent="0.45">
      <c r="A145" s="14">
        <v>144</v>
      </c>
      <c r="B145" s="60">
        <v>13</v>
      </c>
      <c r="C145" s="15">
        <v>2</v>
      </c>
      <c r="D145" s="16">
        <v>6</v>
      </c>
      <c r="E145" s="17">
        <v>22</v>
      </c>
      <c r="F145" s="18" t="s">
        <v>165</v>
      </c>
      <c r="G145" s="19" t="s">
        <v>14</v>
      </c>
      <c r="H145" s="20" t="s">
        <v>153</v>
      </c>
      <c r="I145" s="18" t="s">
        <v>60</v>
      </c>
      <c r="J145" s="21">
        <v>25200</v>
      </c>
      <c r="K145" s="76"/>
      <c r="L145" s="77">
        <v>1200</v>
      </c>
      <c r="M145" s="75"/>
      <c r="N145" s="24"/>
      <c r="O145" s="13">
        <v>25200</v>
      </c>
      <c r="P145" s="13">
        <v>1200</v>
      </c>
      <c r="Q145" s="13">
        <v>26400</v>
      </c>
      <c r="U145" s="33"/>
    </row>
    <row r="146" spans="1:21" s="13" customFormat="1" ht="16.5" customHeight="1" x14ac:dyDescent="0.45">
      <c r="A146" s="14">
        <v>145</v>
      </c>
      <c r="B146" s="60">
        <v>14</v>
      </c>
      <c r="C146" s="15">
        <v>2</v>
      </c>
      <c r="D146" s="16">
        <v>7</v>
      </c>
      <c r="E146" s="17">
        <v>1</v>
      </c>
      <c r="F146" s="18" t="s">
        <v>41</v>
      </c>
      <c r="G146" s="19" t="s">
        <v>14</v>
      </c>
      <c r="H146" s="20" t="s">
        <v>153</v>
      </c>
      <c r="I146" s="18" t="s">
        <v>60</v>
      </c>
      <c r="J146" s="21">
        <v>25200</v>
      </c>
      <c r="K146" s="76"/>
      <c r="L146" s="77">
        <v>1200</v>
      </c>
      <c r="M146" s="75"/>
      <c r="N146" s="24"/>
      <c r="O146" s="13">
        <f>O145*39</f>
        <v>982800</v>
      </c>
      <c r="P146" s="13">
        <f t="shared" ref="P146:Q146" si="18">P145*39</f>
        <v>46800</v>
      </c>
      <c r="Q146" s="13">
        <f t="shared" si="18"/>
        <v>1029600</v>
      </c>
      <c r="U146" s="33"/>
    </row>
    <row r="147" spans="1:21" s="13" customFormat="1" ht="16.5" customHeight="1" x14ac:dyDescent="0.45">
      <c r="A147" s="14">
        <v>146</v>
      </c>
      <c r="B147" s="60">
        <v>15</v>
      </c>
      <c r="C147" s="15">
        <v>2</v>
      </c>
      <c r="D147" s="16">
        <v>8</v>
      </c>
      <c r="E147" s="17">
        <v>10</v>
      </c>
      <c r="F147" s="18" t="s">
        <v>119</v>
      </c>
      <c r="G147" s="19" t="s">
        <v>14</v>
      </c>
      <c r="H147" s="20" t="s">
        <v>153</v>
      </c>
      <c r="I147" s="18" t="s">
        <v>60</v>
      </c>
      <c r="J147" s="21">
        <v>25200</v>
      </c>
      <c r="K147" s="76"/>
      <c r="L147" s="77">
        <v>1200</v>
      </c>
      <c r="M147" s="75"/>
      <c r="N147" s="24"/>
      <c r="U147" s="33"/>
    </row>
    <row r="148" spans="1:21" s="13" customFormat="1" ht="16.5" customHeight="1" x14ac:dyDescent="0.45">
      <c r="A148" s="14">
        <v>147</v>
      </c>
      <c r="B148" s="60">
        <v>16</v>
      </c>
      <c r="C148" s="15">
        <v>2</v>
      </c>
      <c r="D148" s="16">
        <v>9</v>
      </c>
      <c r="E148" s="17">
        <v>8</v>
      </c>
      <c r="F148" s="18" t="s">
        <v>30</v>
      </c>
      <c r="G148" s="19" t="s">
        <v>14</v>
      </c>
      <c r="H148" s="20" t="s">
        <v>153</v>
      </c>
      <c r="I148" s="18" t="s">
        <v>60</v>
      </c>
      <c r="J148" s="21">
        <v>25200</v>
      </c>
      <c r="K148" s="76"/>
      <c r="L148" s="77">
        <v>1200</v>
      </c>
      <c r="M148" s="75"/>
      <c r="N148" s="24"/>
      <c r="U148" s="33"/>
    </row>
    <row r="149" spans="1:21" s="13" customFormat="1" ht="16.5" customHeight="1" x14ac:dyDescent="0.45">
      <c r="A149" s="14">
        <v>148</v>
      </c>
      <c r="B149" s="60">
        <v>17</v>
      </c>
      <c r="C149" s="15">
        <v>2</v>
      </c>
      <c r="D149" s="16">
        <v>10</v>
      </c>
      <c r="E149" s="17">
        <v>6</v>
      </c>
      <c r="F149" s="18" t="s">
        <v>166</v>
      </c>
      <c r="G149" s="19" t="s">
        <v>14</v>
      </c>
      <c r="H149" s="20" t="s">
        <v>153</v>
      </c>
      <c r="I149" s="18" t="s">
        <v>60</v>
      </c>
      <c r="J149" s="21">
        <v>25200</v>
      </c>
      <c r="K149" s="76"/>
      <c r="L149" s="77">
        <v>1200</v>
      </c>
      <c r="M149" s="75"/>
      <c r="N149" s="24"/>
      <c r="O149" s="13">
        <v>25200</v>
      </c>
      <c r="P149" s="13">
        <v>1200</v>
      </c>
      <c r="Q149" s="13">
        <v>26400</v>
      </c>
      <c r="U149" s="33"/>
    </row>
    <row r="150" spans="1:21" s="13" customFormat="1" ht="16.5" customHeight="1" x14ac:dyDescent="0.45">
      <c r="A150" s="14">
        <v>149</v>
      </c>
      <c r="B150" s="60">
        <v>18</v>
      </c>
      <c r="C150" s="15">
        <v>2</v>
      </c>
      <c r="D150" s="16">
        <v>10</v>
      </c>
      <c r="E150" s="17">
        <v>21</v>
      </c>
      <c r="F150" s="18" t="s">
        <v>149</v>
      </c>
      <c r="G150" s="19" t="s">
        <v>14</v>
      </c>
      <c r="H150" s="20" t="s">
        <v>153</v>
      </c>
      <c r="I150" s="18" t="s">
        <v>60</v>
      </c>
      <c r="J150" s="21">
        <v>25200</v>
      </c>
      <c r="K150" s="76"/>
      <c r="L150" s="77">
        <v>1200</v>
      </c>
      <c r="M150" s="75"/>
      <c r="N150" s="24"/>
      <c r="O150" s="13">
        <f>O149*39</f>
        <v>982800</v>
      </c>
      <c r="P150" s="13">
        <f t="shared" ref="P150:Q150" si="19">P149*39</f>
        <v>46800</v>
      </c>
      <c r="Q150" s="13">
        <f t="shared" si="19"/>
        <v>1029600</v>
      </c>
      <c r="U150" s="33"/>
    </row>
    <row r="151" spans="1:21" s="13" customFormat="1" ht="16.5" customHeight="1" x14ac:dyDescent="0.45">
      <c r="A151" s="14">
        <v>150</v>
      </c>
      <c r="B151" s="60">
        <v>19</v>
      </c>
      <c r="C151" s="15">
        <v>2</v>
      </c>
      <c r="D151" s="16">
        <v>11</v>
      </c>
      <c r="E151" s="17">
        <v>4</v>
      </c>
      <c r="F151" s="18" t="s">
        <v>167</v>
      </c>
      <c r="G151" s="19" t="s">
        <v>14</v>
      </c>
      <c r="H151" s="20" t="s">
        <v>153</v>
      </c>
      <c r="I151" s="28" t="s">
        <v>21</v>
      </c>
      <c r="J151" s="29">
        <v>12600</v>
      </c>
      <c r="K151" s="73"/>
      <c r="L151" s="74">
        <v>600</v>
      </c>
      <c r="M151" s="75"/>
      <c r="N151" s="24"/>
      <c r="U151" s="33"/>
    </row>
    <row r="152" spans="1:21" s="13" customFormat="1" ht="16.5" customHeight="1" x14ac:dyDescent="0.45">
      <c r="A152" s="14">
        <v>151</v>
      </c>
      <c r="B152" s="60">
        <v>20</v>
      </c>
      <c r="C152" s="15">
        <v>2</v>
      </c>
      <c r="D152" s="16">
        <v>11</v>
      </c>
      <c r="E152" s="17">
        <v>9</v>
      </c>
      <c r="F152" s="18" t="s">
        <v>168</v>
      </c>
      <c r="G152" s="19" t="s">
        <v>14</v>
      </c>
      <c r="H152" s="20" t="s">
        <v>153</v>
      </c>
      <c r="I152" s="18" t="s">
        <v>60</v>
      </c>
      <c r="J152" s="21">
        <v>25200</v>
      </c>
      <c r="K152" s="76"/>
      <c r="L152" s="77">
        <v>1200</v>
      </c>
      <c r="M152" s="75"/>
      <c r="N152" s="24"/>
      <c r="U152" s="33"/>
    </row>
    <row r="153" spans="1:21" s="13" customFormat="1" ht="16.5" customHeight="1" x14ac:dyDescent="0.45">
      <c r="A153" s="14">
        <v>152</v>
      </c>
      <c r="B153" s="60">
        <v>21</v>
      </c>
      <c r="C153" s="15">
        <v>1</v>
      </c>
      <c r="D153" s="16">
        <v>3</v>
      </c>
      <c r="E153" s="17">
        <v>10</v>
      </c>
      <c r="F153" s="18" t="s">
        <v>169</v>
      </c>
      <c r="G153" s="19" t="s">
        <v>14</v>
      </c>
      <c r="H153" s="20" t="s">
        <v>170</v>
      </c>
      <c r="I153" s="18" t="s">
        <v>60</v>
      </c>
      <c r="J153" s="21">
        <v>25200</v>
      </c>
      <c r="K153" s="76"/>
      <c r="L153" s="77">
        <v>1200</v>
      </c>
      <c r="M153" s="75"/>
      <c r="N153" s="24"/>
      <c r="S153" s="34">
        <f>SUM(O143,O146,O150)</f>
        <v>2898000</v>
      </c>
      <c r="T153" s="34">
        <f>SUM(P143,P146,P150)</f>
        <v>138000</v>
      </c>
      <c r="U153" s="34">
        <f>SUM(Q143,Q146,Q150)</f>
        <v>3036000</v>
      </c>
    </row>
    <row r="154" spans="1:21" s="13" customFormat="1" ht="16.5" customHeight="1" x14ac:dyDescent="0.45">
      <c r="A154" s="14">
        <v>153</v>
      </c>
      <c r="B154" s="60">
        <v>22</v>
      </c>
      <c r="C154" s="15">
        <v>1</v>
      </c>
      <c r="D154" s="16">
        <v>4</v>
      </c>
      <c r="E154" s="17">
        <v>16</v>
      </c>
      <c r="F154" s="18" t="s">
        <v>171</v>
      </c>
      <c r="G154" s="19" t="s">
        <v>14</v>
      </c>
      <c r="H154" s="20" t="s">
        <v>170</v>
      </c>
      <c r="I154" s="18" t="s">
        <v>60</v>
      </c>
      <c r="J154" s="21">
        <v>25200</v>
      </c>
      <c r="K154" s="76"/>
      <c r="L154" s="77">
        <v>1200</v>
      </c>
      <c r="M154" s="75"/>
      <c r="N154" s="24"/>
      <c r="U154" s="33"/>
    </row>
    <row r="155" spans="1:21" s="13" customFormat="1" ht="16.5" customHeight="1" x14ac:dyDescent="0.45">
      <c r="A155" s="14">
        <v>154</v>
      </c>
      <c r="B155" s="60">
        <v>23</v>
      </c>
      <c r="C155" s="15">
        <v>2</v>
      </c>
      <c r="D155" s="16">
        <v>1</v>
      </c>
      <c r="E155" s="17">
        <v>12</v>
      </c>
      <c r="F155" s="18" t="s">
        <v>83</v>
      </c>
      <c r="G155" s="19" t="s">
        <v>14</v>
      </c>
      <c r="H155" s="20" t="s">
        <v>170</v>
      </c>
      <c r="I155" s="18" t="s">
        <v>60</v>
      </c>
      <c r="J155" s="21">
        <v>25200</v>
      </c>
      <c r="K155" s="76"/>
      <c r="L155" s="77">
        <v>1200</v>
      </c>
      <c r="M155" s="75"/>
      <c r="N155" s="24"/>
      <c r="U155" s="33"/>
    </row>
    <row r="156" spans="1:21" s="13" customFormat="1" ht="16.5" customHeight="1" x14ac:dyDescent="0.45">
      <c r="A156" s="14">
        <v>155</v>
      </c>
      <c r="B156" s="60">
        <v>24</v>
      </c>
      <c r="C156" s="15">
        <v>2</v>
      </c>
      <c r="D156" s="16">
        <v>3</v>
      </c>
      <c r="E156" s="17">
        <v>22</v>
      </c>
      <c r="F156" s="18" t="s">
        <v>172</v>
      </c>
      <c r="G156" s="19" t="s">
        <v>14</v>
      </c>
      <c r="H156" s="20" t="s">
        <v>170</v>
      </c>
      <c r="I156" s="18" t="s">
        <v>60</v>
      </c>
      <c r="J156" s="21">
        <v>25200</v>
      </c>
      <c r="K156" s="76"/>
      <c r="L156" s="77">
        <v>1200</v>
      </c>
      <c r="M156" s="75"/>
      <c r="N156" s="24"/>
      <c r="U156" s="33"/>
    </row>
    <row r="157" spans="1:21" s="13" customFormat="1" ht="16.5" customHeight="1" x14ac:dyDescent="0.45">
      <c r="A157" s="14">
        <v>156</v>
      </c>
      <c r="B157" s="60">
        <v>25</v>
      </c>
      <c r="C157" s="78">
        <v>2</v>
      </c>
      <c r="D157" s="79">
        <v>7</v>
      </c>
      <c r="E157" s="80">
        <v>15</v>
      </c>
      <c r="F157" s="81" t="s">
        <v>173</v>
      </c>
      <c r="G157" s="82" t="s">
        <v>174</v>
      </c>
      <c r="H157" s="83" t="s">
        <v>170</v>
      </c>
      <c r="I157" s="18" t="s">
        <v>60</v>
      </c>
      <c r="J157" s="84"/>
      <c r="K157" s="85">
        <v>25200</v>
      </c>
      <c r="L157" s="86">
        <v>1200</v>
      </c>
      <c r="M157" s="75"/>
      <c r="N157" s="24"/>
      <c r="U157" s="33"/>
    </row>
    <row r="158" spans="1:21" s="13" customFormat="1" ht="16.5" customHeight="1" x14ac:dyDescent="0.45">
      <c r="A158" s="14">
        <v>157</v>
      </c>
      <c r="B158" s="60">
        <v>26</v>
      </c>
      <c r="C158" s="15">
        <v>2</v>
      </c>
      <c r="D158" s="16">
        <v>7</v>
      </c>
      <c r="E158" s="17">
        <v>20</v>
      </c>
      <c r="F158" s="18" t="s">
        <v>84</v>
      </c>
      <c r="G158" s="19" t="s">
        <v>14</v>
      </c>
      <c r="H158" s="20" t="s">
        <v>170</v>
      </c>
      <c r="I158" s="28" t="s">
        <v>16</v>
      </c>
      <c r="J158" s="29">
        <v>18900</v>
      </c>
      <c r="K158" s="73"/>
      <c r="L158" s="74">
        <v>900</v>
      </c>
      <c r="M158" s="75"/>
      <c r="N158" s="24"/>
      <c r="U158" s="33"/>
    </row>
    <row r="159" spans="1:21" s="13" customFormat="1" ht="16.5" customHeight="1" x14ac:dyDescent="0.45">
      <c r="A159" s="14">
        <v>158</v>
      </c>
      <c r="B159" s="60">
        <v>27</v>
      </c>
      <c r="C159" s="15">
        <v>3</v>
      </c>
      <c r="D159" s="16">
        <v>4</v>
      </c>
      <c r="E159" s="17">
        <v>1</v>
      </c>
      <c r="F159" s="18" t="s">
        <v>74</v>
      </c>
      <c r="G159" s="19" t="s">
        <v>14</v>
      </c>
      <c r="H159" s="20" t="s">
        <v>170</v>
      </c>
      <c r="I159" s="28" t="s">
        <v>16</v>
      </c>
      <c r="J159" s="29">
        <v>18900</v>
      </c>
      <c r="K159" s="73"/>
      <c r="L159" s="74">
        <v>900</v>
      </c>
      <c r="M159" s="75"/>
      <c r="N159" s="24"/>
      <c r="U159" s="33"/>
    </row>
    <row r="160" spans="1:21" s="13" customFormat="1" ht="16.5" customHeight="1" x14ac:dyDescent="0.45">
      <c r="A160" s="14">
        <v>159</v>
      </c>
      <c r="B160" s="60">
        <v>28</v>
      </c>
      <c r="C160" s="15">
        <v>3</v>
      </c>
      <c r="D160" s="16">
        <v>5</v>
      </c>
      <c r="E160" s="17">
        <v>7</v>
      </c>
      <c r="F160" s="18" t="s">
        <v>175</v>
      </c>
      <c r="G160" s="19" t="s">
        <v>14</v>
      </c>
      <c r="H160" s="20" t="s">
        <v>170</v>
      </c>
      <c r="I160" s="28" t="s">
        <v>16</v>
      </c>
      <c r="J160" s="29">
        <v>18900</v>
      </c>
      <c r="K160" s="73"/>
      <c r="L160" s="74">
        <v>900</v>
      </c>
      <c r="M160" s="75"/>
      <c r="N160" s="24"/>
      <c r="U160" s="33"/>
    </row>
    <row r="161" spans="1:21" s="13" customFormat="1" ht="16.5" customHeight="1" x14ac:dyDescent="0.45">
      <c r="A161" s="14">
        <v>160</v>
      </c>
      <c r="B161" s="60">
        <v>29</v>
      </c>
      <c r="C161" s="15">
        <v>3</v>
      </c>
      <c r="D161" s="16">
        <v>5</v>
      </c>
      <c r="E161" s="17">
        <v>14</v>
      </c>
      <c r="F161" s="18" t="s">
        <v>176</v>
      </c>
      <c r="G161" s="19" t="s">
        <v>14</v>
      </c>
      <c r="H161" s="20" t="s">
        <v>170</v>
      </c>
      <c r="I161" s="18" t="s">
        <v>60</v>
      </c>
      <c r="J161" s="21">
        <v>25200</v>
      </c>
      <c r="K161" s="76"/>
      <c r="L161" s="77">
        <v>1200</v>
      </c>
      <c r="M161" s="75"/>
      <c r="N161" s="24"/>
      <c r="U161" s="33"/>
    </row>
    <row r="162" spans="1:21" s="13" customFormat="1" ht="16.5" customHeight="1" x14ac:dyDescent="0.45">
      <c r="A162" s="14">
        <v>161</v>
      </c>
      <c r="B162" s="60">
        <v>30</v>
      </c>
      <c r="C162" s="15">
        <v>3</v>
      </c>
      <c r="D162" s="16">
        <v>8</v>
      </c>
      <c r="E162" s="17">
        <v>6</v>
      </c>
      <c r="F162" s="18" t="s">
        <v>177</v>
      </c>
      <c r="G162" s="19" t="s">
        <v>14</v>
      </c>
      <c r="H162" s="20" t="s">
        <v>170</v>
      </c>
      <c r="I162" s="18" t="s">
        <v>60</v>
      </c>
      <c r="J162" s="21">
        <v>25200</v>
      </c>
      <c r="K162" s="76"/>
      <c r="L162" s="77">
        <v>1200</v>
      </c>
      <c r="M162" s="75"/>
      <c r="N162" s="24"/>
      <c r="U162" s="33"/>
    </row>
    <row r="163" spans="1:21" s="13" customFormat="1" ht="16.5" customHeight="1" x14ac:dyDescent="0.45">
      <c r="A163" s="14">
        <v>162</v>
      </c>
      <c r="B163" s="60">
        <v>31</v>
      </c>
      <c r="C163" s="15">
        <v>3</v>
      </c>
      <c r="D163" s="16">
        <v>8</v>
      </c>
      <c r="E163" s="17">
        <v>12</v>
      </c>
      <c r="F163" s="18" t="s">
        <v>150</v>
      </c>
      <c r="G163" s="19" t="s">
        <v>14</v>
      </c>
      <c r="H163" s="20" t="s">
        <v>170</v>
      </c>
      <c r="I163" s="18" t="s">
        <v>60</v>
      </c>
      <c r="J163" s="21">
        <v>25200</v>
      </c>
      <c r="K163" s="76"/>
      <c r="L163" s="77">
        <v>1200</v>
      </c>
      <c r="M163" s="75"/>
      <c r="N163" s="24"/>
      <c r="U163" s="33"/>
    </row>
    <row r="164" spans="1:21" s="13" customFormat="1" ht="16.5" customHeight="1" x14ac:dyDescent="0.45">
      <c r="A164" s="14">
        <v>163</v>
      </c>
      <c r="B164" s="60">
        <v>32</v>
      </c>
      <c r="C164" s="15">
        <v>3</v>
      </c>
      <c r="D164" s="16">
        <v>8</v>
      </c>
      <c r="E164" s="17">
        <v>19</v>
      </c>
      <c r="F164" s="18" t="s">
        <v>178</v>
      </c>
      <c r="G164" s="19" t="s">
        <v>14</v>
      </c>
      <c r="H164" s="20" t="s">
        <v>170</v>
      </c>
      <c r="I164" s="28" t="s">
        <v>16</v>
      </c>
      <c r="J164" s="29">
        <v>18900</v>
      </c>
      <c r="K164" s="73"/>
      <c r="L164" s="74">
        <v>900</v>
      </c>
      <c r="M164" s="75"/>
      <c r="N164" s="24"/>
      <c r="U164" s="33"/>
    </row>
    <row r="165" spans="1:21" s="13" customFormat="1" ht="16.5" customHeight="1" x14ac:dyDescent="0.45">
      <c r="A165" s="14">
        <v>164</v>
      </c>
      <c r="B165" s="60">
        <v>33</v>
      </c>
      <c r="C165" s="15">
        <v>3</v>
      </c>
      <c r="D165" s="16">
        <v>9</v>
      </c>
      <c r="E165" s="17">
        <v>25</v>
      </c>
      <c r="F165" s="18" t="s">
        <v>151</v>
      </c>
      <c r="G165" s="19" t="s">
        <v>14</v>
      </c>
      <c r="H165" s="20" t="s">
        <v>170</v>
      </c>
      <c r="I165" s="18" t="s">
        <v>60</v>
      </c>
      <c r="J165" s="21">
        <v>25200</v>
      </c>
      <c r="K165" s="76"/>
      <c r="L165" s="77">
        <v>1200</v>
      </c>
      <c r="M165" s="75"/>
      <c r="N165" s="24"/>
      <c r="U165" s="33"/>
    </row>
    <row r="166" spans="1:21" s="13" customFormat="1" ht="16.5" customHeight="1" x14ac:dyDescent="0.45">
      <c r="A166" s="14">
        <v>165</v>
      </c>
      <c r="B166" s="60">
        <v>34</v>
      </c>
      <c r="C166" s="15">
        <v>5</v>
      </c>
      <c r="D166" s="16">
        <v>1</v>
      </c>
      <c r="E166" s="17">
        <v>12</v>
      </c>
      <c r="F166" s="18" t="s">
        <v>179</v>
      </c>
      <c r="G166" s="19" t="s">
        <v>14</v>
      </c>
      <c r="H166" s="20" t="s">
        <v>170</v>
      </c>
      <c r="I166" s="28" t="s">
        <v>16</v>
      </c>
      <c r="J166" s="29">
        <v>18900</v>
      </c>
      <c r="K166" s="73"/>
      <c r="L166" s="74">
        <v>900</v>
      </c>
      <c r="M166" s="75"/>
      <c r="N166" s="24"/>
      <c r="U166" s="33"/>
    </row>
    <row r="167" spans="1:21" s="13" customFormat="1" ht="16.5" customHeight="1" x14ac:dyDescent="0.45">
      <c r="A167" s="14">
        <v>166</v>
      </c>
      <c r="B167" s="60">
        <v>35</v>
      </c>
      <c r="C167" s="15">
        <v>5</v>
      </c>
      <c r="D167" s="16">
        <v>5</v>
      </c>
      <c r="E167" s="17">
        <v>9</v>
      </c>
      <c r="F167" s="18" t="s">
        <v>180</v>
      </c>
      <c r="G167" s="19" t="s">
        <v>14</v>
      </c>
      <c r="H167" s="20" t="s">
        <v>170</v>
      </c>
      <c r="I167" s="18" t="s">
        <v>60</v>
      </c>
      <c r="J167" s="21">
        <v>25200</v>
      </c>
      <c r="K167" s="76"/>
      <c r="L167" s="77">
        <v>1200</v>
      </c>
      <c r="M167" s="75"/>
      <c r="N167" s="24"/>
      <c r="U167" s="33"/>
    </row>
    <row r="168" spans="1:21" s="13" customFormat="1" ht="16.5" customHeight="1" x14ac:dyDescent="0.45">
      <c r="A168" s="14">
        <v>167</v>
      </c>
      <c r="B168" s="60">
        <v>36</v>
      </c>
      <c r="C168" s="15">
        <v>5</v>
      </c>
      <c r="D168" s="16">
        <v>5</v>
      </c>
      <c r="E168" s="17">
        <v>26</v>
      </c>
      <c r="F168" s="18" t="s">
        <v>181</v>
      </c>
      <c r="G168" s="19" t="s">
        <v>14</v>
      </c>
      <c r="H168" s="20" t="s">
        <v>170</v>
      </c>
      <c r="I168" s="18" t="s">
        <v>60</v>
      </c>
      <c r="J168" s="21">
        <v>25200</v>
      </c>
      <c r="K168" s="76"/>
      <c r="L168" s="77">
        <v>1200</v>
      </c>
      <c r="M168" s="75"/>
      <c r="N168" s="24"/>
      <c r="U168" s="33"/>
    </row>
    <row r="169" spans="1:21" s="13" customFormat="1" ht="16.5" customHeight="1" x14ac:dyDescent="0.45">
      <c r="A169" s="14">
        <v>168</v>
      </c>
      <c r="B169" s="60">
        <v>37</v>
      </c>
      <c r="C169" s="15">
        <v>5</v>
      </c>
      <c r="D169" s="16">
        <v>6</v>
      </c>
      <c r="E169" s="17">
        <v>10</v>
      </c>
      <c r="F169" s="18" t="s">
        <v>182</v>
      </c>
      <c r="G169" s="19" t="s">
        <v>14</v>
      </c>
      <c r="H169" s="20" t="s">
        <v>170</v>
      </c>
      <c r="I169" s="18" t="s">
        <v>60</v>
      </c>
      <c r="J169" s="21">
        <v>25200</v>
      </c>
      <c r="K169" s="76"/>
      <c r="L169" s="77">
        <v>1200</v>
      </c>
      <c r="M169" s="75"/>
      <c r="N169" s="24"/>
      <c r="U169" s="33"/>
    </row>
    <row r="170" spans="1:21" s="13" customFormat="1" ht="16.5" customHeight="1" x14ac:dyDescent="0.45">
      <c r="A170" s="14">
        <v>169</v>
      </c>
      <c r="B170" s="60">
        <v>38</v>
      </c>
      <c r="C170" s="15">
        <v>5</v>
      </c>
      <c r="D170" s="16">
        <v>7</v>
      </c>
      <c r="E170" s="17">
        <v>11</v>
      </c>
      <c r="F170" s="18" t="s">
        <v>183</v>
      </c>
      <c r="G170" s="19" t="s">
        <v>14</v>
      </c>
      <c r="H170" s="20" t="s">
        <v>170</v>
      </c>
      <c r="I170" s="18" t="s">
        <v>60</v>
      </c>
      <c r="J170" s="21">
        <v>25200</v>
      </c>
      <c r="K170" s="76"/>
      <c r="L170" s="77">
        <v>1200</v>
      </c>
      <c r="M170" s="75"/>
      <c r="N170" s="24"/>
      <c r="U170" s="33"/>
    </row>
    <row r="171" spans="1:21" s="13" customFormat="1" ht="16.5" customHeight="1" x14ac:dyDescent="0.45">
      <c r="A171" s="14">
        <v>170</v>
      </c>
      <c r="B171" s="60">
        <v>39</v>
      </c>
      <c r="C171" s="15">
        <v>6</v>
      </c>
      <c r="D171" s="16">
        <v>1</v>
      </c>
      <c r="E171" s="17">
        <v>11</v>
      </c>
      <c r="F171" s="18" t="s">
        <v>184</v>
      </c>
      <c r="G171" s="19" t="s">
        <v>14</v>
      </c>
      <c r="H171" s="20" t="s">
        <v>170</v>
      </c>
      <c r="I171" s="18" t="s">
        <v>60</v>
      </c>
      <c r="J171" s="21">
        <v>25200</v>
      </c>
      <c r="K171" s="76"/>
      <c r="L171" s="77">
        <v>1200</v>
      </c>
      <c r="M171" s="75"/>
      <c r="N171" s="24"/>
      <c r="U171" s="33"/>
    </row>
    <row r="172" spans="1:21" s="13" customFormat="1" ht="16.5" customHeight="1" x14ac:dyDescent="0.45">
      <c r="A172" s="14">
        <v>171</v>
      </c>
      <c r="B172" s="61">
        <v>40</v>
      </c>
      <c r="C172" s="15">
        <v>6</v>
      </c>
      <c r="D172" s="16">
        <v>2</v>
      </c>
      <c r="E172" s="17">
        <v>16</v>
      </c>
      <c r="F172" s="18" t="s">
        <v>96</v>
      </c>
      <c r="G172" s="19" t="s">
        <v>14</v>
      </c>
      <c r="H172" s="20" t="s">
        <v>170</v>
      </c>
      <c r="I172" s="28" t="s">
        <v>16</v>
      </c>
      <c r="J172" s="29">
        <v>18900</v>
      </c>
      <c r="K172" s="73"/>
      <c r="L172" s="74">
        <v>900</v>
      </c>
      <c r="M172" s="75"/>
      <c r="N172" s="24"/>
      <c r="U172" s="33"/>
    </row>
    <row r="173" spans="1:21" s="13" customFormat="1" ht="16.5" customHeight="1" x14ac:dyDescent="0.45">
      <c r="A173" s="14">
        <v>172</v>
      </c>
      <c r="B173" s="35">
        <v>1</v>
      </c>
      <c r="C173" s="49">
        <v>1</v>
      </c>
      <c r="D173" s="50">
        <v>1</v>
      </c>
      <c r="E173" s="51">
        <v>6</v>
      </c>
      <c r="F173" s="87" t="s">
        <v>58</v>
      </c>
      <c r="G173" s="55" t="s">
        <v>14</v>
      </c>
      <c r="H173" s="56" t="s">
        <v>185</v>
      </c>
      <c r="I173" s="39" t="s">
        <v>60</v>
      </c>
      <c r="J173" s="43">
        <v>25200</v>
      </c>
      <c r="K173" s="88"/>
      <c r="L173" s="44">
        <v>1200</v>
      </c>
      <c r="M173" s="45">
        <f>SUM(J173:K212)</f>
        <v>957600</v>
      </c>
      <c r="N173" s="24"/>
      <c r="U173" s="33"/>
    </row>
    <row r="174" spans="1:21" s="13" customFormat="1" ht="16.5" customHeight="1" x14ac:dyDescent="0.45">
      <c r="A174" s="14">
        <v>173</v>
      </c>
      <c r="B174" s="60">
        <v>2</v>
      </c>
      <c r="C174" s="52">
        <v>1</v>
      </c>
      <c r="D174" s="53">
        <v>3</v>
      </c>
      <c r="E174" s="54">
        <v>6</v>
      </c>
      <c r="F174" s="89" t="s">
        <v>80</v>
      </c>
      <c r="G174" s="57" t="s">
        <v>14</v>
      </c>
      <c r="H174" s="58" t="s">
        <v>185</v>
      </c>
      <c r="I174" s="28" t="s">
        <v>21</v>
      </c>
      <c r="J174" s="29">
        <v>12600</v>
      </c>
      <c r="K174" s="90"/>
      <c r="L174" s="30">
        <v>600</v>
      </c>
      <c r="M174" s="23"/>
      <c r="N174" s="24"/>
      <c r="U174" s="33"/>
    </row>
    <row r="175" spans="1:21" s="13" customFormat="1" ht="16.5" customHeight="1" x14ac:dyDescent="0.45">
      <c r="A175" s="14">
        <v>174</v>
      </c>
      <c r="B175" s="60">
        <v>3</v>
      </c>
      <c r="C175" s="52">
        <v>1</v>
      </c>
      <c r="D175" s="53">
        <v>5</v>
      </c>
      <c r="E175" s="54">
        <v>17</v>
      </c>
      <c r="F175" s="89" t="s">
        <v>186</v>
      </c>
      <c r="G175" s="57" t="s">
        <v>14</v>
      </c>
      <c r="H175" s="58" t="s">
        <v>185</v>
      </c>
      <c r="I175" s="18" t="s">
        <v>60</v>
      </c>
      <c r="J175" s="21">
        <v>25200</v>
      </c>
      <c r="K175" s="91"/>
      <c r="L175" s="22">
        <v>1200</v>
      </c>
      <c r="M175" s="23"/>
      <c r="N175" s="24"/>
      <c r="O175" s="27">
        <f>SUM(J173:K212)</f>
        <v>957600</v>
      </c>
      <c r="U175" s="33"/>
    </row>
    <row r="176" spans="1:21" s="13" customFormat="1" ht="16.5" customHeight="1" x14ac:dyDescent="0.45">
      <c r="A176" s="14">
        <v>175</v>
      </c>
      <c r="B176" s="60">
        <v>4</v>
      </c>
      <c r="C176" s="52">
        <v>1</v>
      </c>
      <c r="D176" s="53">
        <v>6</v>
      </c>
      <c r="E176" s="54">
        <v>4</v>
      </c>
      <c r="F176" s="89" t="s">
        <v>187</v>
      </c>
      <c r="G176" s="57" t="s">
        <v>14</v>
      </c>
      <c r="H176" s="58" t="s">
        <v>185</v>
      </c>
      <c r="I176" s="18" t="s">
        <v>60</v>
      </c>
      <c r="J176" s="21">
        <v>25200</v>
      </c>
      <c r="K176" s="91"/>
      <c r="L176" s="22">
        <v>1200</v>
      </c>
      <c r="M176" s="23"/>
      <c r="N176" s="24"/>
      <c r="O176" s="27">
        <f>SUM(L173:L212)</f>
        <v>45600</v>
      </c>
      <c r="U176" s="33"/>
    </row>
    <row r="177" spans="1:21" s="13" customFormat="1" ht="16.5" customHeight="1" x14ac:dyDescent="0.45">
      <c r="A177" s="14">
        <v>176</v>
      </c>
      <c r="B177" s="60">
        <v>5</v>
      </c>
      <c r="C177" s="52">
        <v>1</v>
      </c>
      <c r="D177" s="53">
        <v>7</v>
      </c>
      <c r="E177" s="54">
        <v>4</v>
      </c>
      <c r="F177" s="89" t="s">
        <v>188</v>
      </c>
      <c r="G177" s="57" t="s">
        <v>14</v>
      </c>
      <c r="H177" s="58" t="s">
        <v>185</v>
      </c>
      <c r="I177" s="18" t="s">
        <v>60</v>
      </c>
      <c r="J177" s="21">
        <v>25200</v>
      </c>
      <c r="K177" s="91"/>
      <c r="L177" s="22">
        <v>1200</v>
      </c>
      <c r="M177" s="23"/>
      <c r="N177" s="24"/>
      <c r="O177" s="27">
        <f>SUM(O175:O176)</f>
        <v>1003200</v>
      </c>
      <c r="U177" s="33"/>
    </row>
    <row r="178" spans="1:21" s="13" customFormat="1" ht="16.5" customHeight="1" x14ac:dyDescent="0.45">
      <c r="A178" s="14">
        <v>177</v>
      </c>
      <c r="B178" s="60">
        <v>6</v>
      </c>
      <c r="C178" s="52">
        <v>1</v>
      </c>
      <c r="D178" s="53">
        <v>9</v>
      </c>
      <c r="E178" s="54">
        <v>6</v>
      </c>
      <c r="F178" s="89" t="s">
        <v>189</v>
      </c>
      <c r="G178" s="57" t="s">
        <v>14</v>
      </c>
      <c r="H178" s="58" t="s">
        <v>185</v>
      </c>
      <c r="I178" s="18" t="s">
        <v>60</v>
      </c>
      <c r="J178" s="21">
        <v>25200</v>
      </c>
      <c r="K178" s="91"/>
      <c r="L178" s="22">
        <v>1200</v>
      </c>
      <c r="M178" s="23"/>
      <c r="N178" s="24"/>
      <c r="U178" s="33"/>
    </row>
    <row r="179" spans="1:21" s="13" customFormat="1" ht="16.5" customHeight="1" x14ac:dyDescent="0.45">
      <c r="A179" s="14">
        <v>178</v>
      </c>
      <c r="B179" s="60">
        <v>7</v>
      </c>
      <c r="C179" s="52">
        <v>1</v>
      </c>
      <c r="D179" s="53">
        <v>10</v>
      </c>
      <c r="E179" s="54">
        <v>3</v>
      </c>
      <c r="F179" s="89" t="s">
        <v>22</v>
      </c>
      <c r="G179" s="57" t="s">
        <v>14</v>
      </c>
      <c r="H179" s="58" t="s">
        <v>185</v>
      </c>
      <c r="I179" s="18" t="s">
        <v>60</v>
      </c>
      <c r="J179" s="21">
        <v>25200</v>
      </c>
      <c r="K179" s="91"/>
      <c r="L179" s="22">
        <v>1200</v>
      </c>
      <c r="M179" s="23"/>
      <c r="N179" s="24"/>
      <c r="U179" s="33"/>
    </row>
    <row r="180" spans="1:21" s="13" customFormat="1" ht="16.5" customHeight="1" x14ac:dyDescent="0.45">
      <c r="A180" s="14">
        <v>179</v>
      </c>
      <c r="B180" s="60">
        <v>8</v>
      </c>
      <c r="C180" s="52">
        <v>1</v>
      </c>
      <c r="D180" s="53">
        <v>10</v>
      </c>
      <c r="E180" s="54">
        <v>14</v>
      </c>
      <c r="F180" s="89" t="s">
        <v>23</v>
      </c>
      <c r="G180" s="57" t="s">
        <v>14</v>
      </c>
      <c r="H180" s="58" t="s">
        <v>185</v>
      </c>
      <c r="I180" s="18" t="s">
        <v>60</v>
      </c>
      <c r="J180" s="21">
        <v>25200</v>
      </c>
      <c r="K180" s="91"/>
      <c r="L180" s="22">
        <v>1200</v>
      </c>
      <c r="M180" s="23"/>
      <c r="N180" s="24"/>
      <c r="U180" s="33"/>
    </row>
    <row r="181" spans="1:21" s="13" customFormat="1" ht="16.5" customHeight="1" x14ac:dyDescent="0.45">
      <c r="A181" s="14">
        <v>180</v>
      </c>
      <c r="B181" s="60">
        <v>9</v>
      </c>
      <c r="C181" s="52">
        <v>1</v>
      </c>
      <c r="D181" s="53">
        <v>11</v>
      </c>
      <c r="E181" s="54">
        <v>8</v>
      </c>
      <c r="F181" s="89" t="s">
        <v>190</v>
      </c>
      <c r="G181" s="57" t="s">
        <v>14</v>
      </c>
      <c r="H181" s="58" t="s">
        <v>185</v>
      </c>
      <c r="I181" s="18" t="s">
        <v>60</v>
      </c>
      <c r="J181" s="21">
        <v>25200</v>
      </c>
      <c r="K181" s="91"/>
      <c r="L181" s="22">
        <v>1200</v>
      </c>
      <c r="M181" s="23"/>
      <c r="N181" s="24"/>
      <c r="U181" s="33"/>
    </row>
    <row r="182" spans="1:21" s="13" customFormat="1" ht="16.5" customHeight="1" x14ac:dyDescent="0.45">
      <c r="A182" s="14">
        <v>181</v>
      </c>
      <c r="B182" s="60">
        <v>10</v>
      </c>
      <c r="C182" s="52">
        <v>1</v>
      </c>
      <c r="D182" s="53">
        <v>11</v>
      </c>
      <c r="E182" s="54">
        <v>18</v>
      </c>
      <c r="F182" s="89" t="s">
        <v>191</v>
      </c>
      <c r="G182" s="57" t="s">
        <v>14</v>
      </c>
      <c r="H182" s="58" t="s">
        <v>185</v>
      </c>
      <c r="I182" s="28" t="s">
        <v>16</v>
      </c>
      <c r="J182" s="29">
        <v>18900</v>
      </c>
      <c r="K182" s="90"/>
      <c r="L182" s="30">
        <v>900</v>
      </c>
      <c r="M182" s="23"/>
      <c r="N182" s="24"/>
      <c r="U182" s="33"/>
    </row>
    <row r="183" spans="1:21" s="13" customFormat="1" ht="16.5" customHeight="1" x14ac:dyDescent="0.45">
      <c r="A183" s="14">
        <v>182</v>
      </c>
      <c r="B183" s="60">
        <v>11</v>
      </c>
      <c r="C183" s="52">
        <v>1</v>
      </c>
      <c r="D183" s="53">
        <v>12</v>
      </c>
      <c r="E183" s="54">
        <v>5</v>
      </c>
      <c r="F183" s="89" t="s">
        <v>192</v>
      </c>
      <c r="G183" s="57" t="s">
        <v>14</v>
      </c>
      <c r="H183" s="58" t="s">
        <v>185</v>
      </c>
      <c r="I183" s="18" t="s">
        <v>60</v>
      </c>
      <c r="J183" s="21">
        <v>25200</v>
      </c>
      <c r="K183" s="91"/>
      <c r="L183" s="22">
        <v>1200</v>
      </c>
      <c r="M183" s="23"/>
      <c r="N183" s="24"/>
      <c r="U183" s="33"/>
    </row>
    <row r="184" spans="1:21" s="13" customFormat="1" ht="16.5" customHeight="1" x14ac:dyDescent="0.45">
      <c r="A184" s="14">
        <v>183</v>
      </c>
      <c r="B184" s="60">
        <v>12</v>
      </c>
      <c r="C184" s="52">
        <v>1</v>
      </c>
      <c r="D184" s="53">
        <v>12</v>
      </c>
      <c r="E184" s="54">
        <v>7</v>
      </c>
      <c r="F184" s="89" t="s">
        <v>193</v>
      </c>
      <c r="G184" s="57" t="s">
        <v>14</v>
      </c>
      <c r="H184" s="58" t="s">
        <v>185</v>
      </c>
      <c r="I184" s="18" t="s">
        <v>60</v>
      </c>
      <c r="J184" s="21">
        <v>25200</v>
      </c>
      <c r="K184" s="91"/>
      <c r="L184" s="22">
        <v>1200</v>
      </c>
      <c r="M184" s="23"/>
      <c r="N184" s="24"/>
      <c r="O184" s="13">
        <v>25200</v>
      </c>
      <c r="P184" s="13">
        <v>1200</v>
      </c>
      <c r="Q184" s="13">
        <v>26400</v>
      </c>
      <c r="U184" s="33"/>
    </row>
    <row r="185" spans="1:21" s="13" customFormat="1" ht="16.5" customHeight="1" x14ac:dyDescent="0.45">
      <c r="A185" s="14">
        <v>184</v>
      </c>
      <c r="B185" s="60">
        <v>13</v>
      </c>
      <c r="C185" s="52">
        <v>2</v>
      </c>
      <c r="D185" s="53">
        <v>1</v>
      </c>
      <c r="E185" s="54">
        <v>19</v>
      </c>
      <c r="F185" s="89" t="s">
        <v>194</v>
      </c>
      <c r="G185" s="57" t="s">
        <v>14</v>
      </c>
      <c r="H185" s="58" t="s">
        <v>185</v>
      </c>
      <c r="I185" s="18" t="s">
        <v>60</v>
      </c>
      <c r="J185" s="21">
        <v>25200</v>
      </c>
      <c r="K185" s="91"/>
      <c r="L185" s="22">
        <v>1200</v>
      </c>
      <c r="M185" s="23"/>
      <c r="N185" s="24"/>
      <c r="O185" s="13">
        <f>O184*40</f>
        <v>1008000</v>
      </c>
      <c r="P185" s="13">
        <f t="shared" ref="P185:Q185" si="20">P184*40</f>
        <v>48000</v>
      </c>
      <c r="Q185" s="13">
        <f t="shared" si="20"/>
        <v>1056000</v>
      </c>
      <c r="U185" s="33"/>
    </row>
    <row r="186" spans="1:21" s="13" customFormat="1" ht="16.5" customHeight="1" x14ac:dyDescent="0.45">
      <c r="A186" s="14">
        <v>185</v>
      </c>
      <c r="B186" s="60">
        <v>14</v>
      </c>
      <c r="C186" s="52">
        <v>2</v>
      </c>
      <c r="D186" s="53">
        <v>1</v>
      </c>
      <c r="E186" s="54">
        <v>21</v>
      </c>
      <c r="F186" s="89" t="s">
        <v>195</v>
      </c>
      <c r="G186" s="57" t="s">
        <v>14</v>
      </c>
      <c r="H186" s="58" t="s">
        <v>185</v>
      </c>
      <c r="I186" s="18" t="s">
        <v>60</v>
      </c>
      <c r="J186" s="21">
        <v>25200</v>
      </c>
      <c r="K186" s="91"/>
      <c r="L186" s="22">
        <v>1200</v>
      </c>
      <c r="M186" s="23"/>
      <c r="N186" s="24"/>
      <c r="O186" s="13">
        <v>-50400</v>
      </c>
      <c r="P186" s="13">
        <v>-2400</v>
      </c>
      <c r="Q186" s="13">
        <v>-52800</v>
      </c>
      <c r="U186" s="33"/>
    </row>
    <row r="187" spans="1:21" s="13" customFormat="1" ht="16.5" customHeight="1" x14ac:dyDescent="0.45">
      <c r="A187" s="14">
        <v>186</v>
      </c>
      <c r="B187" s="60">
        <v>15</v>
      </c>
      <c r="C187" s="52">
        <v>2</v>
      </c>
      <c r="D187" s="53">
        <v>1</v>
      </c>
      <c r="E187" s="54">
        <v>24</v>
      </c>
      <c r="F187" s="89" t="s">
        <v>68</v>
      </c>
      <c r="G187" s="57" t="s">
        <v>14</v>
      </c>
      <c r="H187" s="58" t="s">
        <v>185</v>
      </c>
      <c r="I187" s="18" t="s">
        <v>60</v>
      </c>
      <c r="J187" s="21">
        <v>25200</v>
      </c>
      <c r="K187" s="91"/>
      <c r="L187" s="22">
        <v>1200</v>
      </c>
      <c r="M187" s="23"/>
      <c r="N187" s="24"/>
      <c r="O187" s="13">
        <f>SUM(O185:O186)</f>
        <v>957600</v>
      </c>
      <c r="P187" s="13">
        <f t="shared" ref="P187:Q187" si="21">SUM(P185:P186)</f>
        <v>45600</v>
      </c>
      <c r="Q187" s="13">
        <f t="shared" si="21"/>
        <v>1003200</v>
      </c>
      <c r="U187" s="33"/>
    </row>
    <row r="188" spans="1:21" s="13" customFormat="1" ht="16.5" customHeight="1" x14ac:dyDescent="0.45">
      <c r="A188" s="14">
        <v>187</v>
      </c>
      <c r="B188" s="60">
        <v>16</v>
      </c>
      <c r="C188" s="52">
        <v>2</v>
      </c>
      <c r="D188" s="53">
        <v>2</v>
      </c>
      <c r="E188" s="54">
        <v>14</v>
      </c>
      <c r="F188" s="89" t="s">
        <v>116</v>
      </c>
      <c r="G188" s="57" t="s">
        <v>14</v>
      </c>
      <c r="H188" s="58" t="s">
        <v>185</v>
      </c>
      <c r="I188" s="18" t="s">
        <v>60</v>
      </c>
      <c r="J188" s="21">
        <v>25200</v>
      </c>
      <c r="K188" s="91"/>
      <c r="L188" s="22">
        <v>1200</v>
      </c>
      <c r="M188" s="23"/>
      <c r="N188" s="24"/>
      <c r="U188" s="33"/>
    </row>
    <row r="189" spans="1:21" s="13" customFormat="1" ht="16.5" customHeight="1" x14ac:dyDescent="0.45">
      <c r="A189" s="14">
        <v>188</v>
      </c>
      <c r="B189" s="60">
        <v>17</v>
      </c>
      <c r="C189" s="52">
        <v>2</v>
      </c>
      <c r="D189" s="53">
        <v>4</v>
      </c>
      <c r="E189" s="54">
        <v>21</v>
      </c>
      <c r="F189" s="89" t="s">
        <v>196</v>
      </c>
      <c r="G189" s="57" t="s">
        <v>14</v>
      </c>
      <c r="H189" s="58" t="s">
        <v>185</v>
      </c>
      <c r="I189" s="18" t="s">
        <v>60</v>
      </c>
      <c r="J189" s="21">
        <v>25200</v>
      </c>
      <c r="K189" s="91"/>
      <c r="L189" s="22">
        <v>1200</v>
      </c>
      <c r="M189" s="23"/>
      <c r="N189" s="24"/>
      <c r="U189" s="33"/>
    </row>
    <row r="190" spans="1:21" s="13" customFormat="1" ht="16.5" customHeight="1" x14ac:dyDescent="0.45">
      <c r="A190" s="14">
        <v>189</v>
      </c>
      <c r="B190" s="60">
        <v>18</v>
      </c>
      <c r="C190" s="52">
        <v>2</v>
      </c>
      <c r="D190" s="53">
        <v>5</v>
      </c>
      <c r="E190" s="54">
        <v>5</v>
      </c>
      <c r="F190" s="89" t="s">
        <v>118</v>
      </c>
      <c r="G190" s="57" t="s">
        <v>14</v>
      </c>
      <c r="H190" s="58" t="s">
        <v>185</v>
      </c>
      <c r="I190" s="18" t="s">
        <v>60</v>
      </c>
      <c r="J190" s="21">
        <v>25200</v>
      </c>
      <c r="K190" s="91"/>
      <c r="L190" s="22">
        <v>1200</v>
      </c>
      <c r="M190" s="23"/>
      <c r="N190" s="24"/>
      <c r="O190" s="13">
        <v>25200</v>
      </c>
      <c r="P190" s="13">
        <v>1200</v>
      </c>
      <c r="Q190" s="13">
        <v>26400</v>
      </c>
      <c r="U190" s="33"/>
    </row>
    <row r="191" spans="1:21" s="13" customFormat="1" ht="16.5" customHeight="1" x14ac:dyDescent="0.45">
      <c r="A191" s="14">
        <v>190</v>
      </c>
      <c r="B191" s="60">
        <v>19</v>
      </c>
      <c r="C191" s="52">
        <v>2</v>
      </c>
      <c r="D191" s="53">
        <v>7</v>
      </c>
      <c r="E191" s="54">
        <v>22</v>
      </c>
      <c r="F191" s="89" t="s">
        <v>135</v>
      </c>
      <c r="G191" s="57" t="s">
        <v>14</v>
      </c>
      <c r="H191" s="58" t="s">
        <v>185</v>
      </c>
      <c r="I191" s="28" t="s">
        <v>16</v>
      </c>
      <c r="J191" s="29">
        <v>18900</v>
      </c>
      <c r="K191" s="90"/>
      <c r="L191" s="30">
        <v>900</v>
      </c>
      <c r="M191" s="23"/>
      <c r="N191" s="24"/>
      <c r="O191" s="13">
        <f>O190*39</f>
        <v>982800</v>
      </c>
      <c r="P191" s="13">
        <f t="shared" ref="P191:Q191" si="22">P190*39</f>
        <v>46800</v>
      </c>
      <c r="Q191" s="13">
        <f t="shared" si="22"/>
        <v>1029600</v>
      </c>
      <c r="U191" s="33"/>
    </row>
    <row r="192" spans="1:21" s="13" customFormat="1" ht="16.5" customHeight="1" x14ac:dyDescent="0.45">
      <c r="A192" s="14">
        <v>191</v>
      </c>
      <c r="B192" s="60">
        <v>20</v>
      </c>
      <c r="C192" s="52">
        <v>2</v>
      </c>
      <c r="D192" s="53">
        <v>8</v>
      </c>
      <c r="E192" s="54">
        <v>14</v>
      </c>
      <c r="F192" s="89" t="s">
        <v>197</v>
      </c>
      <c r="G192" s="57" t="s">
        <v>14</v>
      </c>
      <c r="H192" s="58" t="s">
        <v>185</v>
      </c>
      <c r="I192" s="18" t="s">
        <v>60</v>
      </c>
      <c r="J192" s="21">
        <v>25200</v>
      </c>
      <c r="K192" s="91"/>
      <c r="L192" s="22">
        <v>1200</v>
      </c>
      <c r="M192" s="23"/>
      <c r="N192" s="24"/>
      <c r="U192" s="33"/>
    </row>
    <row r="193" spans="1:21" s="13" customFormat="1" ht="16.5" customHeight="1" x14ac:dyDescent="0.45">
      <c r="A193" s="14">
        <v>192</v>
      </c>
      <c r="B193" s="60">
        <v>21</v>
      </c>
      <c r="C193" s="52">
        <v>1</v>
      </c>
      <c r="D193" s="53">
        <v>1</v>
      </c>
      <c r="E193" s="54">
        <v>7</v>
      </c>
      <c r="F193" s="89" t="s">
        <v>198</v>
      </c>
      <c r="G193" s="57" t="s">
        <v>14</v>
      </c>
      <c r="H193" s="58" t="s">
        <v>199</v>
      </c>
      <c r="I193" s="18" t="s">
        <v>60</v>
      </c>
      <c r="J193" s="21">
        <v>25200</v>
      </c>
      <c r="K193" s="91"/>
      <c r="L193" s="22">
        <v>1200</v>
      </c>
      <c r="M193" s="23"/>
      <c r="N193" s="24"/>
      <c r="U193" s="33"/>
    </row>
    <row r="194" spans="1:21" s="13" customFormat="1" ht="16.5" customHeight="1" x14ac:dyDescent="0.45">
      <c r="A194" s="14">
        <v>193</v>
      </c>
      <c r="B194" s="60">
        <v>22</v>
      </c>
      <c r="C194" s="52">
        <v>1</v>
      </c>
      <c r="D194" s="53">
        <v>3</v>
      </c>
      <c r="E194" s="54">
        <v>12</v>
      </c>
      <c r="F194" s="89" t="s">
        <v>200</v>
      </c>
      <c r="G194" s="57" t="s">
        <v>14</v>
      </c>
      <c r="H194" s="58" t="s">
        <v>199</v>
      </c>
      <c r="I194" s="28" t="s">
        <v>16</v>
      </c>
      <c r="J194" s="29">
        <v>18900</v>
      </c>
      <c r="K194" s="90"/>
      <c r="L194" s="30">
        <v>900</v>
      </c>
      <c r="M194" s="23"/>
      <c r="N194" s="24"/>
      <c r="O194" s="13">
        <v>25200</v>
      </c>
      <c r="P194" s="13">
        <v>1200</v>
      </c>
      <c r="Q194" s="13">
        <v>26400</v>
      </c>
      <c r="U194" s="33"/>
    </row>
    <row r="195" spans="1:21" s="13" customFormat="1" ht="16.5" customHeight="1" x14ac:dyDescent="0.45">
      <c r="A195" s="14">
        <v>194</v>
      </c>
      <c r="B195" s="60">
        <v>23</v>
      </c>
      <c r="C195" s="52">
        <v>1</v>
      </c>
      <c r="D195" s="53">
        <v>5</v>
      </c>
      <c r="E195" s="54">
        <v>3</v>
      </c>
      <c r="F195" s="89" t="s">
        <v>201</v>
      </c>
      <c r="G195" s="57" t="s">
        <v>14</v>
      </c>
      <c r="H195" s="58" t="s">
        <v>199</v>
      </c>
      <c r="I195" s="18" t="s">
        <v>60</v>
      </c>
      <c r="J195" s="21">
        <v>25200</v>
      </c>
      <c r="K195" s="91"/>
      <c r="L195" s="22">
        <v>1200</v>
      </c>
      <c r="M195" s="23"/>
      <c r="N195" s="24"/>
      <c r="O195" s="13">
        <f>O194*39</f>
        <v>982800</v>
      </c>
      <c r="P195" s="13">
        <f t="shared" ref="P195:Q195" si="23">P194*39</f>
        <v>46800</v>
      </c>
      <c r="Q195" s="13">
        <f t="shared" si="23"/>
        <v>1029600</v>
      </c>
      <c r="U195" s="33"/>
    </row>
    <row r="196" spans="1:21" s="13" customFormat="1" ht="16.5" customHeight="1" x14ac:dyDescent="0.45">
      <c r="A196" s="14">
        <v>195</v>
      </c>
      <c r="B196" s="60">
        <v>24</v>
      </c>
      <c r="C196" s="52">
        <v>1</v>
      </c>
      <c r="D196" s="53">
        <v>5</v>
      </c>
      <c r="E196" s="54">
        <v>10</v>
      </c>
      <c r="F196" s="89" t="s">
        <v>202</v>
      </c>
      <c r="G196" s="57" t="s">
        <v>14</v>
      </c>
      <c r="H196" s="58" t="s">
        <v>199</v>
      </c>
      <c r="I196" s="18" t="s">
        <v>60</v>
      </c>
      <c r="J196" s="21">
        <v>25200</v>
      </c>
      <c r="K196" s="91"/>
      <c r="L196" s="22">
        <v>1200</v>
      </c>
      <c r="M196" s="23"/>
      <c r="N196" s="24"/>
      <c r="U196" s="33"/>
    </row>
    <row r="197" spans="1:21" s="13" customFormat="1" ht="16.5" customHeight="1" x14ac:dyDescent="0.45">
      <c r="A197" s="14">
        <v>196</v>
      </c>
      <c r="B197" s="60">
        <v>25</v>
      </c>
      <c r="C197" s="52">
        <v>1</v>
      </c>
      <c r="D197" s="53">
        <v>6</v>
      </c>
      <c r="E197" s="54">
        <v>19</v>
      </c>
      <c r="F197" s="89" t="s">
        <v>20</v>
      </c>
      <c r="G197" s="57" t="s">
        <v>14</v>
      </c>
      <c r="H197" s="58" t="s">
        <v>199</v>
      </c>
      <c r="I197" s="28" t="s">
        <v>21</v>
      </c>
      <c r="J197" s="29">
        <v>12600</v>
      </c>
      <c r="K197" s="90"/>
      <c r="L197" s="30">
        <v>600</v>
      </c>
      <c r="M197" s="23"/>
      <c r="N197" s="24"/>
      <c r="S197" s="34">
        <f>SUM(O187,O191,O195)</f>
        <v>2923200</v>
      </c>
      <c r="T197" s="34">
        <f>SUM(P187,P191,P195)</f>
        <v>139200</v>
      </c>
      <c r="U197" s="34">
        <f>SUM(Q187,Q191,Q195)</f>
        <v>3062400</v>
      </c>
    </row>
    <row r="198" spans="1:21" s="13" customFormat="1" ht="16.5" customHeight="1" x14ac:dyDescent="0.45">
      <c r="A198" s="14">
        <v>197</v>
      </c>
      <c r="B198" s="60">
        <v>26</v>
      </c>
      <c r="C198" s="52">
        <v>1</v>
      </c>
      <c r="D198" s="53">
        <v>7</v>
      </c>
      <c r="E198" s="54">
        <v>11</v>
      </c>
      <c r="F198" s="89" t="s">
        <v>39</v>
      </c>
      <c r="G198" s="57" t="s">
        <v>14</v>
      </c>
      <c r="H198" s="58" t="s">
        <v>199</v>
      </c>
      <c r="I198" s="18" t="s">
        <v>60</v>
      </c>
      <c r="J198" s="21">
        <v>25200</v>
      </c>
      <c r="K198" s="91"/>
      <c r="L198" s="22">
        <v>1200</v>
      </c>
      <c r="M198" s="23"/>
      <c r="N198" s="24"/>
      <c r="U198" s="33"/>
    </row>
    <row r="199" spans="1:21" s="13" customFormat="1" ht="16.5" customHeight="1" x14ac:dyDescent="0.45">
      <c r="A199" s="14">
        <v>198</v>
      </c>
      <c r="B199" s="60">
        <v>27</v>
      </c>
      <c r="C199" s="52">
        <v>1</v>
      </c>
      <c r="D199" s="53">
        <v>8</v>
      </c>
      <c r="E199" s="54">
        <v>10</v>
      </c>
      <c r="F199" s="89" t="s">
        <v>82</v>
      </c>
      <c r="G199" s="57" t="s">
        <v>14</v>
      </c>
      <c r="H199" s="58" t="s">
        <v>199</v>
      </c>
      <c r="I199" s="18" t="s">
        <v>60</v>
      </c>
      <c r="J199" s="21">
        <v>25200</v>
      </c>
      <c r="K199" s="91"/>
      <c r="L199" s="22">
        <v>1200</v>
      </c>
      <c r="M199" s="23"/>
      <c r="N199" s="24"/>
      <c r="U199" s="33"/>
    </row>
    <row r="200" spans="1:21" s="13" customFormat="1" ht="16.5" customHeight="1" x14ac:dyDescent="0.45">
      <c r="A200" s="14">
        <v>199</v>
      </c>
      <c r="B200" s="60">
        <v>28</v>
      </c>
      <c r="C200" s="52">
        <v>1</v>
      </c>
      <c r="D200" s="53">
        <v>8</v>
      </c>
      <c r="E200" s="54">
        <v>15</v>
      </c>
      <c r="F200" s="89" t="s">
        <v>203</v>
      </c>
      <c r="G200" s="57" t="s">
        <v>14</v>
      </c>
      <c r="H200" s="58" t="s">
        <v>199</v>
      </c>
      <c r="I200" s="18" t="s">
        <v>60</v>
      </c>
      <c r="J200" s="21">
        <v>25200</v>
      </c>
      <c r="K200" s="91"/>
      <c r="L200" s="22">
        <v>1200</v>
      </c>
      <c r="M200" s="23"/>
      <c r="N200" s="24"/>
      <c r="U200" s="33"/>
    </row>
    <row r="201" spans="1:21" s="13" customFormat="1" ht="16.5" customHeight="1" x14ac:dyDescent="0.45">
      <c r="A201" s="14">
        <v>200</v>
      </c>
      <c r="B201" s="60">
        <v>29</v>
      </c>
      <c r="C201" s="52">
        <v>1</v>
      </c>
      <c r="D201" s="53">
        <v>10</v>
      </c>
      <c r="E201" s="54">
        <v>7</v>
      </c>
      <c r="F201" s="89" t="s">
        <v>204</v>
      </c>
      <c r="G201" s="57" t="s">
        <v>14</v>
      </c>
      <c r="H201" s="58" t="s">
        <v>199</v>
      </c>
      <c r="I201" s="18" t="s">
        <v>60</v>
      </c>
      <c r="J201" s="21">
        <v>25200</v>
      </c>
      <c r="K201" s="91"/>
      <c r="L201" s="22">
        <v>1200</v>
      </c>
      <c r="M201" s="23"/>
      <c r="N201" s="24"/>
      <c r="U201" s="33"/>
    </row>
    <row r="202" spans="1:21" s="13" customFormat="1" ht="16.5" customHeight="1" x14ac:dyDescent="0.45">
      <c r="A202" s="14">
        <v>201</v>
      </c>
      <c r="B202" s="60">
        <v>30</v>
      </c>
      <c r="C202" s="52">
        <v>1</v>
      </c>
      <c r="D202" s="53">
        <v>10</v>
      </c>
      <c r="E202" s="54">
        <v>9</v>
      </c>
      <c r="F202" s="89" t="s">
        <v>205</v>
      </c>
      <c r="G202" s="57" t="s">
        <v>14</v>
      </c>
      <c r="H202" s="58" t="s">
        <v>199</v>
      </c>
      <c r="I202" s="18" t="s">
        <v>60</v>
      </c>
      <c r="J202" s="21">
        <v>25200</v>
      </c>
      <c r="K202" s="91"/>
      <c r="L202" s="22">
        <v>1200</v>
      </c>
      <c r="M202" s="23"/>
      <c r="N202" s="24"/>
      <c r="U202" s="33"/>
    </row>
    <row r="203" spans="1:21" s="13" customFormat="1" ht="16.5" customHeight="1" x14ac:dyDescent="0.45">
      <c r="A203" s="14">
        <v>202</v>
      </c>
      <c r="B203" s="60">
        <v>31</v>
      </c>
      <c r="C203" s="52">
        <v>1</v>
      </c>
      <c r="D203" s="53">
        <v>10</v>
      </c>
      <c r="E203" s="54">
        <v>10</v>
      </c>
      <c r="F203" s="89" t="s">
        <v>206</v>
      </c>
      <c r="G203" s="57" t="s">
        <v>14</v>
      </c>
      <c r="H203" s="58" t="s">
        <v>199</v>
      </c>
      <c r="I203" s="18" t="s">
        <v>60</v>
      </c>
      <c r="J203" s="21">
        <v>25200</v>
      </c>
      <c r="K203" s="91"/>
      <c r="L203" s="22">
        <v>1200</v>
      </c>
      <c r="M203" s="23"/>
      <c r="N203" s="24"/>
      <c r="U203" s="33"/>
    </row>
    <row r="204" spans="1:21" s="13" customFormat="1" ht="16.5" customHeight="1" x14ac:dyDescent="0.45">
      <c r="A204" s="14">
        <v>203</v>
      </c>
      <c r="B204" s="60">
        <v>32</v>
      </c>
      <c r="C204" s="52">
        <v>1</v>
      </c>
      <c r="D204" s="53">
        <v>10</v>
      </c>
      <c r="E204" s="54">
        <v>12</v>
      </c>
      <c r="F204" s="89" t="s">
        <v>207</v>
      </c>
      <c r="G204" s="57" t="s">
        <v>14</v>
      </c>
      <c r="H204" s="58" t="s">
        <v>199</v>
      </c>
      <c r="I204" s="18" t="s">
        <v>60</v>
      </c>
      <c r="J204" s="21">
        <v>25200</v>
      </c>
      <c r="K204" s="91"/>
      <c r="L204" s="22">
        <v>1200</v>
      </c>
      <c r="M204" s="23"/>
      <c r="N204" s="24"/>
      <c r="U204" s="33"/>
    </row>
    <row r="205" spans="1:21" s="13" customFormat="1" ht="16.5" customHeight="1" x14ac:dyDescent="0.45">
      <c r="A205" s="14">
        <v>204</v>
      </c>
      <c r="B205" s="60">
        <v>33</v>
      </c>
      <c r="C205" s="52">
        <v>1</v>
      </c>
      <c r="D205" s="53">
        <v>10</v>
      </c>
      <c r="E205" s="54">
        <v>20</v>
      </c>
      <c r="F205" s="89" t="s">
        <v>208</v>
      </c>
      <c r="G205" s="57" t="s">
        <v>14</v>
      </c>
      <c r="H205" s="58" t="s">
        <v>199</v>
      </c>
      <c r="I205" s="18" t="s">
        <v>60</v>
      </c>
      <c r="J205" s="21">
        <v>25200</v>
      </c>
      <c r="K205" s="91"/>
      <c r="L205" s="22">
        <v>1200</v>
      </c>
      <c r="M205" s="23"/>
      <c r="N205" s="24"/>
      <c r="U205" s="33"/>
    </row>
    <row r="206" spans="1:21" s="13" customFormat="1" ht="16.5" customHeight="1" x14ac:dyDescent="0.45">
      <c r="A206" s="14">
        <v>205</v>
      </c>
      <c r="B206" s="60">
        <v>34</v>
      </c>
      <c r="C206" s="52">
        <v>2</v>
      </c>
      <c r="D206" s="53">
        <v>2</v>
      </c>
      <c r="E206" s="54">
        <v>20</v>
      </c>
      <c r="F206" s="89" t="s">
        <v>209</v>
      </c>
      <c r="G206" s="57" t="s">
        <v>14</v>
      </c>
      <c r="H206" s="58" t="s">
        <v>199</v>
      </c>
      <c r="I206" s="18" t="s">
        <v>60</v>
      </c>
      <c r="J206" s="21">
        <v>25200</v>
      </c>
      <c r="K206" s="91"/>
      <c r="L206" s="22">
        <v>1200</v>
      </c>
      <c r="M206" s="23"/>
      <c r="N206" s="24"/>
      <c r="U206" s="33"/>
    </row>
    <row r="207" spans="1:21" s="13" customFormat="1" ht="16.5" customHeight="1" x14ac:dyDescent="0.45">
      <c r="A207" s="14">
        <v>206</v>
      </c>
      <c r="B207" s="60">
        <v>35</v>
      </c>
      <c r="C207" s="52">
        <v>2</v>
      </c>
      <c r="D207" s="53">
        <v>7</v>
      </c>
      <c r="E207" s="54">
        <v>4</v>
      </c>
      <c r="F207" s="89" t="s">
        <v>121</v>
      </c>
      <c r="G207" s="57" t="s">
        <v>14</v>
      </c>
      <c r="H207" s="58" t="s">
        <v>199</v>
      </c>
      <c r="I207" s="18" t="s">
        <v>60</v>
      </c>
      <c r="J207" s="21">
        <v>25200</v>
      </c>
      <c r="K207" s="91"/>
      <c r="L207" s="22">
        <v>1200</v>
      </c>
      <c r="M207" s="23"/>
      <c r="N207" s="24"/>
      <c r="U207" s="33"/>
    </row>
    <row r="208" spans="1:21" s="13" customFormat="1" ht="16.5" customHeight="1" x14ac:dyDescent="0.45">
      <c r="A208" s="14">
        <v>207</v>
      </c>
      <c r="B208" s="60">
        <v>36</v>
      </c>
      <c r="C208" s="52">
        <v>3</v>
      </c>
      <c r="D208" s="53">
        <v>4</v>
      </c>
      <c r="E208" s="54">
        <v>4</v>
      </c>
      <c r="F208" s="89" t="s">
        <v>123</v>
      </c>
      <c r="G208" s="57" t="s">
        <v>14</v>
      </c>
      <c r="H208" s="58" t="s">
        <v>199</v>
      </c>
      <c r="I208" s="18" t="s">
        <v>60</v>
      </c>
      <c r="J208" s="21">
        <v>25200</v>
      </c>
      <c r="K208" s="91"/>
      <c r="L208" s="22">
        <v>1200</v>
      </c>
      <c r="M208" s="23"/>
      <c r="N208" s="24"/>
      <c r="U208" s="33"/>
    </row>
    <row r="209" spans="1:21" s="13" customFormat="1" ht="16.5" customHeight="1" x14ac:dyDescent="0.45">
      <c r="A209" s="14">
        <v>208</v>
      </c>
      <c r="B209" s="60">
        <v>37</v>
      </c>
      <c r="C209" s="52">
        <v>3</v>
      </c>
      <c r="D209" s="53">
        <v>9</v>
      </c>
      <c r="E209" s="54">
        <v>5</v>
      </c>
      <c r="F209" s="89" t="s">
        <v>36</v>
      </c>
      <c r="G209" s="57" t="s">
        <v>14</v>
      </c>
      <c r="H209" s="58" t="s">
        <v>199</v>
      </c>
      <c r="I209" s="18" t="s">
        <v>60</v>
      </c>
      <c r="J209" s="21">
        <v>25200</v>
      </c>
      <c r="K209" s="91"/>
      <c r="L209" s="22">
        <v>1200</v>
      </c>
      <c r="M209" s="23"/>
      <c r="N209" s="24"/>
      <c r="U209" s="33"/>
    </row>
    <row r="210" spans="1:21" s="13" customFormat="1" ht="16.5" customHeight="1" x14ac:dyDescent="0.45">
      <c r="A210" s="14">
        <v>209</v>
      </c>
      <c r="B210" s="60">
        <v>38</v>
      </c>
      <c r="C210" s="52">
        <v>4</v>
      </c>
      <c r="D210" s="53">
        <v>3</v>
      </c>
      <c r="E210" s="54">
        <v>13</v>
      </c>
      <c r="F210" s="89" t="s">
        <v>78</v>
      </c>
      <c r="G210" s="57" t="s">
        <v>14</v>
      </c>
      <c r="H210" s="58" t="s">
        <v>199</v>
      </c>
      <c r="I210" s="18" t="s">
        <v>60</v>
      </c>
      <c r="J210" s="21">
        <v>25200</v>
      </c>
      <c r="K210" s="91"/>
      <c r="L210" s="22">
        <v>1200</v>
      </c>
      <c r="M210" s="23"/>
      <c r="N210" s="24"/>
      <c r="U210" s="33"/>
    </row>
    <row r="211" spans="1:21" s="13" customFormat="1" ht="16.5" customHeight="1" x14ac:dyDescent="0.45">
      <c r="A211" s="14">
        <v>210</v>
      </c>
      <c r="B211" s="60">
        <v>39</v>
      </c>
      <c r="C211" s="52">
        <v>4</v>
      </c>
      <c r="D211" s="53">
        <v>7</v>
      </c>
      <c r="E211" s="54">
        <v>3</v>
      </c>
      <c r="F211" s="89" t="s">
        <v>210</v>
      </c>
      <c r="G211" s="57" t="s">
        <v>14</v>
      </c>
      <c r="H211" s="58" t="s">
        <v>199</v>
      </c>
      <c r="I211" s="18" t="s">
        <v>60</v>
      </c>
      <c r="J211" s="21">
        <v>25200</v>
      </c>
      <c r="K211" s="91"/>
      <c r="L211" s="22">
        <v>1200</v>
      </c>
      <c r="M211" s="23"/>
      <c r="N211" s="24"/>
      <c r="U211" s="33"/>
    </row>
    <row r="212" spans="1:21" s="13" customFormat="1" ht="16.5" customHeight="1" x14ac:dyDescent="0.45">
      <c r="A212" s="14">
        <v>211</v>
      </c>
      <c r="B212" s="61">
        <v>40</v>
      </c>
      <c r="C212" s="92">
        <v>5</v>
      </c>
      <c r="D212" s="93">
        <v>7</v>
      </c>
      <c r="E212" s="94">
        <v>5</v>
      </c>
      <c r="F212" s="95" t="s">
        <v>211</v>
      </c>
      <c r="G212" s="96" t="s">
        <v>174</v>
      </c>
      <c r="H212" s="97" t="s">
        <v>199</v>
      </c>
      <c r="I212" s="81" t="s">
        <v>16</v>
      </c>
      <c r="J212" s="98"/>
      <c r="K212" s="99">
        <v>18900</v>
      </c>
      <c r="L212" s="100">
        <v>900</v>
      </c>
      <c r="M212" s="23"/>
      <c r="N212" s="24"/>
      <c r="U212" s="33"/>
    </row>
    <row r="213" spans="1:21" s="13" customFormat="1" ht="16.5" customHeight="1" x14ac:dyDescent="0.45">
      <c r="A213" s="14">
        <v>212</v>
      </c>
      <c r="B213" s="35">
        <v>1</v>
      </c>
      <c r="C213" s="49">
        <v>1</v>
      </c>
      <c r="D213" s="50">
        <v>2</v>
      </c>
      <c r="E213" s="51">
        <v>2</v>
      </c>
      <c r="F213" s="87" t="s">
        <v>212</v>
      </c>
      <c r="G213" s="55" t="s">
        <v>14</v>
      </c>
      <c r="H213" s="56" t="s">
        <v>213</v>
      </c>
      <c r="I213" s="39" t="s">
        <v>60</v>
      </c>
      <c r="J213" s="43">
        <v>32800</v>
      </c>
      <c r="K213" s="88"/>
      <c r="L213" s="44">
        <v>1600</v>
      </c>
      <c r="M213" s="101">
        <f>SUM(J213:K239)</f>
        <v>803600</v>
      </c>
      <c r="N213" s="24"/>
      <c r="U213" s="33"/>
    </row>
    <row r="214" spans="1:21" s="13" customFormat="1" ht="16.5" customHeight="1" x14ac:dyDescent="0.45">
      <c r="A214" s="14">
        <v>213</v>
      </c>
      <c r="B214" s="14">
        <v>2</v>
      </c>
      <c r="C214" s="52">
        <v>1</v>
      </c>
      <c r="D214" s="53">
        <v>3</v>
      </c>
      <c r="E214" s="54">
        <v>17</v>
      </c>
      <c r="F214" s="89" t="s">
        <v>214</v>
      </c>
      <c r="G214" s="57" t="s">
        <v>14</v>
      </c>
      <c r="H214" s="58" t="s">
        <v>213</v>
      </c>
      <c r="I214" s="18" t="s">
        <v>60</v>
      </c>
      <c r="J214" s="21">
        <v>32800</v>
      </c>
      <c r="K214" s="91"/>
      <c r="L214" s="22">
        <v>1600</v>
      </c>
      <c r="M214" s="102"/>
      <c r="N214" s="24"/>
      <c r="O214" s="27">
        <f>SUM(J213:K239)</f>
        <v>803600</v>
      </c>
      <c r="U214" s="33"/>
    </row>
    <row r="215" spans="1:21" s="13" customFormat="1" ht="16.5" customHeight="1" x14ac:dyDescent="0.45">
      <c r="A215" s="14">
        <v>214</v>
      </c>
      <c r="B215" s="14">
        <v>3</v>
      </c>
      <c r="C215" s="52">
        <v>1</v>
      </c>
      <c r="D215" s="53">
        <v>4</v>
      </c>
      <c r="E215" s="54">
        <v>17</v>
      </c>
      <c r="F215" s="18" t="s">
        <v>215</v>
      </c>
      <c r="G215" s="19" t="s">
        <v>14</v>
      </c>
      <c r="H215" s="20" t="s">
        <v>213</v>
      </c>
      <c r="I215" s="18" t="s">
        <v>60</v>
      </c>
      <c r="J215" s="21">
        <v>32800</v>
      </c>
      <c r="K215" s="91"/>
      <c r="L215" s="22">
        <v>1600</v>
      </c>
      <c r="M215" s="102"/>
      <c r="N215" s="24"/>
      <c r="O215" s="27">
        <f>SUM(L213:L239)</f>
        <v>39200</v>
      </c>
      <c r="U215" s="33"/>
    </row>
    <row r="216" spans="1:21" s="13" customFormat="1" ht="16.5" customHeight="1" x14ac:dyDescent="0.45">
      <c r="A216" s="14">
        <v>215</v>
      </c>
      <c r="B216" s="14">
        <v>4</v>
      </c>
      <c r="C216" s="52">
        <v>1</v>
      </c>
      <c r="D216" s="53">
        <v>5</v>
      </c>
      <c r="E216" s="54">
        <v>18</v>
      </c>
      <c r="F216" s="18" t="s">
        <v>216</v>
      </c>
      <c r="G216" s="19" t="s">
        <v>14</v>
      </c>
      <c r="H216" s="20" t="s">
        <v>213</v>
      </c>
      <c r="I216" s="28" t="s">
        <v>16</v>
      </c>
      <c r="J216" s="29">
        <v>24600</v>
      </c>
      <c r="K216" s="90"/>
      <c r="L216" s="30">
        <v>1200</v>
      </c>
      <c r="M216" s="102"/>
      <c r="N216" s="24"/>
      <c r="O216" s="27">
        <f>SUM(O214:O215)</f>
        <v>842800</v>
      </c>
      <c r="U216" s="33"/>
    </row>
    <row r="217" spans="1:21" s="13" customFormat="1" ht="16.5" customHeight="1" x14ac:dyDescent="0.45">
      <c r="A217" s="14">
        <v>216</v>
      </c>
      <c r="B217" s="14">
        <v>5</v>
      </c>
      <c r="C217" s="52">
        <v>1</v>
      </c>
      <c r="D217" s="53">
        <v>6</v>
      </c>
      <c r="E217" s="54">
        <v>15</v>
      </c>
      <c r="F217" s="18" t="s">
        <v>217</v>
      </c>
      <c r="G217" s="19" t="s">
        <v>14</v>
      </c>
      <c r="H217" s="20" t="s">
        <v>213</v>
      </c>
      <c r="I217" s="18" t="s">
        <v>60</v>
      </c>
      <c r="J217" s="21">
        <v>32800</v>
      </c>
      <c r="K217" s="91"/>
      <c r="L217" s="22">
        <v>1600</v>
      </c>
      <c r="M217" s="102"/>
      <c r="N217" s="24"/>
      <c r="U217" s="33"/>
    </row>
    <row r="218" spans="1:21" s="13" customFormat="1" ht="16.5" customHeight="1" x14ac:dyDescent="0.45">
      <c r="A218" s="14">
        <v>217</v>
      </c>
      <c r="B218" s="14">
        <v>6</v>
      </c>
      <c r="C218" s="52">
        <v>1</v>
      </c>
      <c r="D218" s="53">
        <v>8</v>
      </c>
      <c r="E218" s="54">
        <v>10</v>
      </c>
      <c r="F218" s="18" t="s">
        <v>82</v>
      </c>
      <c r="G218" s="19" t="s">
        <v>14</v>
      </c>
      <c r="H218" s="20" t="s">
        <v>213</v>
      </c>
      <c r="I218" s="18" t="s">
        <v>60</v>
      </c>
      <c r="J218" s="21">
        <v>32800</v>
      </c>
      <c r="K218" s="91"/>
      <c r="L218" s="22">
        <v>1600</v>
      </c>
      <c r="M218" s="102"/>
      <c r="N218" s="24"/>
      <c r="U218" s="33"/>
    </row>
    <row r="219" spans="1:21" s="13" customFormat="1" ht="16.5" customHeight="1" x14ac:dyDescent="0.45">
      <c r="A219" s="14">
        <v>218</v>
      </c>
      <c r="B219" s="14">
        <v>7</v>
      </c>
      <c r="C219" s="52">
        <v>2</v>
      </c>
      <c r="D219" s="53">
        <v>2</v>
      </c>
      <c r="E219" s="54">
        <v>16</v>
      </c>
      <c r="F219" s="18" t="s">
        <v>25</v>
      </c>
      <c r="G219" s="19" t="s">
        <v>14</v>
      </c>
      <c r="H219" s="20" t="s">
        <v>213</v>
      </c>
      <c r="I219" s="28" t="s">
        <v>16</v>
      </c>
      <c r="J219" s="29">
        <v>24600</v>
      </c>
      <c r="K219" s="90"/>
      <c r="L219" s="30">
        <v>1200</v>
      </c>
      <c r="M219" s="102"/>
      <c r="N219" s="24"/>
      <c r="O219" s="13">
        <v>32800</v>
      </c>
      <c r="P219" s="13">
        <v>1600</v>
      </c>
      <c r="Q219" s="13">
        <v>32800</v>
      </c>
      <c r="U219" s="33"/>
    </row>
    <row r="220" spans="1:21" s="13" customFormat="1" ht="16.5" customHeight="1" x14ac:dyDescent="0.45">
      <c r="A220" s="14">
        <v>219</v>
      </c>
      <c r="B220" s="14">
        <v>8</v>
      </c>
      <c r="C220" s="52">
        <v>2</v>
      </c>
      <c r="D220" s="53">
        <v>3</v>
      </c>
      <c r="E220" s="54">
        <v>1</v>
      </c>
      <c r="F220" s="18" t="s">
        <v>218</v>
      </c>
      <c r="G220" s="19" t="s">
        <v>14</v>
      </c>
      <c r="H220" s="20" t="s">
        <v>213</v>
      </c>
      <c r="I220" s="28" t="s">
        <v>16</v>
      </c>
      <c r="J220" s="29">
        <v>24600</v>
      </c>
      <c r="K220" s="90"/>
      <c r="L220" s="30">
        <v>1200</v>
      </c>
      <c r="M220" s="102"/>
      <c r="N220" s="24"/>
      <c r="O220" s="13">
        <f>O219*27</f>
        <v>885600</v>
      </c>
      <c r="P220" s="13">
        <f t="shared" ref="P220" si="24">P219*27</f>
        <v>43200</v>
      </c>
      <c r="Q220" s="13">
        <f>SUM(O220:P220)</f>
        <v>928800</v>
      </c>
      <c r="U220" s="33"/>
    </row>
    <row r="221" spans="1:21" s="13" customFormat="1" ht="16.5" customHeight="1" x14ac:dyDescent="0.45">
      <c r="A221" s="14">
        <v>220</v>
      </c>
      <c r="B221" s="14">
        <v>9</v>
      </c>
      <c r="C221" s="52">
        <v>2</v>
      </c>
      <c r="D221" s="53">
        <v>8</v>
      </c>
      <c r="E221" s="54">
        <v>15</v>
      </c>
      <c r="F221" s="18" t="s">
        <v>219</v>
      </c>
      <c r="G221" s="19" t="s">
        <v>14</v>
      </c>
      <c r="H221" s="20" t="s">
        <v>213</v>
      </c>
      <c r="I221" s="28" t="s">
        <v>16</v>
      </c>
      <c r="J221" s="29">
        <v>24600</v>
      </c>
      <c r="K221" s="90"/>
      <c r="L221" s="30">
        <v>1200</v>
      </c>
      <c r="M221" s="102"/>
      <c r="N221" s="24"/>
      <c r="O221" s="13">
        <v>-82000</v>
      </c>
      <c r="P221" s="13">
        <v>-4000</v>
      </c>
      <c r="Q221" s="13">
        <v>-86000</v>
      </c>
      <c r="U221" s="33"/>
    </row>
    <row r="222" spans="1:21" s="13" customFormat="1" ht="16.5" customHeight="1" x14ac:dyDescent="0.45">
      <c r="A222" s="14">
        <v>221</v>
      </c>
      <c r="B222" s="14">
        <v>10</v>
      </c>
      <c r="C222" s="52">
        <v>2</v>
      </c>
      <c r="D222" s="53">
        <v>8</v>
      </c>
      <c r="E222" s="54">
        <v>20</v>
      </c>
      <c r="F222" s="18" t="s">
        <v>220</v>
      </c>
      <c r="G222" s="19" t="s">
        <v>14</v>
      </c>
      <c r="H222" s="20" t="s">
        <v>213</v>
      </c>
      <c r="I222" s="28" t="s">
        <v>16</v>
      </c>
      <c r="J222" s="29">
        <v>24600</v>
      </c>
      <c r="K222" s="90"/>
      <c r="L222" s="30">
        <v>1200</v>
      </c>
      <c r="M222" s="102"/>
      <c r="N222" s="24"/>
      <c r="O222" s="13">
        <f>SUM(O220:O221)</f>
        <v>803600</v>
      </c>
      <c r="P222" s="13">
        <f t="shared" ref="P222:Q222" si="25">SUM(P220:P221)</f>
        <v>39200</v>
      </c>
      <c r="Q222" s="13">
        <f t="shared" si="25"/>
        <v>842800</v>
      </c>
      <c r="U222" s="33"/>
    </row>
    <row r="223" spans="1:21" s="13" customFormat="1" ht="16.5" customHeight="1" x14ac:dyDescent="0.45">
      <c r="A223" s="14">
        <v>222</v>
      </c>
      <c r="B223" s="14">
        <v>11</v>
      </c>
      <c r="C223" s="52">
        <v>2</v>
      </c>
      <c r="D223" s="53">
        <v>9</v>
      </c>
      <c r="E223" s="54">
        <v>3</v>
      </c>
      <c r="F223" s="18" t="s">
        <v>221</v>
      </c>
      <c r="G223" s="19" t="s">
        <v>14</v>
      </c>
      <c r="H223" s="20" t="s">
        <v>213</v>
      </c>
      <c r="I223" s="18" t="s">
        <v>60</v>
      </c>
      <c r="J223" s="21">
        <v>32800</v>
      </c>
      <c r="K223" s="91"/>
      <c r="L223" s="22">
        <v>1600</v>
      </c>
      <c r="M223" s="102"/>
      <c r="N223" s="24"/>
      <c r="U223" s="33"/>
    </row>
    <row r="224" spans="1:21" s="13" customFormat="1" ht="16.5" customHeight="1" x14ac:dyDescent="0.45">
      <c r="A224" s="14">
        <v>223</v>
      </c>
      <c r="B224" s="14">
        <v>12</v>
      </c>
      <c r="C224" s="52">
        <v>2</v>
      </c>
      <c r="D224" s="53">
        <v>10</v>
      </c>
      <c r="E224" s="54">
        <v>15</v>
      </c>
      <c r="F224" s="18" t="s">
        <v>222</v>
      </c>
      <c r="G224" s="19" t="s">
        <v>14</v>
      </c>
      <c r="H224" s="20" t="s">
        <v>213</v>
      </c>
      <c r="I224" s="28" t="s">
        <v>16</v>
      </c>
      <c r="J224" s="29">
        <v>24600</v>
      </c>
      <c r="K224" s="90"/>
      <c r="L224" s="30">
        <v>1200</v>
      </c>
      <c r="M224" s="102"/>
      <c r="N224" s="24"/>
      <c r="U224" s="33"/>
    </row>
    <row r="225" spans="1:21" s="13" customFormat="1" ht="16.5" customHeight="1" x14ac:dyDescent="0.45">
      <c r="A225" s="14">
        <v>224</v>
      </c>
      <c r="B225" s="14">
        <v>13</v>
      </c>
      <c r="C225" s="52">
        <v>2</v>
      </c>
      <c r="D225" s="53">
        <v>10</v>
      </c>
      <c r="E225" s="54">
        <v>16</v>
      </c>
      <c r="F225" s="18" t="s">
        <v>223</v>
      </c>
      <c r="G225" s="19" t="s">
        <v>14</v>
      </c>
      <c r="H225" s="20" t="s">
        <v>213</v>
      </c>
      <c r="I225" s="28" t="s">
        <v>16</v>
      </c>
      <c r="J225" s="29">
        <v>24600</v>
      </c>
      <c r="K225" s="90"/>
      <c r="L225" s="30">
        <v>1200</v>
      </c>
      <c r="M225" s="102"/>
      <c r="N225" s="24"/>
      <c r="U225" s="33"/>
    </row>
    <row r="226" spans="1:21" s="13" customFormat="1" ht="16.5" customHeight="1" x14ac:dyDescent="0.45">
      <c r="A226" s="14">
        <v>225</v>
      </c>
      <c r="B226" s="14">
        <v>14</v>
      </c>
      <c r="C226" s="52">
        <v>2</v>
      </c>
      <c r="D226" s="53">
        <v>11</v>
      </c>
      <c r="E226" s="54">
        <v>25</v>
      </c>
      <c r="F226" s="18" t="s">
        <v>32</v>
      </c>
      <c r="G226" s="19" t="s">
        <v>14</v>
      </c>
      <c r="H226" s="20" t="s">
        <v>213</v>
      </c>
      <c r="I226" s="28" t="s">
        <v>16</v>
      </c>
      <c r="J226" s="29">
        <v>24600</v>
      </c>
      <c r="K226" s="90"/>
      <c r="L226" s="30">
        <v>1200</v>
      </c>
      <c r="M226" s="102"/>
      <c r="N226" s="24"/>
      <c r="O226" s="13">
        <v>32800</v>
      </c>
      <c r="P226" s="13">
        <v>1600</v>
      </c>
      <c r="Q226" s="13">
        <v>32800</v>
      </c>
      <c r="U226" s="33"/>
    </row>
    <row r="227" spans="1:21" s="13" customFormat="1" ht="16.5" customHeight="1" x14ac:dyDescent="0.45">
      <c r="A227" s="14">
        <v>226</v>
      </c>
      <c r="B227" s="14">
        <v>15</v>
      </c>
      <c r="C227" s="52">
        <v>1</v>
      </c>
      <c r="D227" s="53">
        <v>1</v>
      </c>
      <c r="E227" s="54">
        <v>1</v>
      </c>
      <c r="F227" s="18" t="s">
        <v>152</v>
      </c>
      <c r="G227" s="19" t="s">
        <v>14</v>
      </c>
      <c r="H227" s="20" t="s">
        <v>224</v>
      </c>
      <c r="I227" s="18" t="s">
        <v>60</v>
      </c>
      <c r="J227" s="21">
        <v>32800</v>
      </c>
      <c r="K227" s="91"/>
      <c r="L227" s="22">
        <v>1600</v>
      </c>
      <c r="M227" s="102"/>
      <c r="N227" s="24"/>
      <c r="O227" s="13">
        <f>O226*26</f>
        <v>852800</v>
      </c>
      <c r="P227" s="13">
        <f t="shared" ref="P227" si="26">P226*26</f>
        <v>41600</v>
      </c>
      <c r="Q227" s="13">
        <f>SUM(O227:P227)</f>
        <v>894400</v>
      </c>
      <c r="U227" s="33"/>
    </row>
    <row r="228" spans="1:21" s="13" customFormat="1" ht="16.5" customHeight="1" x14ac:dyDescent="0.45">
      <c r="A228" s="14">
        <v>227</v>
      </c>
      <c r="B228" s="14">
        <v>16</v>
      </c>
      <c r="C228" s="52">
        <v>1</v>
      </c>
      <c r="D228" s="53">
        <v>2</v>
      </c>
      <c r="E228" s="54">
        <v>8</v>
      </c>
      <c r="F228" s="18" t="s">
        <v>225</v>
      </c>
      <c r="G228" s="19" t="s">
        <v>14</v>
      </c>
      <c r="H228" s="20" t="s">
        <v>224</v>
      </c>
      <c r="I228" s="18" t="s">
        <v>60</v>
      </c>
      <c r="J228" s="21">
        <v>32800</v>
      </c>
      <c r="K228" s="91"/>
      <c r="L228" s="22">
        <v>1600</v>
      </c>
      <c r="M228" s="102"/>
      <c r="N228" s="24"/>
      <c r="U228" s="33"/>
    </row>
    <row r="229" spans="1:21" s="13" customFormat="1" ht="16.5" customHeight="1" x14ac:dyDescent="0.45">
      <c r="A229" s="14">
        <v>228</v>
      </c>
      <c r="B229" s="14">
        <v>17</v>
      </c>
      <c r="C229" s="52">
        <v>1</v>
      </c>
      <c r="D229" s="53">
        <v>4</v>
      </c>
      <c r="E229" s="54">
        <v>6</v>
      </c>
      <c r="F229" s="18" t="s">
        <v>226</v>
      </c>
      <c r="G229" s="19" t="s">
        <v>14</v>
      </c>
      <c r="H229" s="20" t="s">
        <v>224</v>
      </c>
      <c r="I229" s="18" t="s">
        <v>60</v>
      </c>
      <c r="J229" s="21">
        <v>32800</v>
      </c>
      <c r="K229" s="91"/>
      <c r="L229" s="22">
        <v>1600</v>
      </c>
      <c r="M229" s="102"/>
      <c r="N229" s="24"/>
      <c r="U229" s="33"/>
    </row>
    <row r="230" spans="1:21" s="13" customFormat="1" ht="16.5" customHeight="1" x14ac:dyDescent="0.45">
      <c r="A230" s="14">
        <v>229</v>
      </c>
      <c r="B230" s="14">
        <v>18</v>
      </c>
      <c r="C230" s="52">
        <v>1</v>
      </c>
      <c r="D230" s="53">
        <v>11</v>
      </c>
      <c r="E230" s="54">
        <v>7</v>
      </c>
      <c r="F230" s="18" t="s">
        <v>227</v>
      </c>
      <c r="G230" s="19" t="s">
        <v>14</v>
      </c>
      <c r="H230" s="20" t="s">
        <v>224</v>
      </c>
      <c r="I230" s="18" t="s">
        <v>60</v>
      </c>
      <c r="J230" s="21">
        <v>32800</v>
      </c>
      <c r="K230" s="91"/>
      <c r="L230" s="22">
        <v>1600</v>
      </c>
      <c r="M230" s="102"/>
      <c r="N230" s="24"/>
      <c r="U230" s="33"/>
    </row>
    <row r="231" spans="1:21" s="13" customFormat="1" ht="16.5" customHeight="1" x14ac:dyDescent="0.45">
      <c r="A231" s="14">
        <v>230</v>
      </c>
      <c r="B231" s="14">
        <v>19</v>
      </c>
      <c r="C231" s="52">
        <v>3</v>
      </c>
      <c r="D231" s="53">
        <v>2</v>
      </c>
      <c r="E231" s="54">
        <v>18</v>
      </c>
      <c r="F231" s="18" t="s">
        <v>228</v>
      </c>
      <c r="G231" s="19" t="s">
        <v>14</v>
      </c>
      <c r="H231" s="20" t="s">
        <v>224</v>
      </c>
      <c r="I231" s="18" t="s">
        <v>60</v>
      </c>
      <c r="J231" s="21">
        <v>32800</v>
      </c>
      <c r="K231" s="91"/>
      <c r="L231" s="22">
        <v>1600</v>
      </c>
      <c r="M231" s="102"/>
      <c r="N231" s="24"/>
      <c r="O231" s="13">
        <v>32800</v>
      </c>
      <c r="P231" s="13">
        <v>1600</v>
      </c>
      <c r="Q231" s="13">
        <v>32800</v>
      </c>
      <c r="U231" s="33"/>
    </row>
    <row r="232" spans="1:21" s="13" customFormat="1" ht="16.5" customHeight="1" x14ac:dyDescent="0.45">
      <c r="A232" s="14">
        <v>231</v>
      </c>
      <c r="B232" s="14">
        <v>20</v>
      </c>
      <c r="C232" s="52">
        <v>3</v>
      </c>
      <c r="D232" s="53">
        <v>7</v>
      </c>
      <c r="E232" s="54">
        <v>24</v>
      </c>
      <c r="F232" s="18" t="s">
        <v>229</v>
      </c>
      <c r="G232" s="19" t="s">
        <v>14</v>
      </c>
      <c r="H232" s="20" t="s">
        <v>224</v>
      </c>
      <c r="I232" s="18" t="s">
        <v>60</v>
      </c>
      <c r="J232" s="21">
        <v>32800</v>
      </c>
      <c r="K232" s="91"/>
      <c r="L232" s="22">
        <v>1600</v>
      </c>
      <c r="M232" s="102"/>
      <c r="N232" s="24"/>
      <c r="O232" s="13">
        <f>O231*26</f>
        <v>852800</v>
      </c>
      <c r="P232" s="13">
        <f t="shared" ref="P232:R232" si="27">P231*26</f>
        <v>41600</v>
      </c>
      <c r="Q232" s="13">
        <f>SUM(O232:P232)</f>
        <v>894400</v>
      </c>
      <c r="R232" s="13">
        <f t="shared" si="27"/>
        <v>0</v>
      </c>
      <c r="U232" s="33"/>
    </row>
    <row r="233" spans="1:21" s="13" customFormat="1" ht="16.5" customHeight="1" x14ac:dyDescent="0.45">
      <c r="A233" s="14">
        <v>232</v>
      </c>
      <c r="B233" s="14">
        <v>21</v>
      </c>
      <c r="C233" s="52">
        <v>3</v>
      </c>
      <c r="D233" s="53">
        <v>9</v>
      </c>
      <c r="E233" s="54">
        <v>17</v>
      </c>
      <c r="F233" s="18" t="s">
        <v>230</v>
      </c>
      <c r="G233" s="19" t="s">
        <v>14</v>
      </c>
      <c r="H233" s="20" t="s">
        <v>224</v>
      </c>
      <c r="I233" s="18" t="s">
        <v>60</v>
      </c>
      <c r="J233" s="21">
        <v>32800</v>
      </c>
      <c r="K233" s="91"/>
      <c r="L233" s="22">
        <v>1600</v>
      </c>
      <c r="M233" s="102"/>
      <c r="N233" s="24"/>
      <c r="U233" s="33"/>
    </row>
    <row r="234" spans="1:21" s="13" customFormat="1" ht="16.5" customHeight="1" x14ac:dyDescent="0.45">
      <c r="A234" s="14">
        <v>233</v>
      </c>
      <c r="B234" s="14">
        <v>22</v>
      </c>
      <c r="C234" s="52">
        <v>4</v>
      </c>
      <c r="D234" s="53">
        <v>1</v>
      </c>
      <c r="E234" s="54">
        <v>6</v>
      </c>
      <c r="F234" s="18" t="s">
        <v>231</v>
      </c>
      <c r="G234" s="19" t="s">
        <v>14</v>
      </c>
      <c r="H234" s="20" t="s">
        <v>224</v>
      </c>
      <c r="I234" s="28" t="s">
        <v>16</v>
      </c>
      <c r="J234" s="29">
        <v>24600</v>
      </c>
      <c r="K234" s="90"/>
      <c r="L234" s="30">
        <v>1200</v>
      </c>
      <c r="M234" s="102"/>
      <c r="N234" s="24"/>
      <c r="R234" s="34"/>
      <c r="S234" s="34">
        <f>SUM(O222,O227,O232)</f>
        <v>2509200</v>
      </c>
      <c r="T234" s="34">
        <f>SUM(P222,P227,P232)</f>
        <v>122400</v>
      </c>
      <c r="U234" s="34">
        <f>SUM(Q222,Q227,Q232)</f>
        <v>2631600</v>
      </c>
    </row>
    <row r="235" spans="1:21" s="13" customFormat="1" ht="16.5" customHeight="1" x14ac:dyDescent="0.45">
      <c r="A235" s="14">
        <v>234</v>
      </c>
      <c r="B235" s="14">
        <v>23</v>
      </c>
      <c r="C235" s="52">
        <v>5</v>
      </c>
      <c r="D235" s="53">
        <v>2</v>
      </c>
      <c r="E235" s="54">
        <v>3</v>
      </c>
      <c r="F235" s="18" t="s">
        <v>93</v>
      </c>
      <c r="G235" s="19" t="s">
        <v>14</v>
      </c>
      <c r="H235" s="20" t="s">
        <v>224</v>
      </c>
      <c r="I235" s="18" t="s">
        <v>60</v>
      </c>
      <c r="J235" s="21">
        <v>32800</v>
      </c>
      <c r="K235" s="91"/>
      <c r="L235" s="22">
        <v>1600</v>
      </c>
      <c r="M235" s="102"/>
      <c r="N235" s="24"/>
      <c r="U235" s="33"/>
    </row>
    <row r="236" spans="1:21" s="13" customFormat="1" ht="16.5" customHeight="1" x14ac:dyDescent="0.45">
      <c r="A236" s="14">
        <v>235</v>
      </c>
      <c r="B236" s="14">
        <v>24</v>
      </c>
      <c r="C236" s="52">
        <v>5</v>
      </c>
      <c r="D236" s="53">
        <v>2</v>
      </c>
      <c r="E236" s="54">
        <v>4</v>
      </c>
      <c r="F236" s="18" t="s">
        <v>94</v>
      </c>
      <c r="G236" s="19" t="s">
        <v>14</v>
      </c>
      <c r="H236" s="20" t="s">
        <v>224</v>
      </c>
      <c r="I236" s="28" t="s">
        <v>16</v>
      </c>
      <c r="J236" s="29">
        <v>24600</v>
      </c>
      <c r="K236" s="90"/>
      <c r="L236" s="30">
        <v>1200</v>
      </c>
      <c r="M236" s="102"/>
      <c r="N236" s="24"/>
      <c r="U236" s="33"/>
    </row>
    <row r="237" spans="1:21" s="13" customFormat="1" ht="16.5" customHeight="1" x14ac:dyDescent="0.45">
      <c r="A237" s="14">
        <v>236</v>
      </c>
      <c r="B237" s="14">
        <v>25</v>
      </c>
      <c r="C237" s="52">
        <v>5</v>
      </c>
      <c r="D237" s="53">
        <v>2</v>
      </c>
      <c r="E237" s="54">
        <v>10</v>
      </c>
      <c r="F237" s="18" t="s">
        <v>232</v>
      </c>
      <c r="G237" s="19" t="s">
        <v>14</v>
      </c>
      <c r="H237" s="20" t="s">
        <v>224</v>
      </c>
      <c r="I237" s="18" t="s">
        <v>60</v>
      </c>
      <c r="J237" s="21">
        <v>32800</v>
      </c>
      <c r="K237" s="91"/>
      <c r="L237" s="22">
        <v>1600</v>
      </c>
      <c r="M237" s="102"/>
      <c r="N237" s="24"/>
      <c r="U237" s="33"/>
    </row>
    <row r="238" spans="1:21" s="13" customFormat="1" ht="16.5" customHeight="1" x14ac:dyDescent="0.45">
      <c r="A238" s="14">
        <v>237</v>
      </c>
      <c r="B238" s="14">
        <v>26</v>
      </c>
      <c r="C238" s="52">
        <v>5</v>
      </c>
      <c r="D238" s="53">
        <v>7</v>
      </c>
      <c r="E238" s="54">
        <v>9</v>
      </c>
      <c r="F238" s="89" t="s">
        <v>233</v>
      </c>
      <c r="G238" s="57" t="s">
        <v>14</v>
      </c>
      <c r="H238" s="58" t="s">
        <v>224</v>
      </c>
      <c r="I238" s="18" t="s">
        <v>60</v>
      </c>
      <c r="J238" s="21">
        <v>32800</v>
      </c>
      <c r="K238" s="91"/>
      <c r="L238" s="22">
        <v>1600</v>
      </c>
      <c r="M238" s="102"/>
      <c r="N238" s="24"/>
      <c r="U238" s="33"/>
    </row>
    <row r="239" spans="1:21" s="13" customFormat="1" ht="16.5" customHeight="1" x14ac:dyDescent="0.45">
      <c r="A239" s="14">
        <v>238</v>
      </c>
      <c r="B239" s="14">
        <v>27</v>
      </c>
      <c r="C239" s="92">
        <v>5</v>
      </c>
      <c r="D239" s="93">
        <v>7</v>
      </c>
      <c r="E239" s="94">
        <v>19</v>
      </c>
      <c r="F239" s="95" t="s">
        <v>234</v>
      </c>
      <c r="G239" s="96" t="s">
        <v>174</v>
      </c>
      <c r="H239" s="97" t="s">
        <v>224</v>
      </c>
      <c r="I239" s="81" t="s">
        <v>60</v>
      </c>
      <c r="J239" s="103"/>
      <c r="K239" s="99">
        <v>32800</v>
      </c>
      <c r="L239" s="100">
        <v>1600</v>
      </c>
      <c r="M239" s="102"/>
      <c r="N239" s="24"/>
      <c r="U239" s="33"/>
    </row>
    <row r="240" spans="1:21" s="13" customFormat="1" ht="16.5" customHeight="1" x14ac:dyDescent="0.45">
      <c r="A240" s="14">
        <v>239</v>
      </c>
      <c r="B240" s="35">
        <v>1</v>
      </c>
      <c r="C240" s="49">
        <v>1</v>
      </c>
      <c r="D240" s="50">
        <v>1</v>
      </c>
      <c r="E240" s="51">
        <v>12</v>
      </c>
      <c r="F240" s="87" t="s">
        <v>235</v>
      </c>
      <c r="G240" s="55" t="s">
        <v>14</v>
      </c>
      <c r="H240" s="56" t="s">
        <v>236</v>
      </c>
      <c r="I240" s="39" t="s">
        <v>16</v>
      </c>
      <c r="J240" s="104">
        <v>18900</v>
      </c>
      <c r="K240" s="105"/>
      <c r="L240" s="106">
        <v>900</v>
      </c>
      <c r="M240" s="45">
        <f>SUM(J240:K269)</f>
        <v>560700</v>
      </c>
      <c r="N240" s="24"/>
      <c r="U240" s="33"/>
    </row>
    <row r="241" spans="1:21" s="13" customFormat="1" ht="16.5" customHeight="1" x14ac:dyDescent="0.45">
      <c r="A241" s="14">
        <v>240</v>
      </c>
      <c r="B241" s="14">
        <v>2</v>
      </c>
      <c r="C241" s="52">
        <v>1</v>
      </c>
      <c r="D241" s="53">
        <v>2</v>
      </c>
      <c r="E241" s="54">
        <v>12</v>
      </c>
      <c r="F241" s="89" t="s">
        <v>17</v>
      </c>
      <c r="G241" s="57" t="s">
        <v>14</v>
      </c>
      <c r="H241" s="58" t="s">
        <v>236</v>
      </c>
      <c r="I241" s="18" t="s">
        <v>16</v>
      </c>
      <c r="J241" s="107">
        <v>18900</v>
      </c>
      <c r="K241" s="108"/>
      <c r="L241" s="109">
        <v>900</v>
      </c>
      <c r="M241" s="23"/>
      <c r="N241" s="24"/>
      <c r="O241" s="27">
        <f>SUM(J240:K269)</f>
        <v>560700</v>
      </c>
      <c r="U241" s="33"/>
    </row>
    <row r="242" spans="1:21" s="13" customFormat="1" ht="16.5" customHeight="1" x14ac:dyDescent="0.45">
      <c r="A242" s="14">
        <v>241</v>
      </c>
      <c r="B242" s="14">
        <v>3</v>
      </c>
      <c r="C242" s="52">
        <v>1</v>
      </c>
      <c r="D242" s="53">
        <v>6</v>
      </c>
      <c r="E242" s="54">
        <v>20</v>
      </c>
      <c r="F242" s="89" t="s">
        <v>128</v>
      </c>
      <c r="G242" s="57" t="s">
        <v>14</v>
      </c>
      <c r="H242" s="58" t="s">
        <v>236</v>
      </c>
      <c r="I242" s="18" t="s">
        <v>16</v>
      </c>
      <c r="J242" s="107">
        <v>18900</v>
      </c>
      <c r="K242" s="108"/>
      <c r="L242" s="109">
        <v>900</v>
      </c>
      <c r="M242" s="23"/>
      <c r="N242" s="24"/>
      <c r="O242" s="27">
        <f>SUM(L240:L269)</f>
        <v>26700</v>
      </c>
      <c r="U242" s="33"/>
    </row>
    <row r="243" spans="1:21" s="13" customFormat="1" ht="16.5" customHeight="1" x14ac:dyDescent="0.45">
      <c r="A243" s="14">
        <v>242</v>
      </c>
      <c r="B243" s="14">
        <v>4</v>
      </c>
      <c r="C243" s="52">
        <v>1</v>
      </c>
      <c r="D243" s="53">
        <v>8</v>
      </c>
      <c r="E243" s="54">
        <v>11</v>
      </c>
      <c r="F243" s="89" t="s">
        <v>237</v>
      </c>
      <c r="G243" s="57" t="s">
        <v>14</v>
      </c>
      <c r="H243" s="58" t="s">
        <v>236</v>
      </c>
      <c r="I243" s="18" t="s">
        <v>16</v>
      </c>
      <c r="J243" s="107">
        <v>18900</v>
      </c>
      <c r="K243" s="108"/>
      <c r="L243" s="109">
        <v>900</v>
      </c>
      <c r="M243" s="23"/>
      <c r="N243" s="24"/>
      <c r="O243" s="27">
        <f>SUM(O241:O242)</f>
        <v>587400</v>
      </c>
      <c r="U243" s="33"/>
    </row>
    <row r="244" spans="1:21" s="13" customFormat="1" ht="16.5" customHeight="1" x14ac:dyDescent="0.45">
      <c r="A244" s="14">
        <v>243</v>
      </c>
      <c r="B244" s="14">
        <v>5</v>
      </c>
      <c r="C244" s="52">
        <v>1</v>
      </c>
      <c r="D244" s="53">
        <v>8</v>
      </c>
      <c r="E244" s="54">
        <v>19</v>
      </c>
      <c r="F244" s="89" t="s">
        <v>238</v>
      </c>
      <c r="G244" s="57" t="s">
        <v>14</v>
      </c>
      <c r="H244" s="58" t="s">
        <v>236</v>
      </c>
      <c r="I244" s="18" t="s">
        <v>16</v>
      </c>
      <c r="J244" s="107">
        <v>18900</v>
      </c>
      <c r="K244" s="108"/>
      <c r="L244" s="109">
        <v>900</v>
      </c>
      <c r="M244" s="23"/>
      <c r="N244" s="24"/>
      <c r="U244" s="33"/>
    </row>
    <row r="245" spans="1:21" s="13" customFormat="1" ht="16.5" customHeight="1" x14ac:dyDescent="0.45">
      <c r="A245" s="14">
        <v>244</v>
      </c>
      <c r="B245" s="14">
        <v>6</v>
      </c>
      <c r="C245" s="52">
        <v>1</v>
      </c>
      <c r="D245" s="53">
        <v>9</v>
      </c>
      <c r="E245" s="54">
        <v>2</v>
      </c>
      <c r="F245" s="89" t="s">
        <v>239</v>
      </c>
      <c r="G245" s="57" t="s">
        <v>14</v>
      </c>
      <c r="H245" s="58" t="s">
        <v>236</v>
      </c>
      <c r="I245" s="18" t="s">
        <v>16</v>
      </c>
      <c r="J245" s="107">
        <v>18900</v>
      </c>
      <c r="K245" s="108"/>
      <c r="L245" s="109">
        <v>900</v>
      </c>
      <c r="M245" s="23"/>
      <c r="N245" s="24"/>
      <c r="U245" s="33"/>
    </row>
    <row r="246" spans="1:21" s="13" customFormat="1" ht="16.5" customHeight="1" x14ac:dyDescent="0.45">
      <c r="A246" s="14">
        <v>245</v>
      </c>
      <c r="B246" s="14">
        <v>7</v>
      </c>
      <c r="C246" s="52">
        <v>1</v>
      </c>
      <c r="D246" s="53">
        <v>11</v>
      </c>
      <c r="E246" s="54">
        <v>11</v>
      </c>
      <c r="F246" s="89" t="s">
        <v>146</v>
      </c>
      <c r="G246" s="57" t="s">
        <v>14</v>
      </c>
      <c r="H246" s="58" t="s">
        <v>236</v>
      </c>
      <c r="I246" s="18" t="s">
        <v>16</v>
      </c>
      <c r="J246" s="107">
        <v>18900</v>
      </c>
      <c r="K246" s="108"/>
      <c r="L246" s="109">
        <v>900</v>
      </c>
      <c r="M246" s="23"/>
      <c r="N246" s="24"/>
      <c r="O246" s="59">
        <v>18900</v>
      </c>
      <c r="P246" s="59">
        <v>900</v>
      </c>
      <c r="Q246" s="59">
        <v>19800</v>
      </c>
      <c r="U246" s="33"/>
    </row>
    <row r="247" spans="1:21" s="13" customFormat="1" ht="16.5" customHeight="1" x14ac:dyDescent="0.45">
      <c r="A247" s="14">
        <v>246</v>
      </c>
      <c r="B247" s="14">
        <v>8</v>
      </c>
      <c r="C247" s="52">
        <v>1</v>
      </c>
      <c r="D247" s="53">
        <v>11</v>
      </c>
      <c r="E247" s="54">
        <v>19</v>
      </c>
      <c r="F247" s="89" t="s">
        <v>115</v>
      </c>
      <c r="G247" s="57" t="s">
        <v>14</v>
      </c>
      <c r="H247" s="58" t="s">
        <v>236</v>
      </c>
      <c r="I247" s="18" t="s">
        <v>16</v>
      </c>
      <c r="J247" s="107">
        <v>18900</v>
      </c>
      <c r="K247" s="108"/>
      <c r="L247" s="109">
        <v>900</v>
      </c>
      <c r="M247" s="23"/>
      <c r="N247" s="24"/>
      <c r="O247" s="13">
        <f>O246*30</f>
        <v>567000</v>
      </c>
      <c r="P247" s="13">
        <f t="shared" ref="P247:Q247" si="28">P246*30</f>
        <v>27000</v>
      </c>
      <c r="Q247" s="13">
        <f t="shared" si="28"/>
        <v>594000</v>
      </c>
      <c r="U247" s="33"/>
    </row>
    <row r="248" spans="1:21" s="13" customFormat="1" ht="16.5" customHeight="1" x14ac:dyDescent="0.45">
      <c r="A248" s="14">
        <v>247</v>
      </c>
      <c r="B248" s="14">
        <v>9</v>
      </c>
      <c r="C248" s="52">
        <v>1</v>
      </c>
      <c r="D248" s="53">
        <v>12</v>
      </c>
      <c r="E248" s="54">
        <v>15</v>
      </c>
      <c r="F248" s="89" t="s">
        <v>240</v>
      </c>
      <c r="G248" s="57" t="s">
        <v>14</v>
      </c>
      <c r="H248" s="58" t="s">
        <v>236</v>
      </c>
      <c r="I248" s="18" t="s">
        <v>16</v>
      </c>
      <c r="J248" s="107">
        <v>18900</v>
      </c>
      <c r="K248" s="108"/>
      <c r="L248" s="109">
        <v>900</v>
      </c>
      <c r="M248" s="23"/>
      <c r="N248" s="24"/>
      <c r="O248" s="13">
        <v>-6300</v>
      </c>
      <c r="P248" s="13">
        <v>-300</v>
      </c>
      <c r="Q248" s="13">
        <v>-6600</v>
      </c>
      <c r="U248" s="33"/>
    </row>
    <row r="249" spans="1:21" s="13" customFormat="1" ht="16.5" customHeight="1" x14ac:dyDescent="0.45">
      <c r="A249" s="14">
        <v>248</v>
      </c>
      <c r="B249" s="14">
        <v>10</v>
      </c>
      <c r="C249" s="52">
        <v>1</v>
      </c>
      <c r="D249" s="53">
        <v>12</v>
      </c>
      <c r="E249" s="54">
        <v>18</v>
      </c>
      <c r="F249" s="89" t="s">
        <v>241</v>
      </c>
      <c r="G249" s="57" t="s">
        <v>14</v>
      </c>
      <c r="H249" s="58" t="s">
        <v>236</v>
      </c>
      <c r="I249" s="18" t="s">
        <v>16</v>
      </c>
      <c r="J249" s="107">
        <v>18900</v>
      </c>
      <c r="K249" s="108"/>
      <c r="L249" s="109">
        <v>900</v>
      </c>
      <c r="M249" s="23"/>
      <c r="N249" s="24"/>
      <c r="O249" s="13">
        <f>SUM(O247:O248)</f>
        <v>560700</v>
      </c>
      <c r="P249" s="13">
        <f t="shared" ref="P249:Q249" si="29">SUM(P247:P248)</f>
        <v>26700</v>
      </c>
      <c r="Q249" s="13">
        <f t="shared" si="29"/>
        <v>587400</v>
      </c>
      <c r="U249" s="33"/>
    </row>
    <row r="250" spans="1:21" s="13" customFormat="1" ht="16.5" customHeight="1" x14ac:dyDescent="0.45">
      <c r="A250" s="14">
        <v>249</v>
      </c>
      <c r="B250" s="14">
        <v>11</v>
      </c>
      <c r="C250" s="52">
        <v>2</v>
      </c>
      <c r="D250" s="53">
        <v>1</v>
      </c>
      <c r="E250" s="54">
        <v>17</v>
      </c>
      <c r="F250" s="89" t="s">
        <v>242</v>
      </c>
      <c r="G250" s="57" t="s">
        <v>14</v>
      </c>
      <c r="H250" s="58" t="s">
        <v>236</v>
      </c>
      <c r="I250" s="18" t="s">
        <v>16</v>
      </c>
      <c r="J250" s="107">
        <v>18900</v>
      </c>
      <c r="K250" s="108"/>
      <c r="L250" s="109">
        <v>900</v>
      </c>
      <c r="M250" s="23"/>
      <c r="N250" s="24"/>
      <c r="U250" s="33"/>
    </row>
    <row r="251" spans="1:21" s="13" customFormat="1" ht="16.5" customHeight="1" x14ac:dyDescent="0.45">
      <c r="A251" s="14">
        <v>250</v>
      </c>
      <c r="B251" s="14">
        <v>12</v>
      </c>
      <c r="C251" s="52">
        <v>2</v>
      </c>
      <c r="D251" s="53">
        <v>2</v>
      </c>
      <c r="E251" s="54">
        <v>11</v>
      </c>
      <c r="F251" s="89" t="s">
        <v>243</v>
      </c>
      <c r="G251" s="57" t="s">
        <v>14</v>
      </c>
      <c r="H251" s="58" t="s">
        <v>236</v>
      </c>
      <c r="I251" s="18" t="s">
        <v>16</v>
      </c>
      <c r="J251" s="107">
        <v>18900</v>
      </c>
      <c r="K251" s="108"/>
      <c r="L251" s="109">
        <v>900</v>
      </c>
      <c r="M251" s="23"/>
      <c r="N251" s="24"/>
      <c r="O251" s="59">
        <v>25200</v>
      </c>
      <c r="P251" s="59">
        <v>1200</v>
      </c>
      <c r="Q251" s="59">
        <v>26400</v>
      </c>
      <c r="U251" s="33"/>
    </row>
    <row r="252" spans="1:21" s="13" customFormat="1" ht="16.5" customHeight="1" x14ac:dyDescent="0.45">
      <c r="A252" s="14">
        <v>251</v>
      </c>
      <c r="B252" s="14">
        <v>13</v>
      </c>
      <c r="C252" s="52">
        <v>2</v>
      </c>
      <c r="D252" s="53">
        <v>2</v>
      </c>
      <c r="E252" s="54">
        <v>13</v>
      </c>
      <c r="F252" s="89" t="s">
        <v>244</v>
      </c>
      <c r="G252" s="57" t="s">
        <v>14</v>
      </c>
      <c r="H252" s="58" t="s">
        <v>236</v>
      </c>
      <c r="I252" s="18" t="s">
        <v>16</v>
      </c>
      <c r="J252" s="107">
        <v>18900</v>
      </c>
      <c r="K252" s="108"/>
      <c r="L252" s="109">
        <v>900</v>
      </c>
      <c r="M252" s="23"/>
      <c r="N252" s="24"/>
      <c r="O252" s="13">
        <f>O251*30</f>
        <v>756000</v>
      </c>
      <c r="P252" s="13">
        <f t="shared" ref="P252:Q252" si="30">P251*30</f>
        <v>36000</v>
      </c>
      <c r="Q252" s="13">
        <f t="shared" si="30"/>
        <v>792000</v>
      </c>
      <c r="U252" s="33"/>
    </row>
    <row r="253" spans="1:21" s="13" customFormat="1" ht="16.5" customHeight="1" x14ac:dyDescent="0.45">
      <c r="A253" s="14">
        <v>252</v>
      </c>
      <c r="B253" s="14">
        <v>14</v>
      </c>
      <c r="C253" s="52">
        <v>2</v>
      </c>
      <c r="D253" s="53">
        <v>8</v>
      </c>
      <c r="E253" s="54">
        <v>6</v>
      </c>
      <c r="F253" s="89" t="s">
        <v>245</v>
      </c>
      <c r="G253" s="57" t="s">
        <v>14</v>
      </c>
      <c r="H253" s="58" t="s">
        <v>236</v>
      </c>
      <c r="I253" s="18" t="s">
        <v>16</v>
      </c>
      <c r="J253" s="107">
        <v>18900</v>
      </c>
      <c r="K253" s="108"/>
      <c r="L253" s="109">
        <v>900</v>
      </c>
      <c r="M253" s="23"/>
      <c r="N253" s="24"/>
      <c r="U253" s="33"/>
    </row>
    <row r="254" spans="1:21" s="13" customFormat="1" ht="16.5" customHeight="1" x14ac:dyDescent="0.45">
      <c r="A254" s="14">
        <v>253</v>
      </c>
      <c r="B254" s="14">
        <v>15</v>
      </c>
      <c r="C254" s="52">
        <v>2</v>
      </c>
      <c r="D254" s="53">
        <v>8</v>
      </c>
      <c r="E254" s="54">
        <v>24</v>
      </c>
      <c r="F254" s="89" t="s">
        <v>246</v>
      </c>
      <c r="G254" s="57" t="s">
        <v>14</v>
      </c>
      <c r="H254" s="58" t="s">
        <v>236</v>
      </c>
      <c r="I254" s="18" t="s">
        <v>16</v>
      </c>
      <c r="J254" s="107">
        <v>18900</v>
      </c>
      <c r="K254" s="108"/>
      <c r="L254" s="109">
        <v>900</v>
      </c>
      <c r="M254" s="23"/>
      <c r="N254" s="24"/>
      <c r="O254" s="59">
        <v>25200</v>
      </c>
      <c r="P254" s="59">
        <v>1200</v>
      </c>
      <c r="Q254" s="59">
        <v>26400</v>
      </c>
      <c r="U254" s="33"/>
    </row>
    <row r="255" spans="1:21" s="13" customFormat="1" ht="16.5" customHeight="1" x14ac:dyDescent="0.45">
      <c r="A255" s="14">
        <v>254</v>
      </c>
      <c r="B255" s="14">
        <v>16</v>
      </c>
      <c r="C255" s="52">
        <v>2</v>
      </c>
      <c r="D255" s="53">
        <v>9</v>
      </c>
      <c r="E255" s="54">
        <v>11</v>
      </c>
      <c r="F255" s="89" t="s">
        <v>247</v>
      </c>
      <c r="G255" s="57" t="s">
        <v>14</v>
      </c>
      <c r="H255" s="58" t="s">
        <v>236</v>
      </c>
      <c r="I255" s="18" t="s">
        <v>16</v>
      </c>
      <c r="J255" s="107">
        <v>18900</v>
      </c>
      <c r="K255" s="108"/>
      <c r="L255" s="109">
        <v>900</v>
      </c>
      <c r="M255" s="23"/>
      <c r="N255" s="24"/>
      <c r="O255" s="13">
        <f>O254*30</f>
        <v>756000</v>
      </c>
      <c r="P255" s="13">
        <f t="shared" ref="P255:Q255" si="31">P254*30</f>
        <v>36000</v>
      </c>
      <c r="Q255" s="13">
        <f t="shared" si="31"/>
        <v>792000</v>
      </c>
      <c r="U255" s="33"/>
    </row>
    <row r="256" spans="1:21" s="13" customFormat="1" ht="16.5" customHeight="1" x14ac:dyDescent="0.45">
      <c r="A256" s="14">
        <v>255</v>
      </c>
      <c r="B256" s="14">
        <v>17</v>
      </c>
      <c r="C256" s="52">
        <v>2</v>
      </c>
      <c r="D256" s="53">
        <v>10</v>
      </c>
      <c r="E256" s="54">
        <v>9</v>
      </c>
      <c r="F256" s="89" t="s">
        <v>248</v>
      </c>
      <c r="G256" s="57" t="s">
        <v>14</v>
      </c>
      <c r="H256" s="58" t="s">
        <v>236</v>
      </c>
      <c r="I256" s="18" t="s">
        <v>16</v>
      </c>
      <c r="J256" s="107">
        <v>18900</v>
      </c>
      <c r="K256" s="108"/>
      <c r="L256" s="109">
        <v>900</v>
      </c>
      <c r="M256" s="23"/>
      <c r="N256" s="24"/>
      <c r="U256" s="33"/>
    </row>
    <row r="257" spans="1:21" s="13" customFormat="1" ht="16.5" customHeight="1" x14ac:dyDescent="0.45">
      <c r="A257" s="14">
        <v>256</v>
      </c>
      <c r="B257" s="14">
        <v>18</v>
      </c>
      <c r="C257" s="52">
        <v>3</v>
      </c>
      <c r="D257" s="53">
        <v>4</v>
      </c>
      <c r="E257" s="54">
        <v>6</v>
      </c>
      <c r="F257" s="89" t="s">
        <v>249</v>
      </c>
      <c r="G257" s="57" t="s">
        <v>14</v>
      </c>
      <c r="H257" s="58" t="s">
        <v>250</v>
      </c>
      <c r="I257" s="18" t="s">
        <v>16</v>
      </c>
      <c r="J257" s="107">
        <v>18900</v>
      </c>
      <c r="K257" s="108"/>
      <c r="L257" s="109">
        <v>900</v>
      </c>
      <c r="M257" s="23"/>
      <c r="N257" s="24"/>
      <c r="U257" s="33"/>
    </row>
    <row r="258" spans="1:21" s="13" customFormat="1" ht="16.5" customHeight="1" x14ac:dyDescent="0.45">
      <c r="A258" s="14">
        <v>257</v>
      </c>
      <c r="B258" s="14">
        <v>19</v>
      </c>
      <c r="C258" s="52">
        <v>4</v>
      </c>
      <c r="D258" s="53">
        <v>5</v>
      </c>
      <c r="E258" s="54">
        <v>21</v>
      </c>
      <c r="F258" s="89" t="s">
        <v>251</v>
      </c>
      <c r="G258" s="57" t="s">
        <v>14</v>
      </c>
      <c r="H258" s="58" t="s">
        <v>250</v>
      </c>
      <c r="I258" s="18" t="s">
        <v>16</v>
      </c>
      <c r="J258" s="107">
        <v>18900</v>
      </c>
      <c r="K258" s="108"/>
      <c r="L258" s="109">
        <v>900</v>
      </c>
      <c r="M258" s="23"/>
      <c r="N258" s="24"/>
      <c r="S258" s="34">
        <f>SUM(O249,O252,O255)</f>
        <v>2072700</v>
      </c>
      <c r="T258" s="34">
        <f>SUM(P249,P252,P255)</f>
        <v>98700</v>
      </c>
      <c r="U258" s="34">
        <f>SUM(Q249,Q252,Q255)</f>
        <v>2171400</v>
      </c>
    </row>
    <row r="259" spans="1:21" s="13" customFormat="1" ht="16.5" customHeight="1" x14ac:dyDescent="0.45">
      <c r="A259" s="14">
        <v>258</v>
      </c>
      <c r="B259" s="14">
        <v>20</v>
      </c>
      <c r="C259" s="52">
        <v>5</v>
      </c>
      <c r="D259" s="53">
        <v>1</v>
      </c>
      <c r="E259" s="54">
        <v>9</v>
      </c>
      <c r="F259" s="89" t="s">
        <v>252</v>
      </c>
      <c r="G259" s="57" t="s">
        <v>14</v>
      </c>
      <c r="H259" s="58" t="s">
        <v>250</v>
      </c>
      <c r="I259" s="18" t="s">
        <v>16</v>
      </c>
      <c r="J259" s="107">
        <v>18900</v>
      </c>
      <c r="K259" s="108"/>
      <c r="L259" s="109">
        <v>900</v>
      </c>
      <c r="M259" s="23"/>
      <c r="N259" s="24"/>
      <c r="U259" s="33"/>
    </row>
    <row r="260" spans="1:21" s="13" customFormat="1" ht="16.5" customHeight="1" x14ac:dyDescent="0.45">
      <c r="A260" s="14">
        <v>259</v>
      </c>
      <c r="B260" s="14">
        <v>21</v>
      </c>
      <c r="C260" s="52">
        <v>5</v>
      </c>
      <c r="D260" s="53">
        <v>1</v>
      </c>
      <c r="E260" s="54">
        <v>21</v>
      </c>
      <c r="F260" s="89" t="s">
        <v>253</v>
      </c>
      <c r="G260" s="57" t="s">
        <v>14</v>
      </c>
      <c r="H260" s="58" t="s">
        <v>250</v>
      </c>
      <c r="I260" s="18" t="s">
        <v>16</v>
      </c>
      <c r="J260" s="107">
        <v>18900</v>
      </c>
      <c r="K260" s="108"/>
      <c r="L260" s="109">
        <v>900</v>
      </c>
      <c r="M260" s="23"/>
      <c r="N260" s="24"/>
      <c r="U260" s="33"/>
    </row>
    <row r="261" spans="1:21" s="13" customFormat="1" ht="16.5" customHeight="1" x14ac:dyDescent="0.45">
      <c r="A261" s="14">
        <v>260</v>
      </c>
      <c r="B261" s="14">
        <v>22</v>
      </c>
      <c r="C261" s="52">
        <v>5</v>
      </c>
      <c r="D261" s="53">
        <v>4</v>
      </c>
      <c r="E261" s="54">
        <v>5</v>
      </c>
      <c r="F261" s="89" t="s">
        <v>254</v>
      </c>
      <c r="G261" s="57" t="s">
        <v>14</v>
      </c>
      <c r="H261" s="58" t="s">
        <v>250</v>
      </c>
      <c r="I261" s="18" t="s">
        <v>16</v>
      </c>
      <c r="J261" s="107">
        <v>18900</v>
      </c>
      <c r="K261" s="108"/>
      <c r="L261" s="109">
        <v>900</v>
      </c>
      <c r="M261" s="23"/>
      <c r="N261" s="24"/>
      <c r="U261" s="33"/>
    </row>
    <row r="262" spans="1:21" s="13" customFormat="1" ht="16.5" customHeight="1" x14ac:dyDescent="0.45">
      <c r="A262" s="14">
        <v>261</v>
      </c>
      <c r="B262" s="14">
        <v>23</v>
      </c>
      <c r="C262" s="52">
        <v>5</v>
      </c>
      <c r="D262" s="53">
        <v>5</v>
      </c>
      <c r="E262" s="54">
        <v>1</v>
      </c>
      <c r="F262" s="89" t="s">
        <v>255</v>
      </c>
      <c r="G262" s="57" t="s">
        <v>14</v>
      </c>
      <c r="H262" s="58" t="s">
        <v>250</v>
      </c>
      <c r="I262" s="18" t="s">
        <v>16</v>
      </c>
      <c r="J262" s="107">
        <v>18900</v>
      </c>
      <c r="K262" s="108"/>
      <c r="L262" s="109">
        <v>900</v>
      </c>
      <c r="M262" s="23"/>
      <c r="N262" s="24"/>
      <c r="U262" s="33"/>
    </row>
    <row r="263" spans="1:21" s="13" customFormat="1" ht="16.5" customHeight="1" x14ac:dyDescent="0.45">
      <c r="A263" s="14">
        <v>262</v>
      </c>
      <c r="B263" s="14">
        <v>24</v>
      </c>
      <c r="C263" s="52">
        <v>5</v>
      </c>
      <c r="D263" s="53">
        <v>5</v>
      </c>
      <c r="E263" s="54">
        <v>12</v>
      </c>
      <c r="F263" s="89" t="s">
        <v>256</v>
      </c>
      <c r="G263" s="57" t="s">
        <v>14</v>
      </c>
      <c r="H263" s="58" t="s">
        <v>250</v>
      </c>
      <c r="I263" s="18" t="s">
        <v>16</v>
      </c>
      <c r="J263" s="107">
        <v>18900</v>
      </c>
      <c r="K263" s="108"/>
      <c r="L263" s="109">
        <v>900</v>
      </c>
      <c r="M263" s="23"/>
      <c r="N263" s="24"/>
      <c r="U263" s="33"/>
    </row>
    <row r="264" spans="1:21" s="13" customFormat="1" ht="16.5" customHeight="1" x14ac:dyDescent="0.45">
      <c r="A264" s="14">
        <v>263</v>
      </c>
      <c r="B264" s="14">
        <v>25</v>
      </c>
      <c r="C264" s="52">
        <v>5</v>
      </c>
      <c r="D264" s="53">
        <v>5</v>
      </c>
      <c r="E264" s="54">
        <v>14</v>
      </c>
      <c r="F264" s="89" t="s">
        <v>257</v>
      </c>
      <c r="G264" s="57" t="s">
        <v>14</v>
      </c>
      <c r="H264" s="58" t="s">
        <v>250</v>
      </c>
      <c r="I264" s="18" t="s">
        <v>16</v>
      </c>
      <c r="J264" s="107">
        <v>18900</v>
      </c>
      <c r="K264" s="108"/>
      <c r="L264" s="109">
        <v>900</v>
      </c>
      <c r="M264" s="23"/>
      <c r="N264" s="24"/>
      <c r="U264" s="33"/>
    </row>
    <row r="265" spans="1:21" s="13" customFormat="1" ht="16.5" customHeight="1" x14ac:dyDescent="0.45">
      <c r="A265" s="14">
        <v>264</v>
      </c>
      <c r="B265" s="14">
        <v>26</v>
      </c>
      <c r="C265" s="52">
        <v>5</v>
      </c>
      <c r="D265" s="53">
        <v>5</v>
      </c>
      <c r="E265" s="54">
        <v>18</v>
      </c>
      <c r="F265" s="89" t="s">
        <v>127</v>
      </c>
      <c r="G265" s="57" t="s">
        <v>14</v>
      </c>
      <c r="H265" s="58" t="s">
        <v>250</v>
      </c>
      <c r="I265" s="18" t="s">
        <v>16</v>
      </c>
      <c r="J265" s="107">
        <v>18900</v>
      </c>
      <c r="K265" s="108"/>
      <c r="L265" s="109">
        <v>900</v>
      </c>
      <c r="M265" s="23"/>
      <c r="N265" s="24"/>
      <c r="U265" s="33"/>
    </row>
    <row r="266" spans="1:21" s="13" customFormat="1" ht="16.5" customHeight="1" x14ac:dyDescent="0.45">
      <c r="A266" s="14">
        <v>265</v>
      </c>
      <c r="B266" s="14">
        <v>27</v>
      </c>
      <c r="C266" s="52">
        <v>5</v>
      </c>
      <c r="D266" s="53">
        <v>6</v>
      </c>
      <c r="E266" s="54">
        <v>22</v>
      </c>
      <c r="F266" s="89" t="s">
        <v>258</v>
      </c>
      <c r="G266" s="57" t="s">
        <v>14</v>
      </c>
      <c r="H266" s="58" t="s">
        <v>250</v>
      </c>
      <c r="I266" s="18" t="s">
        <v>16</v>
      </c>
      <c r="J266" s="107">
        <v>18900</v>
      </c>
      <c r="K266" s="108"/>
      <c r="L266" s="109">
        <v>900</v>
      </c>
      <c r="M266" s="23"/>
      <c r="N266" s="24"/>
      <c r="U266" s="33"/>
    </row>
    <row r="267" spans="1:21" s="13" customFormat="1" ht="16.5" customHeight="1" x14ac:dyDescent="0.45">
      <c r="A267" s="14">
        <v>266</v>
      </c>
      <c r="B267" s="14">
        <v>28</v>
      </c>
      <c r="C267" s="52">
        <v>5</v>
      </c>
      <c r="D267" s="53">
        <v>7</v>
      </c>
      <c r="E267" s="54">
        <v>16</v>
      </c>
      <c r="F267" s="89" t="s">
        <v>259</v>
      </c>
      <c r="G267" s="57" t="s">
        <v>14</v>
      </c>
      <c r="H267" s="58" t="s">
        <v>250</v>
      </c>
      <c r="I267" s="28" t="s">
        <v>21</v>
      </c>
      <c r="J267" s="29">
        <v>12600</v>
      </c>
      <c r="K267" s="73"/>
      <c r="L267" s="74">
        <v>600</v>
      </c>
      <c r="M267" s="23"/>
      <c r="N267" s="24"/>
      <c r="U267" s="33"/>
    </row>
    <row r="268" spans="1:21" s="13" customFormat="1" ht="16.5" customHeight="1" x14ac:dyDescent="0.45">
      <c r="A268" s="14">
        <v>267</v>
      </c>
      <c r="B268" s="14">
        <v>29</v>
      </c>
      <c r="C268" s="52">
        <v>5</v>
      </c>
      <c r="D268" s="53">
        <v>7</v>
      </c>
      <c r="E268" s="54">
        <v>21</v>
      </c>
      <c r="F268" s="89" t="s">
        <v>260</v>
      </c>
      <c r="G268" s="57" t="s">
        <v>14</v>
      </c>
      <c r="H268" s="58" t="s">
        <v>250</v>
      </c>
      <c r="I268" s="18" t="s">
        <v>16</v>
      </c>
      <c r="J268" s="107">
        <v>18900</v>
      </c>
      <c r="K268" s="108"/>
      <c r="L268" s="109">
        <v>900</v>
      </c>
      <c r="M268" s="23"/>
      <c r="N268" s="24"/>
      <c r="U268" s="33"/>
    </row>
    <row r="269" spans="1:21" s="13" customFormat="1" ht="16.5" customHeight="1" x14ac:dyDescent="0.45">
      <c r="A269" s="14">
        <v>268</v>
      </c>
      <c r="B269" s="14">
        <v>30</v>
      </c>
      <c r="C269" s="52">
        <v>6</v>
      </c>
      <c r="D269" s="53">
        <v>5</v>
      </c>
      <c r="E269" s="54">
        <v>3</v>
      </c>
      <c r="F269" s="89" t="s">
        <v>261</v>
      </c>
      <c r="G269" s="57" t="s">
        <v>14</v>
      </c>
      <c r="H269" s="58" t="s">
        <v>250</v>
      </c>
      <c r="I269" s="18" t="s">
        <v>16</v>
      </c>
      <c r="J269" s="107">
        <v>18900</v>
      </c>
      <c r="K269" s="108"/>
      <c r="L269" s="109">
        <v>900</v>
      </c>
      <c r="M269" s="23"/>
      <c r="N269" s="24"/>
      <c r="U269" s="33"/>
    </row>
    <row r="270" spans="1:21" s="13" customFormat="1" ht="16.5" customHeight="1" x14ac:dyDescent="0.45">
      <c r="A270" s="14">
        <v>269</v>
      </c>
      <c r="B270" s="35">
        <v>1</v>
      </c>
      <c r="C270" s="49">
        <v>4</v>
      </c>
      <c r="D270" s="50">
        <v>2</v>
      </c>
      <c r="E270" s="51">
        <v>3</v>
      </c>
      <c r="F270" s="87" t="s">
        <v>262</v>
      </c>
      <c r="G270" s="55" t="s">
        <v>14</v>
      </c>
      <c r="H270" s="56" t="s">
        <v>263</v>
      </c>
      <c r="I270" s="39" t="s">
        <v>60</v>
      </c>
      <c r="J270" s="43">
        <v>25200</v>
      </c>
      <c r="K270" s="70"/>
      <c r="L270" s="71">
        <v>1200</v>
      </c>
      <c r="M270" s="45">
        <f>SUM(J270:K290)</f>
        <v>459900</v>
      </c>
      <c r="N270" s="24"/>
      <c r="O270" s="27">
        <f>SUM(J270:K290)</f>
        <v>459900</v>
      </c>
      <c r="U270" s="33"/>
    </row>
    <row r="271" spans="1:21" s="13" customFormat="1" ht="16.5" customHeight="1" x14ac:dyDescent="0.45">
      <c r="A271" s="14">
        <v>270</v>
      </c>
      <c r="B271" s="14">
        <v>2</v>
      </c>
      <c r="C271" s="52">
        <v>4</v>
      </c>
      <c r="D271" s="53">
        <v>3</v>
      </c>
      <c r="E271" s="54">
        <v>3</v>
      </c>
      <c r="F271" s="89" t="s">
        <v>264</v>
      </c>
      <c r="G271" s="57" t="s">
        <v>14</v>
      </c>
      <c r="H271" s="58" t="s">
        <v>263</v>
      </c>
      <c r="I271" s="18" t="s">
        <v>60</v>
      </c>
      <c r="J271" s="21">
        <v>25200</v>
      </c>
      <c r="K271" s="76"/>
      <c r="L271" s="77">
        <v>1200</v>
      </c>
      <c r="M271" s="23"/>
      <c r="N271" s="24"/>
      <c r="O271" s="27">
        <f>SUM(L270:L290)</f>
        <v>21900</v>
      </c>
      <c r="U271" s="33"/>
    </row>
    <row r="272" spans="1:21" s="13" customFormat="1" ht="16.5" customHeight="1" x14ac:dyDescent="0.45">
      <c r="A272" s="14">
        <v>271</v>
      </c>
      <c r="B272" s="14">
        <v>3</v>
      </c>
      <c r="C272" s="52">
        <v>4</v>
      </c>
      <c r="D272" s="53">
        <v>3</v>
      </c>
      <c r="E272" s="54">
        <v>14</v>
      </c>
      <c r="F272" s="18" t="s">
        <v>265</v>
      </c>
      <c r="G272" s="19" t="s">
        <v>14</v>
      </c>
      <c r="H272" s="20" t="s">
        <v>263</v>
      </c>
      <c r="I272" s="28" t="s">
        <v>16</v>
      </c>
      <c r="J272" s="29">
        <v>18900</v>
      </c>
      <c r="K272" s="73"/>
      <c r="L272" s="74">
        <v>900</v>
      </c>
      <c r="M272" s="23"/>
      <c r="N272" s="24"/>
      <c r="O272" s="27">
        <f>SUM(O270:O271)</f>
        <v>481800</v>
      </c>
      <c r="U272" s="33"/>
    </row>
    <row r="273" spans="1:21" s="13" customFormat="1" ht="16.5" customHeight="1" x14ac:dyDescent="0.45">
      <c r="A273" s="14">
        <v>272</v>
      </c>
      <c r="B273" s="14">
        <v>4</v>
      </c>
      <c r="C273" s="52">
        <v>4</v>
      </c>
      <c r="D273" s="53">
        <v>4</v>
      </c>
      <c r="E273" s="54">
        <v>9</v>
      </c>
      <c r="F273" s="18" t="s">
        <v>266</v>
      </c>
      <c r="G273" s="19" t="s">
        <v>14</v>
      </c>
      <c r="H273" s="20" t="s">
        <v>263</v>
      </c>
      <c r="I273" s="18" t="s">
        <v>60</v>
      </c>
      <c r="J273" s="21">
        <v>25200</v>
      </c>
      <c r="K273" s="76"/>
      <c r="L273" s="77">
        <v>1200</v>
      </c>
      <c r="M273" s="23"/>
      <c r="N273" s="24"/>
      <c r="U273" s="33"/>
    </row>
    <row r="274" spans="1:21" s="13" customFormat="1" ht="16.5" customHeight="1" x14ac:dyDescent="0.45">
      <c r="A274" s="14">
        <v>273</v>
      </c>
      <c r="B274" s="14">
        <v>5</v>
      </c>
      <c r="C274" s="52">
        <v>5</v>
      </c>
      <c r="D274" s="53">
        <v>1</v>
      </c>
      <c r="E274" s="54">
        <v>24</v>
      </c>
      <c r="F274" s="18" t="s">
        <v>267</v>
      </c>
      <c r="G274" s="19" t="s">
        <v>14</v>
      </c>
      <c r="H274" s="20" t="s">
        <v>263</v>
      </c>
      <c r="I274" s="28" t="s">
        <v>21</v>
      </c>
      <c r="J274" s="29">
        <v>12600</v>
      </c>
      <c r="K274" s="73"/>
      <c r="L274" s="74">
        <v>600</v>
      </c>
      <c r="M274" s="23"/>
      <c r="N274" s="24"/>
      <c r="U274" s="33"/>
    </row>
    <row r="275" spans="1:21" s="13" customFormat="1" ht="16.5" customHeight="1" x14ac:dyDescent="0.45">
      <c r="A275" s="14">
        <v>274</v>
      </c>
      <c r="B275" s="14">
        <v>6</v>
      </c>
      <c r="C275" s="52">
        <v>5</v>
      </c>
      <c r="D275" s="53">
        <v>2</v>
      </c>
      <c r="E275" s="54">
        <v>11</v>
      </c>
      <c r="F275" s="18" t="s">
        <v>268</v>
      </c>
      <c r="G275" s="19" t="s">
        <v>14</v>
      </c>
      <c r="H275" s="20" t="s">
        <v>263</v>
      </c>
      <c r="I275" s="18" t="s">
        <v>60</v>
      </c>
      <c r="J275" s="21">
        <v>25200</v>
      </c>
      <c r="K275" s="76"/>
      <c r="L275" s="77">
        <v>1200</v>
      </c>
      <c r="M275" s="23"/>
      <c r="N275" s="24"/>
      <c r="O275" s="59">
        <v>25200</v>
      </c>
      <c r="P275" s="59">
        <v>1200</v>
      </c>
      <c r="Q275" s="59">
        <v>26400</v>
      </c>
      <c r="U275" s="33"/>
    </row>
    <row r="276" spans="1:21" s="13" customFormat="1" ht="16.5" customHeight="1" x14ac:dyDescent="0.45">
      <c r="A276" s="14">
        <v>275</v>
      </c>
      <c r="B276" s="14">
        <v>7</v>
      </c>
      <c r="C276" s="52">
        <v>5</v>
      </c>
      <c r="D276" s="53">
        <v>2</v>
      </c>
      <c r="E276" s="54">
        <v>16</v>
      </c>
      <c r="F276" s="18" t="s">
        <v>269</v>
      </c>
      <c r="G276" s="19" t="s">
        <v>14</v>
      </c>
      <c r="H276" s="20" t="s">
        <v>263</v>
      </c>
      <c r="I276" s="18" t="s">
        <v>60</v>
      </c>
      <c r="J276" s="21">
        <v>25200</v>
      </c>
      <c r="K276" s="76"/>
      <c r="L276" s="77">
        <v>1200</v>
      </c>
      <c r="M276" s="23"/>
      <c r="N276" s="24"/>
      <c r="O276" s="13">
        <f>O275*22</f>
        <v>554400</v>
      </c>
      <c r="P276" s="13">
        <f t="shared" ref="P276:Q276" si="32">P275*22</f>
        <v>26400</v>
      </c>
      <c r="Q276" s="13">
        <f t="shared" si="32"/>
        <v>580800</v>
      </c>
      <c r="U276" s="33"/>
    </row>
    <row r="277" spans="1:21" s="13" customFormat="1" ht="16.5" customHeight="1" x14ac:dyDescent="0.45">
      <c r="A277" s="14">
        <v>276</v>
      </c>
      <c r="B277" s="14">
        <v>8</v>
      </c>
      <c r="C277" s="52">
        <v>5</v>
      </c>
      <c r="D277" s="53">
        <v>3</v>
      </c>
      <c r="E277" s="54">
        <v>14</v>
      </c>
      <c r="F277" s="18" t="s">
        <v>270</v>
      </c>
      <c r="G277" s="19" t="s">
        <v>14</v>
      </c>
      <c r="H277" s="20" t="s">
        <v>263</v>
      </c>
      <c r="I277" s="18" t="s">
        <v>60</v>
      </c>
      <c r="J277" s="21">
        <v>25200</v>
      </c>
      <c r="K277" s="76"/>
      <c r="L277" s="77">
        <v>1200</v>
      </c>
      <c r="M277" s="23"/>
      <c r="N277" s="24"/>
      <c r="O277" s="13">
        <v>-94500</v>
      </c>
      <c r="P277" s="13">
        <v>-4500</v>
      </c>
      <c r="Q277" s="13">
        <v>-99000</v>
      </c>
      <c r="U277" s="33"/>
    </row>
    <row r="278" spans="1:21" s="13" customFormat="1" ht="16.5" customHeight="1" x14ac:dyDescent="0.45">
      <c r="A278" s="14">
        <v>277</v>
      </c>
      <c r="B278" s="14">
        <v>9</v>
      </c>
      <c r="C278" s="52">
        <v>5</v>
      </c>
      <c r="D278" s="53">
        <v>3</v>
      </c>
      <c r="E278" s="54">
        <v>24</v>
      </c>
      <c r="F278" s="18" t="s">
        <v>271</v>
      </c>
      <c r="G278" s="19" t="s">
        <v>14</v>
      </c>
      <c r="H278" s="20" t="s">
        <v>263</v>
      </c>
      <c r="I278" s="28" t="s">
        <v>16</v>
      </c>
      <c r="J278" s="29">
        <v>18900</v>
      </c>
      <c r="K278" s="73"/>
      <c r="L278" s="74">
        <v>900</v>
      </c>
      <c r="M278" s="23"/>
      <c r="N278" s="24"/>
      <c r="O278" s="13">
        <f>SUM(O276:O277)</f>
        <v>459900</v>
      </c>
      <c r="P278" s="13">
        <f t="shared" ref="P278:Q278" si="33">SUM(P276:P277)</f>
        <v>21900</v>
      </c>
      <c r="Q278" s="13">
        <f t="shared" si="33"/>
        <v>481800</v>
      </c>
      <c r="U278" s="33"/>
    </row>
    <row r="279" spans="1:21" s="13" customFormat="1" ht="16.5" customHeight="1" x14ac:dyDescent="0.45">
      <c r="A279" s="14">
        <v>278</v>
      </c>
      <c r="B279" s="14">
        <v>10</v>
      </c>
      <c r="C279" s="52">
        <v>5</v>
      </c>
      <c r="D279" s="53">
        <v>4</v>
      </c>
      <c r="E279" s="54">
        <v>1</v>
      </c>
      <c r="F279" s="18" t="s">
        <v>125</v>
      </c>
      <c r="G279" s="19" t="s">
        <v>14</v>
      </c>
      <c r="H279" s="20" t="s">
        <v>263</v>
      </c>
      <c r="I279" s="18" t="s">
        <v>60</v>
      </c>
      <c r="J279" s="21">
        <v>25200</v>
      </c>
      <c r="K279" s="76"/>
      <c r="L279" s="77">
        <v>1200</v>
      </c>
      <c r="M279" s="23"/>
      <c r="N279" s="24"/>
      <c r="U279" s="33"/>
    </row>
    <row r="280" spans="1:21" s="13" customFormat="1" ht="16.5" customHeight="1" x14ac:dyDescent="0.45">
      <c r="A280" s="14">
        <v>279</v>
      </c>
      <c r="B280" s="14">
        <v>11</v>
      </c>
      <c r="C280" s="52">
        <v>5</v>
      </c>
      <c r="D280" s="53">
        <v>4</v>
      </c>
      <c r="E280" s="54">
        <v>8</v>
      </c>
      <c r="F280" s="18" t="s">
        <v>272</v>
      </c>
      <c r="G280" s="19" t="s">
        <v>14</v>
      </c>
      <c r="H280" s="20" t="s">
        <v>263</v>
      </c>
      <c r="I280" s="18" t="s">
        <v>60</v>
      </c>
      <c r="J280" s="21">
        <v>25200</v>
      </c>
      <c r="K280" s="76"/>
      <c r="L280" s="77">
        <v>1200</v>
      </c>
      <c r="M280" s="23"/>
      <c r="N280" s="24"/>
      <c r="U280" s="33"/>
    </row>
    <row r="281" spans="1:21" s="13" customFormat="1" ht="16.5" customHeight="1" x14ac:dyDescent="0.45">
      <c r="A281" s="14">
        <v>280</v>
      </c>
      <c r="B281" s="14">
        <v>12</v>
      </c>
      <c r="C281" s="52">
        <v>5</v>
      </c>
      <c r="D281" s="53">
        <v>4</v>
      </c>
      <c r="E281" s="54">
        <v>11</v>
      </c>
      <c r="F281" s="18" t="s">
        <v>273</v>
      </c>
      <c r="G281" s="19" t="s">
        <v>14</v>
      </c>
      <c r="H281" s="20" t="s">
        <v>263</v>
      </c>
      <c r="I281" s="28" t="s">
        <v>16</v>
      </c>
      <c r="J281" s="29">
        <v>18900</v>
      </c>
      <c r="K281" s="73"/>
      <c r="L281" s="74">
        <v>900</v>
      </c>
      <c r="M281" s="23"/>
      <c r="N281" s="24"/>
      <c r="O281" s="59">
        <v>25200</v>
      </c>
      <c r="P281" s="59">
        <v>1200</v>
      </c>
      <c r="Q281" s="59">
        <v>26400</v>
      </c>
      <c r="U281" s="33"/>
    </row>
    <row r="282" spans="1:21" s="13" customFormat="1" ht="16.5" customHeight="1" x14ac:dyDescent="0.45">
      <c r="A282" s="14">
        <v>281</v>
      </c>
      <c r="B282" s="14">
        <v>13</v>
      </c>
      <c r="C282" s="52">
        <v>5</v>
      </c>
      <c r="D282" s="53">
        <v>4</v>
      </c>
      <c r="E282" s="54">
        <v>14</v>
      </c>
      <c r="F282" s="18" t="s">
        <v>126</v>
      </c>
      <c r="G282" s="19" t="s">
        <v>14</v>
      </c>
      <c r="H282" s="20" t="s">
        <v>263</v>
      </c>
      <c r="I282" s="28" t="s">
        <v>16</v>
      </c>
      <c r="J282" s="29">
        <v>18900</v>
      </c>
      <c r="K282" s="73"/>
      <c r="L282" s="74">
        <v>900</v>
      </c>
      <c r="M282" s="23"/>
      <c r="N282" s="24"/>
      <c r="O282" s="13">
        <f>O281*22</f>
        <v>554400</v>
      </c>
      <c r="P282" s="13">
        <f t="shared" ref="P282:Q282" si="34">P281*22</f>
        <v>26400</v>
      </c>
      <c r="Q282" s="13">
        <f t="shared" si="34"/>
        <v>580800</v>
      </c>
      <c r="U282" s="33"/>
    </row>
    <row r="283" spans="1:21" s="13" customFormat="1" ht="16.5" customHeight="1" x14ac:dyDescent="0.45">
      <c r="A283" s="14">
        <v>282</v>
      </c>
      <c r="B283" s="14">
        <v>14</v>
      </c>
      <c r="C283" s="52">
        <v>5</v>
      </c>
      <c r="D283" s="53">
        <v>5</v>
      </c>
      <c r="E283" s="54">
        <v>2</v>
      </c>
      <c r="F283" s="18" t="s">
        <v>123</v>
      </c>
      <c r="G283" s="19" t="s">
        <v>14</v>
      </c>
      <c r="H283" s="20" t="s">
        <v>263</v>
      </c>
      <c r="I283" s="28" t="s">
        <v>16</v>
      </c>
      <c r="J283" s="29">
        <v>18900</v>
      </c>
      <c r="K283" s="73"/>
      <c r="L283" s="74">
        <v>900</v>
      </c>
      <c r="M283" s="23"/>
      <c r="N283" s="24"/>
      <c r="U283" s="33"/>
    </row>
    <row r="284" spans="1:21" s="13" customFormat="1" ht="16.5" customHeight="1" x14ac:dyDescent="0.45">
      <c r="A284" s="14">
        <v>283</v>
      </c>
      <c r="B284" s="14">
        <v>15</v>
      </c>
      <c r="C284" s="52">
        <v>5</v>
      </c>
      <c r="D284" s="53">
        <v>6</v>
      </c>
      <c r="E284" s="54">
        <v>2</v>
      </c>
      <c r="F284" s="18" t="s">
        <v>274</v>
      </c>
      <c r="G284" s="19" t="s">
        <v>14</v>
      </c>
      <c r="H284" s="20" t="s">
        <v>263</v>
      </c>
      <c r="I284" s="18" t="s">
        <v>60</v>
      </c>
      <c r="J284" s="21">
        <v>25200</v>
      </c>
      <c r="K284" s="76"/>
      <c r="L284" s="77">
        <v>1200</v>
      </c>
      <c r="M284" s="23"/>
      <c r="N284" s="24"/>
      <c r="U284" s="33"/>
    </row>
    <row r="285" spans="1:21" s="13" customFormat="1" ht="16.5" customHeight="1" x14ac:dyDescent="0.45">
      <c r="A285" s="14">
        <v>284</v>
      </c>
      <c r="B285" s="14">
        <v>16</v>
      </c>
      <c r="C285" s="52">
        <v>6</v>
      </c>
      <c r="D285" s="53">
        <v>3</v>
      </c>
      <c r="E285" s="54">
        <v>6</v>
      </c>
      <c r="F285" s="18" t="s">
        <v>49</v>
      </c>
      <c r="G285" s="19" t="s">
        <v>14</v>
      </c>
      <c r="H285" s="20" t="s">
        <v>263</v>
      </c>
      <c r="I285" s="28" t="s">
        <v>16</v>
      </c>
      <c r="J285" s="29">
        <v>18900</v>
      </c>
      <c r="K285" s="73"/>
      <c r="L285" s="74">
        <v>900</v>
      </c>
      <c r="M285" s="23"/>
      <c r="N285" s="24"/>
      <c r="U285" s="33"/>
    </row>
    <row r="286" spans="1:21" s="13" customFormat="1" ht="16.5" customHeight="1" x14ac:dyDescent="0.45">
      <c r="A286" s="14">
        <v>285</v>
      </c>
      <c r="B286" s="14">
        <v>17</v>
      </c>
      <c r="C286" s="52">
        <v>6</v>
      </c>
      <c r="D286" s="53">
        <v>4</v>
      </c>
      <c r="E286" s="54">
        <v>8</v>
      </c>
      <c r="F286" s="18" t="s">
        <v>275</v>
      </c>
      <c r="G286" s="19" t="s">
        <v>14</v>
      </c>
      <c r="H286" s="20" t="s">
        <v>263</v>
      </c>
      <c r="I286" s="18" t="s">
        <v>60</v>
      </c>
      <c r="J286" s="21">
        <v>25200</v>
      </c>
      <c r="K286" s="76"/>
      <c r="L286" s="77">
        <v>1200</v>
      </c>
      <c r="M286" s="23"/>
      <c r="N286" s="24"/>
      <c r="O286" s="59">
        <v>25200</v>
      </c>
      <c r="P286" s="59">
        <v>1200</v>
      </c>
      <c r="Q286" s="59">
        <v>26400</v>
      </c>
      <c r="U286" s="33"/>
    </row>
    <row r="287" spans="1:21" s="13" customFormat="1" ht="16.5" customHeight="1" x14ac:dyDescent="0.45">
      <c r="A287" s="14">
        <v>286</v>
      </c>
      <c r="B287" s="14">
        <v>18</v>
      </c>
      <c r="C287" s="52">
        <v>6</v>
      </c>
      <c r="D287" s="53">
        <v>5</v>
      </c>
      <c r="E287" s="54">
        <v>5</v>
      </c>
      <c r="F287" s="18" t="s">
        <v>276</v>
      </c>
      <c r="G287" s="19" t="s">
        <v>14</v>
      </c>
      <c r="H287" s="20" t="s">
        <v>263</v>
      </c>
      <c r="I287" s="28" t="s">
        <v>16</v>
      </c>
      <c r="J287" s="29">
        <v>18900</v>
      </c>
      <c r="K287" s="73"/>
      <c r="L287" s="74">
        <v>900</v>
      </c>
      <c r="M287" s="23"/>
      <c r="N287" s="24"/>
      <c r="O287" s="13">
        <f>O286*22</f>
        <v>554400</v>
      </c>
      <c r="P287" s="13">
        <f t="shared" ref="P287:Q287" si="35">P286*22</f>
        <v>26400</v>
      </c>
      <c r="Q287" s="13">
        <f t="shared" si="35"/>
        <v>580800</v>
      </c>
      <c r="U287" s="33"/>
    </row>
    <row r="288" spans="1:21" s="13" customFormat="1" ht="16.5" customHeight="1" x14ac:dyDescent="0.45">
      <c r="A288" s="14">
        <v>287</v>
      </c>
      <c r="B288" s="14">
        <v>19</v>
      </c>
      <c r="C288" s="52">
        <v>6</v>
      </c>
      <c r="D288" s="53">
        <v>6</v>
      </c>
      <c r="E288" s="54">
        <v>14</v>
      </c>
      <c r="F288" s="18" t="s">
        <v>277</v>
      </c>
      <c r="G288" s="19" t="s">
        <v>14</v>
      </c>
      <c r="H288" s="20" t="s">
        <v>263</v>
      </c>
      <c r="I288" s="28" t="s">
        <v>16</v>
      </c>
      <c r="J288" s="29">
        <v>18900</v>
      </c>
      <c r="K288" s="73"/>
      <c r="L288" s="74">
        <v>900</v>
      </c>
      <c r="M288" s="23"/>
      <c r="N288" s="24"/>
      <c r="U288" s="33"/>
    </row>
    <row r="289" spans="1:21" s="13" customFormat="1" ht="16.5" customHeight="1" x14ac:dyDescent="0.45">
      <c r="A289" s="14">
        <v>288</v>
      </c>
      <c r="B289" s="14">
        <v>20</v>
      </c>
      <c r="C289" s="52">
        <v>6</v>
      </c>
      <c r="D289" s="53">
        <v>7</v>
      </c>
      <c r="E289" s="54">
        <v>1</v>
      </c>
      <c r="F289" s="18" t="s">
        <v>278</v>
      </c>
      <c r="G289" s="19" t="s">
        <v>14</v>
      </c>
      <c r="H289" s="20" t="s">
        <v>263</v>
      </c>
      <c r="I289" s="18" t="s">
        <v>60</v>
      </c>
      <c r="J289" s="21">
        <v>25200</v>
      </c>
      <c r="K289" s="76"/>
      <c r="L289" s="77">
        <v>1200</v>
      </c>
      <c r="M289" s="23"/>
      <c r="N289" s="24"/>
      <c r="U289" s="33"/>
    </row>
    <row r="290" spans="1:21" s="13" customFormat="1" ht="16.5" customHeight="1" x14ac:dyDescent="0.45">
      <c r="A290" s="14">
        <v>289</v>
      </c>
      <c r="B290" s="14">
        <v>21</v>
      </c>
      <c r="C290" s="52">
        <v>6</v>
      </c>
      <c r="D290" s="53">
        <v>7</v>
      </c>
      <c r="E290" s="54">
        <v>10</v>
      </c>
      <c r="F290" s="18" t="s">
        <v>279</v>
      </c>
      <c r="G290" s="19" t="s">
        <v>14</v>
      </c>
      <c r="H290" s="20" t="s">
        <v>263</v>
      </c>
      <c r="I290" s="28" t="s">
        <v>16</v>
      </c>
      <c r="J290" s="29">
        <v>18900</v>
      </c>
      <c r="K290" s="73"/>
      <c r="L290" s="74">
        <v>900</v>
      </c>
      <c r="M290" s="69"/>
      <c r="N290" s="24"/>
      <c r="S290" s="34">
        <f>SUM(O278,O282,O287)</f>
        <v>1568700</v>
      </c>
      <c r="T290" s="34">
        <f>SUM(P278,P282,P287)</f>
        <v>74700</v>
      </c>
      <c r="U290" s="34">
        <f>SUM(Q278,Q282,Q287)</f>
        <v>1643400</v>
      </c>
    </row>
    <row r="291" spans="1:21" s="13" customFormat="1" ht="16.5" customHeight="1" x14ac:dyDescent="0.45">
      <c r="A291" s="14">
        <v>290</v>
      </c>
      <c r="B291" s="35">
        <v>1</v>
      </c>
      <c r="C291" s="49">
        <v>1</v>
      </c>
      <c r="D291" s="50">
        <v>5</v>
      </c>
      <c r="E291" s="51">
        <v>13</v>
      </c>
      <c r="F291" s="39" t="s">
        <v>103</v>
      </c>
      <c r="G291" s="40" t="s">
        <v>14</v>
      </c>
      <c r="H291" s="41" t="s">
        <v>280</v>
      </c>
      <c r="I291" s="110" t="s">
        <v>21</v>
      </c>
      <c r="J291" s="111">
        <v>12600</v>
      </c>
      <c r="K291" s="112"/>
      <c r="L291" s="113">
        <v>600</v>
      </c>
      <c r="M291" s="45">
        <f>SUM(J291:K330)</f>
        <v>667800</v>
      </c>
      <c r="N291" s="24"/>
      <c r="U291" s="33"/>
    </row>
    <row r="292" spans="1:21" s="13" customFormat="1" ht="16.5" customHeight="1" x14ac:dyDescent="0.45">
      <c r="A292" s="14">
        <v>291</v>
      </c>
      <c r="B292" s="14">
        <v>2</v>
      </c>
      <c r="C292" s="52">
        <v>1</v>
      </c>
      <c r="D292" s="53">
        <v>6</v>
      </c>
      <c r="E292" s="54">
        <v>15</v>
      </c>
      <c r="F292" s="18" t="s">
        <v>217</v>
      </c>
      <c r="G292" s="19" t="s">
        <v>14</v>
      </c>
      <c r="H292" s="20" t="s">
        <v>280</v>
      </c>
      <c r="I292" s="114" t="s">
        <v>16</v>
      </c>
      <c r="J292" s="21">
        <v>18900</v>
      </c>
      <c r="K292" s="76"/>
      <c r="L292" s="77">
        <v>900</v>
      </c>
      <c r="M292" s="23"/>
      <c r="N292" s="24"/>
      <c r="U292" s="33"/>
    </row>
    <row r="293" spans="1:21" s="13" customFormat="1" ht="16.5" customHeight="1" x14ac:dyDescent="0.45">
      <c r="A293" s="14">
        <v>292</v>
      </c>
      <c r="B293" s="14">
        <v>3</v>
      </c>
      <c r="C293" s="52">
        <v>1</v>
      </c>
      <c r="D293" s="53">
        <v>8</v>
      </c>
      <c r="E293" s="54">
        <v>4</v>
      </c>
      <c r="F293" s="18" t="s">
        <v>107</v>
      </c>
      <c r="G293" s="19" t="s">
        <v>14</v>
      </c>
      <c r="H293" s="20" t="s">
        <v>280</v>
      </c>
      <c r="I293" s="28" t="s">
        <v>21</v>
      </c>
      <c r="J293" s="29">
        <v>12600</v>
      </c>
      <c r="K293" s="73"/>
      <c r="L293" s="74">
        <v>600</v>
      </c>
      <c r="M293" s="23"/>
      <c r="N293" s="24"/>
      <c r="O293" s="27">
        <f>SUM(J291:K330)</f>
        <v>667800</v>
      </c>
      <c r="U293" s="33"/>
    </row>
    <row r="294" spans="1:21" s="13" customFormat="1" ht="16.5" customHeight="1" x14ac:dyDescent="0.45">
      <c r="A294" s="14">
        <v>293</v>
      </c>
      <c r="B294" s="14">
        <v>4</v>
      </c>
      <c r="C294" s="52">
        <v>1</v>
      </c>
      <c r="D294" s="53">
        <v>9</v>
      </c>
      <c r="E294" s="54">
        <v>3</v>
      </c>
      <c r="F294" s="18" t="s">
        <v>157</v>
      </c>
      <c r="G294" s="19" t="s">
        <v>14</v>
      </c>
      <c r="H294" s="20" t="s">
        <v>280</v>
      </c>
      <c r="I294" s="28" t="s">
        <v>21</v>
      </c>
      <c r="J294" s="29">
        <v>12600</v>
      </c>
      <c r="K294" s="73"/>
      <c r="L294" s="74">
        <v>600</v>
      </c>
      <c r="M294" s="23"/>
      <c r="N294" s="24"/>
      <c r="O294" s="27">
        <f>SUM(L291:L330)</f>
        <v>31800</v>
      </c>
      <c r="U294" s="33"/>
    </row>
    <row r="295" spans="1:21" s="13" customFormat="1" ht="16.5" customHeight="1" x14ac:dyDescent="0.45">
      <c r="A295" s="14">
        <v>294</v>
      </c>
      <c r="B295" s="14">
        <v>5</v>
      </c>
      <c r="C295" s="52">
        <v>1</v>
      </c>
      <c r="D295" s="53">
        <v>9</v>
      </c>
      <c r="E295" s="54">
        <v>18</v>
      </c>
      <c r="F295" s="18" t="s">
        <v>134</v>
      </c>
      <c r="G295" s="19" t="s">
        <v>14</v>
      </c>
      <c r="H295" s="20" t="s">
        <v>281</v>
      </c>
      <c r="I295" s="114" t="s">
        <v>16</v>
      </c>
      <c r="J295" s="21">
        <v>18900</v>
      </c>
      <c r="K295" s="76"/>
      <c r="L295" s="77">
        <v>900</v>
      </c>
      <c r="M295" s="23"/>
      <c r="N295" s="24"/>
      <c r="O295" s="27">
        <f>SUM(O293:O294)</f>
        <v>699600</v>
      </c>
      <c r="U295" s="33"/>
    </row>
    <row r="296" spans="1:21" s="13" customFormat="1" ht="16.5" customHeight="1" x14ac:dyDescent="0.45">
      <c r="A296" s="14">
        <v>295</v>
      </c>
      <c r="B296" s="14">
        <v>6</v>
      </c>
      <c r="C296" s="52">
        <v>1</v>
      </c>
      <c r="D296" s="53">
        <v>10</v>
      </c>
      <c r="E296" s="54">
        <v>3</v>
      </c>
      <c r="F296" s="18" t="s">
        <v>22</v>
      </c>
      <c r="G296" s="19" t="s">
        <v>14</v>
      </c>
      <c r="H296" s="20" t="s">
        <v>280</v>
      </c>
      <c r="I296" s="28" t="s">
        <v>21</v>
      </c>
      <c r="J296" s="29">
        <v>12600</v>
      </c>
      <c r="K296" s="73"/>
      <c r="L296" s="74">
        <v>600</v>
      </c>
      <c r="M296" s="23"/>
      <c r="N296" s="24"/>
      <c r="U296" s="33"/>
    </row>
    <row r="297" spans="1:21" s="13" customFormat="1" ht="16.5" customHeight="1" x14ac:dyDescent="0.45">
      <c r="A297" s="14">
        <v>296</v>
      </c>
      <c r="B297" s="14">
        <v>7</v>
      </c>
      <c r="C297" s="52">
        <v>1</v>
      </c>
      <c r="D297" s="53">
        <v>10</v>
      </c>
      <c r="E297" s="54">
        <v>14</v>
      </c>
      <c r="F297" s="18" t="s">
        <v>23</v>
      </c>
      <c r="G297" s="19" t="s">
        <v>14</v>
      </c>
      <c r="H297" s="20" t="s">
        <v>280</v>
      </c>
      <c r="I297" s="114" t="s">
        <v>16</v>
      </c>
      <c r="J297" s="21">
        <v>18900</v>
      </c>
      <c r="K297" s="76"/>
      <c r="L297" s="77">
        <v>900</v>
      </c>
      <c r="M297" s="23"/>
      <c r="N297" s="24"/>
      <c r="U297" s="33"/>
    </row>
    <row r="298" spans="1:21" s="13" customFormat="1" ht="16.5" customHeight="1" x14ac:dyDescent="0.45">
      <c r="A298" s="14">
        <v>297</v>
      </c>
      <c r="B298" s="14">
        <v>8</v>
      </c>
      <c r="C298" s="52">
        <v>1</v>
      </c>
      <c r="D298" s="53">
        <v>11</v>
      </c>
      <c r="E298" s="54">
        <v>1</v>
      </c>
      <c r="F298" s="18" t="s">
        <v>158</v>
      </c>
      <c r="G298" s="19" t="s">
        <v>14</v>
      </c>
      <c r="H298" s="20" t="s">
        <v>280</v>
      </c>
      <c r="I298" s="114" t="s">
        <v>16</v>
      </c>
      <c r="J298" s="21">
        <v>18900</v>
      </c>
      <c r="K298" s="76"/>
      <c r="L298" s="77">
        <v>900</v>
      </c>
      <c r="M298" s="23"/>
      <c r="N298" s="24"/>
      <c r="U298" s="33"/>
    </row>
    <row r="299" spans="1:21" s="13" customFormat="1" ht="16.5" customHeight="1" x14ac:dyDescent="0.45">
      <c r="A299" s="14">
        <v>298</v>
      </c>
      <c r="B299" s="14">
        <v>9</v>
      </c>
      <c r="C299" s="52">
        <v>1</v>
      </c>
      <c r="D299" s="53">
        <v>12</v>
      </c>
      <c r="E299" s="54">
        <v>5</v>
      </c>
      <c r="F299" s="18" t="s">
        <v>192</v>
      </c>
      <c r="G299" s="19" t="s">
        <v>14</v>
      </c>
      <c r="H299" s="20" t="s">
        <v>280</v>
      </c>
      <c r="I299" s="114" t="s">
        <v>16</v>
      </c>
      <c r="J299" s="21">
        <v>18900</v>
      </c>
      <c r="K299" s="76"/>
      <c r="L299" s="77">
        <v>900</v>
      </c>
      <c r="M299" s="23"/>
      <c r="N299" s="24"/>
      <c r="O299" s="13">
        <v>18900</v>
      </c>
      <c r="P299" s="13">
        <v>900</v>
      </c>
      <c r="Q299" s="13">
        <v>19800</v>
      </c>
      <c r="U299" s="33"/>
    </row>
    <row r="300" spans="1:21" s="13" customFormat="1" ht="16.5" customHeight="1" x14ac:dyDescent="0.45">
      <c r="A300" s="14">
        <v>299</v>
      </c>
      <c r="B300" s="14">
        <v>10</v>
      </c>
      <c r="C300" s="52">
        <v>1</v>
      </c>
      <c r="D300" s="53">
        <v>12</v>
      </c>
      <c r="E300" s="54">
        <v>6</v>
      </c>
      <c r="F300" s="18" t="s">
        <v>282</v>
      </c>
      <c r="G300" s="19" t="s">
        <v>14</v>
      </c>
      <c r="H300" s="20" t="s">
        <v>280</v>
      </c>
      <c r="I300" s="114" t="s">
        <v>16</v>
      </c>
      <c r="J300" s="21">
        <v>18900</v>
      </c>
      <c r="K300" s="76"/>
      <c r="L300" s="77">
        <v>900</v>
      </c>
      <c r="M300" s="23"/>
      <c r="N300" s="24"/>
      <c r="O300" s="13">
        <f>O299*40</f>
        <v>756000</v>
      </c>
      <c r="P300" s="13">
        <f t="shared" ref="P300:Q300" si="36">P299*40</f>
        <v>36000</v>
      </c>
      <c r="Q300" s="13">
        <f t="shared" si="36"/>
        <v>792000</v>
      </c>
      <c r="U300" s="33"/>
    </row>
    <row r="301" spans="1:21" s="13" customFormat="1" ht="16.5" customHeight="1" x14ac:dyDescent="0.45">
      <c r="A301" s="14">
        <v>300</v>
      </c>
      <c r="B301" s="14">
        <v>11</v>
      </c>
      <c r="C301" s="52">
        <v>2</v>
      </c>
      <c r="D301" s="53">
        <v>1</v>
      </c>
      <c r="E301" s="54">
        <v>9</v>
      </c>
      <c r="F301" s="18" t="s">
        <v>283</v>
      </c>
      <c r="G301" s="19" t="s">
        <v>14</v>
      </c>
      <c r="H301" s="20" t="s">
        <v>280</v>
      </c>
      <c r="I301" s="114" t="s">
        <v>16</v>
      </c>
      <c r="J301" s="21">
        <v>18900</v>
      </c>
      <c r="K301" s="76"/>
      <c r="L301" s="77">
        <v>900</v>
      </c>
      <c r="M301" s="23"/>
      <c r="N301" s="24"/>
      <c r="O301" s="13">
        <v>-88200</v>
      </c>
      <c r="P301" s="13">
        <v>-4200</v>
      </c>
      <c r="Q301" s="13">
        <v>-92400</v>
      </c>
      <c r="U301" s="33"/>
    </row>
    <row r="302" spans="1:21" s="13" customFormat="1" ht="16.5" customHeight="1" x14ac:dyDescent="0.45">
      <c r="A302" s="14">
        <v>301</v>
      </c>
      <c r="B302" s="14">
        <v>12</v>
      </c>
      <c r="C302" s="52">
        <v>2</v>
      </c>
      <c r="D302" s="53">
        <v>4</v>
      </c>
      <c r="E302" s="54">
        <v>5</v>
      </c>
      <c r="F302" s="18" t="s">
        <v>284</v>
      </c>
      <c r="G302" s="19" t="s">
        <v>14</v>
      </c>
      <c r="H302" s="20" t="s">
        <v>280</v>
      </c>
      <c r="I302" s="114" t="s">
        <v>16</v>
      </c>
      <c r="J302" s="21">
        <v>18900</v>
      </c>
      <c r="K302" s="76"/>
      <c r="L302" s="77">
        <v>900</v>
      </c>
      <c r="M302" s="23"/>
      <c r="N302" s="24"/>
      <c r="O302" s="13">
        <f>SUM(O300:O301)</f>
        <v>667800</v>
      </c>
      <c r="P302" s="13">
        <f t="shared" ref="P302:Q302" si="37">SUM(P300:P301)</f>
        <v>31800</v>
      </c>
      <c r="Q302" s="13">
        <f t="shared" si="37"/>
        <v>699600</v>
      </c>
      <c r="U302" s="33"/>
    </row>
    <row r="303" spans="1:21" s="13" customFormat="1" ht="16.5" customHeight="1" x14ac:dyDescent="0.45">
      <c r="A303" s="14">
        <v>302</v>
      </c>
      <c r="B303" s="14">
        <v>13</v>
      </c>
      <c r="C303" s="92">
        <v>2</v>
      </c>
      <c r="D303" s="93">
        <v>4</v>
      </c>
      <c r="E303" s="94">
        <v>17</v>
      </c>
      <c r="F303" s="81" t="s">
        <v>285</v>
      </c>
      <c r="G303" s="82" t="s">
        <v>174</v>
      </c>
      <c r="H303" s="83" t="s">
        <v>280</v>
      </c>
      <c r="I303" s="81" t="s">
        <v>16</v>
      </c>
      <c r="J303" s="115"/>
      <c r="K303" s="85">
        <v>18900</v>
      </c>
      <c r="L303" s="116">
        <v>900</v>
      </c>
      <c r="M303" s="23"/>
      <c r="N303" s="24"/>
      <c r="U303" s="33"/>
    </row>
    <row r="304" spans="1:21" s="13" customFormat="1" ht="16.5" customHeight="1" x14ac:dyDescent="0.45">
      <c r="A304" s="14">
        <v>303</v>
      </c>
      <c r="B304" s="14">
        <v>14</v>
      </c>
      <c r="C304" s="52">
        <v>2</v>
      </c>
      <c r="D304" s="53">
        <v>5</v>
      </c>
      <c r="E304" s="54">
        <v>4</v>
      </c>
      <c r="F304" s="18" t="s">
        <v>286</v>
      </c>
      <c r="G304" s="19" t="s">
        <v>14</v>
      </c>
      <c r="H304" s="20" t="s">
        <v>280</v>
      </c>
      <c r="I304" s="114" t="s">
        <v>16</v>
      </c>
      <c r="J304" s="21">
        <v>18900</v>
      </c>
      <c r="K304" s="76"/>
      <c r="L304" s="77">
        <v>900</v>
      </c>
      <c r="M304" s="23"/>
      <c r="N304" s="24"/>
      <c r="U304" s="33"/>
    </row>
    <row r="305" spans="1:21" s="13" customFormat="1" ht="16.5" customHeight="1" x14ac:dyDescent="0.45">
      <c r="A305" s="14">
        <v>304</v>
      </c>
      <c r="B305" s="14">
        <v>15</v>
      </c>
      <c r="C305" s="52">
        <v>2</v>
      </c>
      <c r="D305" s="53">
        <v>5</v>
      </c>
      <c r="E305" s="54">
        <v>7</v>
      </c>
      <c r="F305" s="18" t="s">
        <v>26</v>
      </c>
      <c r="G305" s="19" t="s">
        <v>14</v>
      </c>
      <c r="H305" s="20" t="s">
        <v>280</v>
      </c>
      <c r="I305" s="28" t="s">
        <v>21</v>
      </c>
      <c r="J305" s="29">
        <v>12600</v>
      </c>
      <c r="K305" s="73"/>
      <c r="L305" s="74">
        <v>600</v>
      </c>
      <c r="M305" s="23"/>
      <c r="N305" s="24"/>
      <c r="U305" s="33"/>
    </row>
    <row r="306" spans="1:21" s="13" customFormat="1" ht="16.5" customHeight="1" x14ac:dyDescent="0.45">
      <c r="A306" s="14">
        <v>305</v>
      </c>
      <c r="B306" s="14">
        <v>16</v>
      </c>
      <c r="C306" s="52">
        <v>2</v>
      </c>
      <c r="D306" s="53">
        <v>6</v>
      </c>
      <c r="E306" s="54">
        <v>8</v>
      </c>
      <c r="F306" s="18" t="s">
        <v>28</v>
      </c>
      <c r="G306" s="19" t="s">
        <v>14</v>
      </c>
      <c r="H306" s="20" t="s">
        <v>280</v>
      </c>
      <c r="I306" s="114" t="s">
        <v>16</v>
      </c>
      <c r="J306" s="21">
        <v>18900</v>
      </c>
      <c r="K306" s="76"/>
      <c r="L306" s="77">
        <v>900</v>
      </c>
      <c r="M306" s="23"/>
      <c r="N306" s="24"/>
      <c r="O306" s="13">
        <v>25200</v>
      </c>
      <c r="P306" s="13">
        <v>1200</v>
      </c>
      <c r="Q306" s="13">
        <v>26400</v>
      </c>
      <c r="U306" s="33"/>
    </row>
    <row r="307" spans="1:21" s="13" customFormat="1" ht="16.5" customHeight="1" x14ac:dyDescent="0.45">
      <c r="A307" s="14">
        <v>306</v>
      </c>
      <c r="B307" s="14">
        <v>17</v>
      </c>
      <c r="C307" s="52">
        <v>2</v>
      </c>
      <c r="D307" s="53">
        <v>6</v>
      </c>
      <c r="E307" s="54">
        <v>23</v>
      </c>
      <c r="F307" s="18" t="s">
        <v>287</v>
      </c>
      <c r="G307" s="19" t="s">
        <v>14</v>
      </c>
      <c r="H307" s="20" t="s">
        <v>280</v>
      </c>
      <c r="I307" s="114" t="s">
        <v>16</v>
      </c>
      <c r="J307" s="21">
        <v>18900</v>
      </c>
      <c r="K307" s="76"/>
      <c r="L307" s="77">
        <v>900</v>
      </c>
      <c r="M307" s="23"/>
      <c r="N307" s="24"/>
      <c r="O307" s="13">
        <f>O306*38</f>
        <v>957600</v>
      </c>
      <c r="P307" s="13">
        <f t="shared" ref="P307:Q307" si="38">P306*38</f>
        <v>45600</v>
      </c>
      <c r="Q307" s="13">
        <f t="shared" si="38"/>
        <v>1003200</v>
      </c>
      <c r="R307" s="13">
        <f t="shared" ref="R307" si="39">R306*39</f>
        <v>0</v>
      </c>
      <c r="U307" s="33"/>
    </row>
    <row r="308" spans="1:21" s="13" customFormat="1" ht="16.5" customHeight="1" x14ac:dyDescent="0.45">
      <c r="A308" s="14">
        <v>307</v>
      </c>
      <c r="B308" s="14">
        <v>18</v>
      </c>
      <c r="C308" s="52">
        <v>2</v>
      </c>
      <c r="D308" s="53">
        <v>8</v>
      </c>
      <c r="E308" s="54">
        <v>10</v>
      </c>
      <c r="F308" s="18" t="s">
        <v>119</v>
      </c>
      <c r="G308" s="19" t="s">
        <v>14</v>
      </c>
      <c r="H308" s="20" t="s">
        <v>280</v>
      </c>
      <c r="I308" s="114" t="s">
        <v>16</v>
      </c>
      <c r="J308" s="21">
        <v>18900</v>
      </c>
      <c r="K308" s="76"/>
      <c r="L308" s="77">
        <v>900</v>
      </c>
      <c r="M308" s="23"/>
      <c r="N308" s="24"/>
      <c r="U308" s="33"/>
    </row>
    <row r="309" spans="1:21" s="13" customFormat="1" ht="16.5" customHeight="1" x14ac:dyDescent="0.45">
      <c r="A309" s="14">
        <v>308</v>
      </c>
      <c r="B309" s="14">
        <v>19</v>
      </c>
      <c r="C309" s="52">
        <v>2</v>
      </c>
      <c r="D309" s="53">
        <v>9</v>
      </c>
      <c r="E309" s="54">
        <v>20</v>
      </c>
      <c r="F309" s="18" t="s">
        <v>288</v>
      </c>
      <c r="G309" s="19" t="s">
        <v>14</v>
      </c>
      <c r="H309" s="20" t="s">
        <v>280</v>
      </c>
      <c r="I309" s="114" t="s">
        <v>16</v>
      </c>
      <c r="J309" s="21">
        <v>18900</v>
      </c>
      <c r="K309" s="76"/>
      <c r="L309" s="77">
        <v>900</v>
      </c>
      <c r="M309" s="23"/>
      <c r="N309" s="24"/>
      <c r="U309" s="33"/>
    </row>
    <row r="310" spans="1:21" s="13" customFormat="1" ht="16.5" customHeight="1" x14ac:dyDescent="0.45">
      <c r="A310" s="14">
        <v>309</v>
      </c>
      <c r="B310" s="14">
        <v>20</v>
      </c>
      <c r="C310" s="52">
        <v>2</v>
      </c>
      <c r="D310" s="53">
        <v>11</v>
      </c>
      <c r="E310" s="54">
        <v>13</v>
      </c>
      <c r="F310" s="18" t="s">
        <v>289</v>
      </c>
      <c r="G310" s="19" t="s">
        <v>14</v>
      </c>
      <c r="H310" s="20" t="s">
        <v>280</v>
      </c>
      <c r="I310" s="28" t="s">
        <v>21</v>
      </c>
      <c r="J310" s="29">
        <v>12600</v>
      </c>
      <c r="K310" s="73"/>
      <c r="L310" s="74">
        <v>600</v>
      </c>
      <c r="M310" s="23"/>
      <c r="N310" s="24"/>
      <c r="O310" s="13">
        <v>25200</v>
      </c>
      <c r="P310" s="13">
        <v>1200</v>
      </c>
      <c r="Q310" s="13">
        <v>26400</v>
      </c>
      <c r="U310" s="33"/>
    </row>
    <row r="311" spans="1:21" s="13" customFormat="1" ht="16.5" customHeight="1" x14ac:dyDescent="0.45">
      <c r="A311" s="14">
        <v>310</v>
      </c>
      <c r="B311" s="14">
        <v>21</v>
      </c>
      <c r="C311" s="52">
        <v>3</v>
      </c>
      <c r="D311" s="53">
        <v>5</v>
      </c>
      <c r="E311" s="54">
        <v>13</v>
      </c>
      <c r="F311" s="18" t="s">
        <v>290</v>
      </c>
      <c r="G311" s="19" t="s">
        <v>14</v>
      </c>
      <c r="H311" s="20" t="s">
        <v>291</v>
      </c>
      <c r="I311" s="114" t="s">
        <v>16</v>
      </c>
      <c r="J311" s="21">
        <v>18900</v>
      </c>
      <c r="K311" s="76"/>
      <c r="L311" s="77">
        <v>900</v>
      </c>
      <c r="M311" s="23"/>
      <c r="N311" s="24"/>
      <c r="O311" s="13">
        <f>O310*38</f>
        <v>957600</v>
      </c>
      <c r="P311" s="13">
        <f t="shared" ref="P311:Q311" si="40">P310*38</f>
        <v>45600</v>
      </c>
      <c r="Q311" s="13">
        <f t="shared" si="40"/>
        <v>1003200</v>
      </c>
      <c r="U311" s="33"/>
    </row>
    <row r="312" spans="1:21" s="13" customFormat="1" ht="16.5" customHeight="1" x14ac:dyDescent="0.45">
      <c r="A312" s="14">
        <v>311</v>
      </c>
      <c r="B312" s="14">
        <v>22</v>
      </c>
      <c r="C312" s="52">
        <v>3</v>
      </c>
      <c r="D312" s="53">
        <v>6</v>
      </c>
      <c r="E312" s="54">
        <v>19</v>
      </c>
      <c r="F312" s="18" t="s">
        <v>292</v>
      </c>
      <c r="G312" s="19" t="s">
        <v>14</v>
      </c>
      <c r="H312" s="20" t="s">
        <v>291</v>
      </c>
      <c r="I312" s="114" t="s">
        <v>16</v>
      </c>
      <c r="J312" s="21">
        <v>18900</v>
      </c>
      <c r="K312" s="76"/>
      <c r="L312" s="77">
        <v>900</v>
      </c>
      <c r="M312" s="23"/>
      <c r="N312" s="24"/>
      <c r="U312" s="33"/>
    </row>
    <row r="313" spans="1:21" s="13" customFormat="1" ht="16.5" customHeight="1" x14ac:dyDescent="0.45">
      <c r="A313" s="14">
        <v>312</v>
      </c>
      <c r="B313" s="14">
        <v>23</v>
      </c>
      <c r="C313" s="52">
        <v>3</v>
      </c>
      <c r="D313" s="53">
        <v>7</v>
      </c>
      <c r="E313" s="54">
        <v>8</v>
      </c>
      <c r="F313" s="18" t="s">
        <v>124</v>
      </c>
      <c r="G313" s="19" t="s">
        <v>14</v>
      </c>
      <c r="H313" s="20" t="s">
        <v>291</v>
      </c>
      <c r="I313" s="114" t="s">
        <v>16</v>
      </c>
      <c r="J313" s="21">
        <v>18900</v>
      </c>
      <c r="K313" s="76"/>
      <c r="L313" s="77">
        <v>900</v>
      </c>
      <c r="M313" s="23"/>
      <c r="N313" s="24"/>
      <c r="S313" s="34">
        <f>SUM(O302,O307,O311)</f>
        <v>2583000</v>
      </c>
      <c r="T313" s="34">
        <f>SUM(P302,P307,P311)</f>
        <v>123000</v>
      </c>
      <c r="U313" s="34">
        <f>SUM(Q302,Q307,Q311)</f>
        <v>2706000</v>
      </c>
    </row>
    <row r="314" spans="1:21" s="13" customFormat="1" ht="16.5" customHeight="1" x14ac:dyDescent="0.45">
      <c r="A314" s="14">
        <v>313</v>
      </c>
      <c r="B314" s="14">
        <v>24</v>
      </c>
      <c r="C314" s="52">
        <v>3</v>
      </c>
      <c r="D314" s="53">
        <v>7</v>
      </c>
      <c r="E314" s="54">
        <v>16</v>
      </c>
      <c r="F314" s="18" t="s">
        <v>293</v>
      </c>
      <c r="G314" s="19" t="s">
        <v>14</v>
      </c>
      <c r="H314" s="20" t="s">
        <v>291</v>
      </c>
      <c r="I314" s="114" t="s">
        <v>16</v>
      </c>
      <c r="J314" s="21">
        <v>18900</v>
      </c>
      <c r="K314" s="76"/>
      <c r="L314" s="77">
        <v>900</v>
      </c>
      <c r="M314" s="23"/>
      <c r="N314" s="24"/>
      <c r="U314" s="33"/>
    </row>
    <row r="315" spans="1:21" s="13" customFormat="1" ht="16.5" customHeight="1" x14ac:dyDescent="0.45">
      <c r="A315" s="14">
        <v>314</v>
      </c>
      <c r="B315" s="14">
        <v>25</v>
      </c>
      <c r="C315" s="52">
        <v>3</v>
      </c>
      <c r="D315" s="53">
        <v>7</v>
      </c>
      <c r="E315" s="54">
        <v>17</v>
      </c>
      <c r="F315" s="18" t="s">
        <v>294</v>
      </c>
      <c r="G315" s="19" t="s">
        <v>14</v>
      </c>
      <c r="H315" s="20" t="s">
        <v>291</v>
      </c>
      <c r="I315" s="28" t="s">
        <v>21</v>
      </c>
      <c r="J315" s="29">
        <v>12600</v>
      </c>
      <c r="K315" s="73"/>
      <c r="L315" s="74">
        <v>600</v>
      </c>
      <c r="M315" s="23"/>
      <c r="N315" s="24"/>
      <c r="U315" s="33"/>
    </row>
    <row r="316" spans="1:21" s="13" customFormat="1" ht="16.5" customHeight="1" x14ac:dyDescent="0.45">
      <c r="A316" s="14">
        <v>315</v>
      </c>
      <c r="B316" s="14">
        <v>26</v>
      </c>
      <c r="C316" s="52">
        <v>3</v>
      </c>
      <c r="D316" s="53">
        <v>9</v>
      </c>
      <c r="E316" s="54">
        <v>12</v>
      </c>
      <c r="F316" s="18" t="s">
        <v>295</v>
      </c>
      <c r="G316" s="19" t="s">
        <v>14</v>
      </c>
      <c r="H316" s="20" t="s">
        <v>291</v>
      </c>
      <c r="I316" s="28" t="s">
        <v>296</v>
      </c>
      <c r="J316" s="29">
        <v>6300</v>
      </c>
      <c r="K316" s="73"/>
      <c r="L316" s="74">
        <v>300</v>
      </c>
      <c r="M316" s="23"/>
      <c r="N316" s="24"/>
      <c r="U316" s="33"/>
    </row>
    <row r="317" spans="1:21" s="13" customFormat="1" ht="16.5" customHeight="1" x14ac:dyDescent="0.45">
      <c r="A317" s="14">
        <v>316</v>
      </c>
      <c r="B317" s="14">
        <v>27</v>
      </c>
      <c r="C317" s="52">
        <v>3</v>
      </c>
      <c r="D317" s="53">
        <v>9</v>
      </c>
      <c r="E317" s="54">
        <v>25</v>
      </c>
      <c r="F317" s="18" t="s">
        <v>151</v>
      </c>
      <c r="G317" s="19" t="s">
        <v>14</v>
      </c>
      <c r="H317" s="20" t="s">
        <v>291</v>
      </c>
      <c r="I317" s="114" t="s">
        <v>16</v>
      </c>
      <c r="J317" s="21">
        <v>18900</v>
      </c>
      <c r="K317" s="76"/>
      <c r="L317" s="77">
        <v>900</v>
      </c>
      <c r="M317" s="23"/>
      <c r="N317" s="24"/>
      <c r="U317" s="33"/>
    </row>
    <row r="318" spans="1:21" s="13" customFormat="1" ht="16.5" customHeight="1" x14ac:dyDescent="0.45">
      <c r="A318" s="14">
        <v>317</v>
      </c>
      <c r="B318" s="14">
        <v>28</v>
      </c>
      <c r="C318" s="52">
        <v>4</v>
      </c>
      <c r="D318" s="53">
        <v>1</v>
      </c>
      <c r="E318" s="54">
        <v>5</v>
      </c>
      <c r="F318" s="18" t="s">
        <v>297</v>
      </c>
      <c r="G318" s="19" t="s">
        <v>14</v>
      </c>
      <c r="H318" s="20" t="s">
        <v>291</v>
      </c>
      <c r="I318" s="28" t="s">
        <v>21</v>
      </c>
      <c r="J318" s="29">
        <v>12600</v>
      </c>
      <c r="K318" s="73"/>
      <c r="L318" s="74">
        <v>600</v>
      </c>
      <c r="M318" s="23"/>
      <c r="N318" s="24"/>
      <c r="U318" s="33"/>
    </row>
    <row r="319" spans="1:21" s="13" customFormat="1" ht="16.5" customHeight="1" x14ac:dyDescent="0.45">
      <c r="A319" s="14">
        <v>318</v>
      </c>
      <c r="B319" s="14">
        <v>29</v>
      </c>
      <c r="C319" s="52">
        <v>4</v>
      </c>
      <c r="D319" s="53">
        <v>4</v>
      </c>
      <c r="E319" s="54">
        <v>10</v>
      </c>
      <c r="F319" s="18" t="s">
        <v>51</v>
      </c>
      <c r="G319" s="19" t="s">
        <v>14</v>
      </c>
      <c r="H319" s="20" t="s">
        <v>291</v>
      </c>
      <c r="I319" s="114" t="s">
        <v>16</v>
      </c>
      <c r="J319" s="21">
        <v>18900</v>
      </c>
      <c r="K319" s="76"/>
      <c r="L319" s="77">
        <v>900</v>
      </c>
      <c r="M319" s="23"/>
      <c r="N319" s="24"/>
      <c r="U319" s="33"/>
    </row>
    <row r="320" spans="1:21" s="13" customFormat="1" ht="16.5" customHeight="1" x14ac:dyDescent="0.45">
      <c r="A320" s="14">
        <v>319</v>
      </c>
      <c r="B320" s="14">
        <v>30</v>
      </c>
      <c r="C320" s="52">
        <v>4</v>
      </c>
      <c r="D320" s="53">
        <v>5</v>
      </c>
      <c r="E320" s="54">
        <v>8</v>
      </c>
      <c r="F320" s="18" t="s">
        <v>298</v>
      </c>
      <c r="G320" s="19" t="s">
        <v>14</v>
      </c>
      <c r="H320" s="20" t="s">
        <v>291</v>
      </c>
      <c r="I320" s="114" t="s">
        <v>16</v>
      </c>
      <c r="J320" s="21">
        <v>18900</v>
      </c>
      <c r="K320" s="76"/>
      <c r="L320" s="77">
        <v>900</v>
      </c>
      <c r="M320" s="23"/>
      <c r="N320" s="24"/>
      <c r="U320" s="33"/>
    </row>
    <row r="321" spans="1:21" s="13" customFormat="1" ht="16.5" customHeight="1" x14ac:dyDescent="0.45">
      <c r="A321" s="14">
        <v>320</v>
      </c>
      <c r="B321" s="14">
        <v>31</v>
      </c>
      <c r="C321" s="52">
        <v>4</v>
      </c>
      <c r="D321" s="53">
        <v>6</v>
      </c>
      <c r="E321" s="54">
        <v>14</v>
      </c>
      <c r="F321" s="18" t="s">
        <v>141</v>
      </c>
      <c r="G321" s="19" t="s">
        <v>14</v>
      </c>
      <c r="H321" s="20" t="s">
        <v>291</v>
      </c>
      <c r="I321" s="28" t="s">
        <v>21</v>
      </c>
      <c r="J321" s="29">
        <v>12600</v>
      </c>
      <c r="K321" s="73"/>
      <c r="L321" s="74">
        <v>600</v>
      </c>
      <c r="M321" s="23"/>
      <c r="N321" s="24"/>
      <c r="U321" s="33"/>
    </row>
    <row r="322" spans="1:21" s="13" customFormat="1" ht="16.5" customHeight="1" x14ac:dyDescent="0.45">
      <c r="A322" s="14">
        <v>321</v>
      </c>
      <c r="B322" s="14">
        <v>32</v>
      </c>
      <c r="C322" s="52">
        <v>4</v>
      </c>
      <c r="D322" s="53">
        <v>6</v>
      </c>
      <c r="E322" s="54">
        <v>24</v>
      </c>
      <c r="F322" s="18" t="s">
        <v>53</v>
      </c>
      <c r="G322" s="19" t="s">
        <v>14</v>
      </c>
      <c r="H322" s="20" t="s">
        <v>291</v>
      </c>
      <c r="I322" s="114" t="s">
        <v>16</v>
      </c>
      <c r="J322" s="21">
        <v>18900</v>
      </c>
      <c r="K322" s="76"/>
      <c r="L322" s="77">
        <v>900</v>
      </c>
      <c r="M322" s="23"/>
      <c r="N322" s="24"/>
      <c r="U322" s="33"/>
    </row>
    <row r="323" spans="1:21" s="13" customFormat="1" ht="16.5" customHeight="1" x14ac:dyDescent="0.45">
      <c r="A323" s="14">
        <v>322</v>
      </c>
      <c r="B323" s="14">
        <v>33</v>
      </c>
      <c r="C323" s="52">
        <v>4</v>
      </c>
      <c r="D323" s="53">
        <v>7</v>
      </c>
      <c r="E323" s="54">
        <v>8</v>
      </c>
      <c r="F323" s="18" t="s">
        <v>109</v>
      </c>
      <c r="G323" s="19" t="s">
        <v>14</v>
      </c>
      <c r="H323" s="20" t="s">
        <v>291</v>
      </c>
      <c r="I323" s="114" t="s">
        <v>16</v>
      </c>
      <c r="J323" s="21">
        <v>18900</v>
      </c>
      <c r="K323" s="76"/>
      <c r="L323" s="77">
        <v>900</v>
      </c>
      <c r="M323" s="23"/>
      <c r="N323" s="24"/>
      <c r="U323" s="33"/>
    </row>
    <row r="324" spans="1:21" s="13" customFormat="1" ht="16.5" customHeight="1" x14ac:dyDescent="0.45">
      <c r="A324" s="14">
        <v>323</v>
      </c>
      <c r="B324" s="14">
        <v>34</v>
      </c>
      <c r="C324" s="52">
        <v>5</v>
      </c>
      <c r="D324" s="53">
        <v>1</v>
      </c>
      <c r="E324" s="54">
        <v>22</v>
      </c>
      <c r="F324" s="18" t="s">
        <v>299</v>
      </c>
      <c r="G324" s="19" t="s">
        <v>14</v>
      </c>
      <c r="H324" s="20" t="s">
        <v>291</v>
      </c>
      <c r="I324" s="114" t="s">
        <v>16</v>
      </c>
      <c r="J324" s="21">
        <v>18900</v>
      </c>
      <c r="K324" s="76"/>
      <c r="L324" s="77">
        <v>900</v>
      </c>
      <c r="M324" s="23"/>
      <c r="N324" s="24"/>
      <c r="U324" s="33"/>
    </row>
    <row r="325" spans="1:21" s="13" customFormat="1" ht="16.5" customHeight="1" x14ac:dyDescent="0.45">
      <c r="A325" s="14">
        <v>324</v>
      </c>
      <c r="B325" s="14">
        <v>35</v>
      </c>
      <c r="C325" s="52">
        <v>5</v>
      </c>
      <c r="D325" s="53">
        <v>2</v>
      </c>
      <c r="E325" s="54">
        <v>4</v>
      </c>
      <c r="F325" s="18" t="s">
        <v>94</v>
      </c>
      <c r="G325" s="19" t="s">
        <v>14</v>
      </c>
      <c r="H325" s="20" t="s">
        <v>291</v>
      </c>
      <c r="I325" s="114" t="s">
        <v>16</v>
      </c>
      <c r="J325" s="21">
        <v>18900</v>
      </c>
      <c r="K325" s="76"/>
      <c r="L325" s="77">
        <v>900</v>
      </c>
      <c r="M325" s="23"/>
      <c r="N325" s="24"/>
      <c r="U325" s="33"/>
    </row>
    <row r="326" spans="1:21" s="13" customFormat="1" ht="16.5" customHeight="1" x14ac:dyDescent="0.45">
      <c r="A326" s="14">
        <v>325</v>
      </c>
      <c r="B326" s="14">
        <v>36</v>
      </c>
      <c r="C326" s="52">
        <v>5</v>
      </c>
      <c r="D326" s="53">
        <v>4</v>
      </c>
      <c r="E326" s="54">
        <v>5</v>
      </c>
      <c r="F326" s="18" t="s">
        <v>254</v>
      </c>
      <c r="G326" s="19" t="s">
        <v>14</v>
      </c>
      <c r="H326" s="20" t="s">
        <v>291</v>
      </c>
      <c r="I326" s="114" t="s">
        <v>16</v>
      </c>
      <c r="J326" s="21">
        <v>18900</v>
      </c>
      <c r="K326" s="76"/>
      <c r="L326" s="77">
        <v>900</v>
      </c>
      <c r="M326" s="23"/>
      <c r="N326" s="24"/>
      <c r="U326" s="33"/>
    </row>
    <row r="327" spans="1:21" s="13" customFormat="1" ht="16.5" customHeight="1" x14ac:dyDescent="0.45">
      <c r="A327" s="14">
        <v>326</v>
      </c>
      <c r="B327" s="14">
        <v>37</v>
      </c>
      <c r="C327" s="52">
        <v>5</v>
      </c>
      <c r="D327" s="53">
        <v>5</v>
      </c>
      <c r="E327" s="54">
        <v>17</v>
      </c>
      <c r="F327" s="18" t="s">
        <v>300</v>
      </c>
      <c r="G327" s="19" t="s">
        <v>14</v>
      </c>
      <c r="H327" s="20" t="s">
        <v>291</v>
      </c>
      <c r="I327" s="28" t="s">
        <v>21</v>
      </c>
      <c r="J327" s="29">
        <v>12600</v>
      </c>
      <c r="K327" s="73"/>
      <c r="L327" s="74">
        <v>600</v>
      </c>
      <c r="M327" s="23"/>
      <c r="N327" s="24"/>
      <c r="U327" s="33"/>
    </row>
    <row r="328" spans="1:21" s="13" customFormat="1" ht="16.5" customHeight="1" x14ac:dyDescent="0.45">
      <c r="A328" s="14">
        <v>327</v>
      </c>
      <c r="B328" s="14">
        <v>38</v>
      </c>
      <c r="C328" s="52">
        <v>5</v>
      </c>
      <c r="D328" s="53">
        <v>5</v>
      </c>
      <c r="E328" s="54">
        <v>18</v>
      </c>
      <c r="F328" s="18" t="s">
        <v>127</v>
      </c>
      <c r="G328" s="19" t="s">
        <v>14</v>
      </c>
      <c r="H328" s="20" t="s">
        <v>291</v>
      </c>
      <c r="I328" s="114" t="s">
        <v>16</v>
      </c>
      <c r="J328" s="21">
        <v>18900</v>
      </c>
      <c r="K328" s="76"/>
      <c r="L328" s="77">
        <v>900</v>
      </c>
      <c r="M328" s="23"/>
      <c r="N328" s="24"/>
      <c r="U328" s="33"/>
    </row>
    <row r="329" spans="1:21" s="13" customFormat="1" ht="16.5" customHeight="1" x14ac:dyDescent="0.45">
      <c r="A329" s="14">
        <v>328</v>
      </c>
      <c r="B329" s="14">
        <v>39</v>
      </c>
      <c r="C329" s="52">
        <v>5</v>
      </c>
      <c r="D329" s="53">
        <v>5</v>
      </c>
      <c r="E329" s="54">
        <v>27</v>
      </c>
      <c r="F329" s="18" t="s">
        <v>301</v>
      </c>
      <c r="G329" s="19" t="s">
        <v>14</v>
      </c>
      <c r="H329" s="20" t="s">
        <v>291</v>
      </c>
      <c r="I329" s="28" t="s">
        <v>21</v>
      </c>
      <c r="J329" s="29">
        <v>12600</v>
      </c>
      <c r="K329" s="73"/>
      <c r="L329" s="74">
        <v>600</v>
      </c>
      <c r="M329" s="23"/>
      <c r="N329" s="24"/>
      <c r="U329" s="33"/>
    </row>
    <row r="330" spans="1:21" s="13" customFormat="1" ht="16.5" customHeight="1" x14ac:dyDescent="0.45">
      <c r="A330" s="14">
        <v>329</v>
      </c>
      <c r="B330" s="14">
        <v>40</v>
      </c>
      <c r="C330" s="52">
        <v>5</v>
      </c>
      <c r="D330" s="53">
        <v>6</v>
      </c>
      <c r="E330" s="54">
        <v>1</v>
      </c>
      <c r="F330" s="18" t="s">
        <v>302</v>
      </c>
      <c r="G330" s="19" t="s">
        <v>14</v>
      </c>
      <c r="H330" s="20" t="s">
        <v>291</v>
      </c>
      <c r="I330" s="28" t="s">
        <v>21</v>
      </c>
      <c r="J330" s="29">
        <v>12600</v>
      </c>
      <c r="K330" s="117"/>
      <c r="L330" s="74">
        <v>600</v>
      </c>
      <c r="M330" s="23"/>
      <c r="N330" s="24"/>
      <c r="U330" s="33"/>
    </row>
    <row r="331" spans="1:21" s="13" customFormat="1" ht="16.5" customHeight="1" x14ac:dyDescent="0.45">
      <c r="A331" s="14">
        <v>330</v>
      </c>
      <c r="B331" s="35">
        <v>1</v>
      </c>
      <c r="C331" s="49">
        <v>1</v>
      </c>
      <c r="D331" s="50">
        <v>1</v>
      </c>
      <c r="E331" s="38">
        <v>6</v>
      </c>
      <c r="F331" s="39" t="s">
        <v>58</v>
      </c>
      <c r="G331" s="40" t="s">
        <v>14</v>
      </c>
      <c r="H331" s="41" t="s">
        <v>303</v>
      </c>
      <c r="I331" s="39" t="s">
        <v>60</v>
      </c>
      <c r="J331" s="43">
        <v>25200</v>
      </c>
      <c r="K331" s="70"/>
      <c r="L331" s="71">
        <v>1200</v>
      </c>
      <c r="M331" s="45">
        <f>SUM(J331:K369)</f>
        <v>900900</v>
      </c>
      <c r="N331" s="24"/>
      <c r="U331" s="33"/>
    </row>
    <row r="332" spans="1:21" s="13" customFormat="1" ht="16.5" customHeight="1" x14ac:dyDescent="0.45">
      <c r="A332" s="14">
        <v>331</v>
      </c>
      <c r="B332" s="14">
        <v>2</v>
      </c>
      <c r="C332" s="52">
        <v>1</v>
      </c>
      <c r="D332" s="53">
        <v>2</v>
      </c>
      <c r="E332" s="17">
        <v>16</v>
      </c>
      <c r="F332" s="18" t="s">
        <v>304</v>
      </c>
      <c r="G332" s="19" t="s">
        <v>14</v>
      </c>
      <c r="H332" s="20" t="s">
        <v>303</v>
      </c>
      <c r="I332" s="18" t="s">
        <v>60</v>
      </c>
      <c r="J332" s="21">
        <v>25200</v>
      </c>
      <c r="K332" s="76"/>
      <c r="L332" s="77">
        <v>1200</v>
      </c>
      <c r="M332" s="23"/>
      <c r="N332" s="24"/>
      <c r="U332" s="33"/>
    </row>
    <row r="333" spans="1:21" s="13" customFormat="1" ht="16.5" customHeight="1" x14ac:dyDescent="0.45">
      <c r="A333" s="14">
        <v>332</v>
      </c>
      <c r="B333" s="14">
        <v>3</v>
      </c>
      <c r="C333" s="52">
        <v>1</v>
      </c>
      <c r="D333" s="53">
        <v>3</v>
      </c>
      <c r="E333" s="17">
        <v>21</v>
      </c>
      <c r="F333" s="18" t="s">
        <v>305</v>
      </c>
      <c r="G333" s="19" t="s">
        <v>14</v>
      </c>
      <c r="H333" s="20" t="s">
        <v>303</v>
      </c>
      <c r="I333" s="28" t="s">
        <v>16</v>
      </c>
      <c r="J333" s="29">
        <v>18900</v>
      </c>
      <c r="K333" s="73"/>
      <c r="L333" s="74">
        <v>900</v>
      </c>
      <c r="M333" s="23"/>
      <c r="N333" s="24"/>
      <c r="O333" s="27">
        <f>SUM(J331:K369)</f>
        <v>900900</v>
      </c>
      <c r="U333" s="33"/>
    </row>
    <row r="334" spans="1:21" s="13" customFormat="1" ht="16.5" customHeight="1" x14ac:dyDescent="0.45">
      <c r="A334" s="14">
        <v>333</v>
      </c>
      <c r="B334" s="14">
        <v>4</v>
      </c>
      <c r="C334" s="52">
        <v>1</v>
      </c>
      <c r="D334" s="53">
        <v>4</v>
      </c>
      <c r="E334" s="17">
        <v>13</v>
      </c>
      <c r="F334" s="18" t="s">
        <v>156</v>
      </c>
      <c r="G334" s="19" t="s">
        <v>14</v>
      </c>
      <c r="H334" s="20" t="s">
        <v>303</v>
      </c>
      <c r="I334" s="18" t="s">
        <v>60</v>
      </c>
      <c r="J334" s="21">
        <v>25200</v>
      </c>
      <c r="K334" s="76"/>
      <c r="L334" s="77">
        <v>1200</v>
      </c>
      <c r="M334" s="23"/>
      <c r="N334" s="24"/>
      <c r="O334" s="27">
        <f>SUM(L331:L369)</f>
        <v>42900</v>
      </c>
      <c r="U334" s="33"/>
    </row>
    <row r="335" spans="1:21" s="13" customFormat="1" ht="16.5" customHeight="1" x14ac:dyDescent="0.45">
      <c r="A335" s="14">
        <v>334</v>
      </c>
      <c r="B335" s="14">
        <v>5</v>
      </c>
      <c r="C335" s="52">
        <v>1</v>
      </c>
      <c r="D335" s="53">
        <v>5</v>
      </c>
      <c r="E335" s="17">
        <v>19</v>
      </c>
      <c r="F335" s="18" t="s">
        <v>306</v>
      </c>
      <c r="G335" s="19" t="s">
        <v>14</v>
      </c>
      <c r="H335" s="20" t="s">
        <v>303</v>
      </c>
      <c r="I335" s="28" t="s">
        <v>16</v>
      </c>
      <c r="J335" s="29">
        <v>18900</v>
      </c>
      <c r="K335" s="73"/>
      <c r="L335" s="74">
        <v>900</v>
      </c>
      <c r="M335" s="23"/>
      <c r="N335" s="24"/>
      <c r="O335" s="27">
        <f>SUM(O332:O334)</f>
        <v>943800</v>
      </c>
      <c r="U335" s="33"/>
    </row>
    <row r="336" spans="1:21" s="13" customFormat="1" ht="16.5" customHeight="1" x14ac:dyDescent="0.45">
      <c r="A336" s="14">
        <v>335</v>
      </c>
      <c r="B336" s="14">
        <v>6</v>
      </c>
      <c r="C336" s="52">
        <v>1</v>
      </c>
      <c r="D336" s="53">
        <v>6</v>
      </c>
      <c r="E336" s="17">
        <v>4</v>
      </c>
      <c r="F336" s="18" t="s">
        <v>187</v>
      </c>
      <c r="G336" s="19" t="s">
        <v>14</v>
      </c>
      <c r="H336" s="20" t="s">
        <v>303</v>
      </c>
      <c r="I336" s="18" t="s">
        <v>60</v>
      </c>
      <c r="J336" s="21">
        <v>25200</v>
      </c>
      <c r="K336" s="76"/>
      <c r="L336" s="77">
        <v>1200</v>
      </c>
      <c r="M336" s="23"/>
      <c r="N336" s="24"/>
      <c r="U336" s="33"/>
    </row>
    <row r="337" spans="1:21" s="13" customFormat="1" ht="16.5" customHeight="1" x14ac:dyDescent="0.45">
      <c r="A337" s="14">
        <v>336</v>
      </c>
      <c r="B337" s="14">
        <v>7</v>
      </c>
      <c r="C337" s="52">
        <v>1</v>
      </c>
      <c r="D337" s="53">
        <v>6</v>
      </c>
      <c r="E337" s="17">
        <v>7</v>
      </c>
      <c r="F337" s="18" t="s">
        <v>307</v>
      </c>
      <c r="G337" s="19" t="s">
        <v>14</v>
      </c>
      <c r="H337" s="20" t="s">
        <v>303</v>
      </c>
      <c r="I337" s="28" t="s">
        <v>16</v>
      </c>
      <c r="J337" s="29">
        <v>18900</v>
      </c>
      <c r="K337" s="73"/>
      <c r="L337" s="74">
        <v>900</v>
      </c>
      <c r="M337" s="23"/>
      <c r="N337" s="24"/>
      <c r="U337" s="33"/>
    </row>
    <row r="338" spans="1:21" s="13" customFormat="1" ht="16.5" customHeight="1" x14ac:dyDescent="0.45">
      <c r="A338" s="14">
        <v>337</v>
      </c>
      <c r="B338" s="14">
        <v>8</v>
      </c>
      <c r="C338" s="52">
        <v>1</v>
      </c>
      <c r="D338" s="53">
        <v>6</v>
      </c>
      <c r="E338" s="17">
        <v>19</v>
      </c>
      <c r="F338" s="18" t="s">
        <v>20</v>
      </c>
      <c r="G338" s="19" t="s">
        <v>14</v>
      </c>
      <c r="H338" s="20" t="s">
        <v>308</v>
      </c>
      <c r="I338" s="28" t="s">
        <v>21</v>
      </c>
      <c r="J338" s="29">
        <v>12600</v>
      </c>
      <c r="K338" s="73"/>
      <c r="L338" s="118">
        <v>600</v>
      </c>
      <c r="M338" s="23"/>
      <c r="N338" s="24"/>
      <c r="U338" s="33"/>
    </row>
    <row r="339" spans="1:21" s="13" customFormat="1" ht="16.5" customHeight="1" x14ac:dyDescent="0.45">
      <c r="A339" s="14">
        <v>338</v>
      </c>
      <c r="B339" s="14">
        <v>9</v>
      </c>
      <c r="C339" s="52">
        <v>1</v>
      </c>
      <c r="D339" s="53">
        <v>9</v>
      </c>
      <c r="E339" s="17">
        <v>6</v>
      </c>
      <c r="F339" s="18" t="s">
        <v>189</v>
      </c>
      <c r="G339" s="19" t="s">
        <v>14</v>
      </c>
      <c r="H339" s="20" t="s">
        <v>303</v>
      </c>
      <c r="I339" s="18" t="s">
        <v>60</v>
      </c>
      <c r="J339" s="21">
        <v>25200</v>
      </c>
      <c r="K339" s="76"/>
      <c r="L339" s="77">
        <v>1200</v>
      </c>
      <c r="M339" s="23"/>
      <c r="N339" s="24"/>
      <c r="O339" s="13">
        <v>25200</v>
      </c>
      <c r="P339" s="13">
        <v>1200</v>
      </c>
      <c r="Q339" s="13">
        <v>26400</v>
      </c>
      <c r="U339" s="33"/>
    </row>
    <row r="340" spans="1:21" s="13" customFormat="1" ht="16.5" customHeight="1" x14ac:dyDescent="0.45">
      <c r="A340" s="14">
        <v>339</v>
      </c>
      <c r="B340" s="14">
        <v>10</v>
      </c>
      <c r="C340" s="52">
        <v>1</v>
      </c>
      <c r="D340" s="53">
        <v>11</v>
      </c>
      <c r="E340" s="17">
        <v>2</v>
      </c>
      <c r="F340" s="18" t="s">
        <v>309</v>
      </c>
      <c r="G340" s="19" t="s">
        <v>14</v>
      </c>
      <c r="H340" s="20" t="s">
        <v>303</v>
      </c>
      <c r="I340" s="28" t="s">
        <v>16</v>
      </c>
      <c r="J340" s="29">
        <v>18900</v>
      </c>
      <c r="K340" s="73"/>
      <c r="L340" s="74">
        <v>900</v>
      </c>
      <c r="M340" s="23"/>
      <c r="N340" s="24"/>
      <c r="O340" s="13">
        <f>O339*39</f>
        <v>982800</v>
      </c>
      <c r="P340" s="13">
        <f t="shared" ref="P340:Q340" si="41">P339*39</f>
        <v>46800</v>
      </c>
      <c r="Q340" s="13">
        <f t="shared" si="41"/>
        <v>1029600</v>
      </c>
      <c r="U340" s="33"/>
    </row>
    <row r="341" spans="1:21" s="13" customFormat="1" ht="16.5" customHeight="1" x14ac:dyDescent="0.45">
      <c r="A341" s="14">
        <v>340</v>
      </c>
      <c r="B341" s="14">
        <v>11</v>
      </c>
      <c r="C341" s="52">
        <v>1</v>
      </c>
      <c r="D341" s="53">
        <v>12</v>
      </c>
      <c r="E341" s="17">
        <v>10</v>
      </c>
      <c r="F341" s="18" t="s">
        <v>310</v>
      </c>
      <c r="G341" s="19" t="s">
        <v>14</v>
      </c>
      <c r="H341" s="20" t="s">
        <v>303</v>
      </c>
      <c r="I341" s="18" t="s">
        <v>60</v>
      </c>
      <c r="J341" s="21">
        <v>25200</v>
      </c>
      <c r="K341" s="76"/>
      <c r="L341" s="77">
        <v>1200</v>
      </c>
      <c r="M341" s="23"/>
      <c r="N341" s="24"/>
      <c r="O341" s="13">
        <v>-81900</v>
      </c>
      <c r="P341" s="13">
        <v>-3900</v>
      </c>
      <c r="Q341" s="13">
        <v>-85800</v>
      </c>
      <c r="U341" s="33"/>
    </row>
    <row r="342" spans="1:21" s="13" customFormat="1" ht="16.5" customHeight="1" x14ac:dyDescent="0.45">
      <c r="A342" s="14">
        <v>341</v>
      </c>
      <c r="B342" s="14">
        <v>12</v>
      </c>
      <c r="C342" s="52">
        <v>1</v>
      </c>
      <c r="D342" s="53">
        <v>12</v>
      </c>
      <c r="E342" s="17">
        <v>15</v>
      </c>
      <c r="F342" s="18" t="s">
        <v>240</v>
      </c>
      <c r="G342" s="19" t="s">
        <v>14</v>
      </c>
      <c r="H342" s="20" t="s">
        <v>303</v>
      </c>
      <c r="I342" s="18" t="s">
        <v>60</v>
      </c>
      <c r="J342" s="21">
        <v>25200</v>
      </c>
      <c r="K342" s="76"/>
      <c r="L342" s="77">
        <v>1200</v>
      </c>
      <c r="M342" s="23"/>
      <c r="N342" s="24"/>
      <c r="O342" s="13">
        <f>SUM(O340:O341)</f>
        <v>900900</v>
      </c>
      <c r="P342" s="13">
        <f t="shared" ref="P342:Q342" si="42">SUM(P340:P341)</f>
        <v>42900</v>
      </c>
      <c r="Q342" s="13">
        <f t="shared" si="42"/>
        <v>943800</v>
      </c>
      <c r="U342" s="33"/>
    </row>
    <row r="343" spans="1:21" s="13" customFormat="1" ht="16.5" customHeight="1" x14ac:dyDescent="0.45">
      <c r="A343" s="14">
        <v>342</v>
      </c>
      <c r="B343" s="14">
        <v>13</v>
      </c>
      <c r="C343" s="52">
        <v>1</v>
      </c>
      <c r="D343" s="53">
        <v>12</v>
      </c>
      <c r="E343" s="17">
        <v>16</v>
      </c>
      <c r="F343" s="18" t="s">
        <v>311</v>
      </c>
      <c r="G343" s="19" t="s">
        <v>14</v>
      </c>
      <c r="H343" s="20" t="s">
        <v>303</v>
      </c>
      <c r="I343" s="18" t="s">
        <v>60</v>
      </c>
      <c r="J343" s="21">
        <v>25200</v>
      </c>
      <c r="K343" s="76"/>
      <c r="L343" s="77">
        <v>1200</v>
      </c>
      <c r="M343" s="23"/>
      <c r="N343" s="24"/>
      <c r="U343" s="33"/>
    </row>
    <row r="344" spans="1:21" s="13" customFormat="1" ht="16.5" customHeight="1" x14ac:dyDescent="0.45">
      <c r="A344" s="14">
        <v>343</v>
      </c>
      <c r="B344" s="14">
        <v>14</v>
      </c>
      <c r="C344" s="52">
        <v>2</v>
      </c>
      <c r="D344" s="53">
        <v>1</v>
      </c>
      <c r="E344" s="17">
        <v>7</v>
      </c>
      <c r="F344" s="18" t="s">
        <v>312</v>
      </c>
      <c r="G344" s="19" t="s">
        <v>14</v>
      </c>
      <c r="H344" s="20" t="s">
        <v>303</v>
      </c>
      <c r="I344" s="18" t="s">
        <v>60</v>
      </c>
      <c r="J344" s="21">
        <v>25200</v>
      </c>
      <c r="K344" s="76"/>
      <c r="L344" s="77">
        <v>1200</v>
      </c>
      <c r="M344" s="23"/>
      <c r="N344" s="24"/>
      <c r="O344" s="13">
        <v>25200</v>
      </c>
      <c r="P344" s="13">
        <v>1200</v>
      </c>
      <c r="Q344" s="13">
        <v>26400</v>
      </c>
      <c r="U344" s="33"/>
    </row>
    <row r="345" spans="1:21" s="13" customFormat="1" ht="16.5" customHeight="1" x14ac:dyDescent="0.45">
      <c r="A345" s="14">
        <v>344</v>
      </c>
      <c r="B345" s="14">
        <v>15</v>
      </c>
      <c r="C345" s="52">
        <v>2</v>
      </c>
      <c r="D345" s="53">
        <v>2</v>
      </c>
      <c r="E345" s="17">
        <v>14</v>
      </c>
      <c r="F345" s="18" t="s">
        <v>116</v>
      </c>
      <c r="G345" s="19" t="s">
        <v>14</v>
      </c>
      <c r="H345" s="20" t="s">
        <v>303</v>
      </c>
      <c r="I345" s="18" t="s">
        <v>60</v>
      </c>
      <c r="J345" s="21">
        <v>25200</v>
      </c>
      <c r="K345" s="76"/>
      <c r="L345" s="77">
        <v>1200</v>
      </c>
      <c r="M345" s="23"/>
      <c r="N345" s="24"/>
      <c r="O345" s="13">
        <f>O344*39</f>
        <v>982800</v>
      </c>
      <c r="P345" s="13">
        <f t="shared" ref="P345:Q345" si="43">P344*39</f>
        <v>46800</v>
      </c>
      <c r="Q345" s="13">
        <f t="shared" si="43"/>
        <v>1029600</v>
      </c>
      <c r="U345" s="33"/>
    </row>
    <row r="346" spans="1:21" s="13" customFormat="1" ht="16.5" customHeight="1" x14ac:dyDescent="0.45">
      <c r="A346" s="14">
        <v>345</v>
      </c>
      <c r="B346" s="14">
        <v>16</v>
      </c>
      <c r="C346" s="52">
        <v>2</v>
      </c>
      <c r="D346" s="53">
        <v>3</v>
      </c>
      <c r="E346" s="17">
        <v>8</v>
      </c>
      <c r="F346" s="18" t="s">
        <v>313</v>
      </c>
      <c r="G346" s="19" t="s">
        <v>14</v>
      </c>
      <c r="H346" s="20" t="s">
        <v>303</v>
      </c>
      <c r="I346" s="28" t="s">
        <v>16</v>
      </c>
      <c r="J346" s="29">
        <v>18900</v>
      </c>
      <c r="K346" s="73"/>
      <c r="L346" s="74">
        <v>900</v>
      </c>
      <c r="M346" s="23"/>
      <c r="N346" s="24"/>
      <c r="U346" s="33"/>
    </row>
    <row r="347" spans="1:21" s="13" customFormat="1" ht="16.5" customHeight="1" x14ac:dyDescent="0.45">
      <c r="A347" s="14">
        <v>346</v>
      </c>
      <c r="B347" s="14">
        <v>17</v>
      </c>
      <c r="C347" s="52">
        <v>2</v>
      </c>
      <c r="D347" s="53">
        <v>6</v>
      </c>
      <c r="E347" s="17">
        <v>18</v>
      </c>
      <c r="F347" s="18" t="s">
        <v>164</v>
      </c>
      <c r="G347" s="19" t="s">
        <v>14</v>
      </c>
      <c r="H347" s="20" t="s">
        <v>303</v>
      </c>
      <c r="I347" s="18" t="s">
        <v>60</v>
      </c>
      <c r="J347" s="21">
        <v>25200</v>
      </c>
      <c r="K347" s="76"/>
      <c r="L347" s="77">
        <v>1200</v>
      </c>
      <c r="M347" s="23"/>
      <c r="N347" s="24"/>
      <c r="U347" s="33"/>
    </row>
    <row r="348" spans="1:21" s="13" customFormat="1" ht="16.5" customHeight="1" x14ac:dyDescent="0.45">
      <c r="A348" s="14">
        <v>347</v>
      </c>
      <c r="B348" s="14">
        <v>18</v>
      </c>
      <c r="C348" s="52">
        <v>2</v>
      </c>
      <c r="D348" s="53">
        <v>7</v>
      </c>
      <c r="E348" s="17">
        <v>21</v>
      </c>
      <c r="F348" s="18" t="s">
        <v>85</v>
      </c>
      <c r="G348" s="19" t="s">
        <v>14</v>
      </c>
      <c r="H348" s="20" t="s">
        <v>303</v>
      </c>
      <c r="I348" s="28" t="s">
        <v>16</v>
      </c>
      <c r="J348" s="29">
        <v>18900</v>
      </c>
      <c r="K348" s="73"/>
      <c r="L348" s="74">
        <v>900</v>
      </c>
      <c r="M348" s="23"/>
      <c r="N348" s="24"/>
      <c r="O348" s="13">
        <v>25200</v>
      </c>
      <c r="P348" s="13">
        <v>1200</v>
      </c>
      <c r="Q348" s="13">
        <v>26400</v>
      </c>
      <c r="U348" s="33"/>
    </row>
    <row r="349" spans="1:21" s="13" customFormat="1" ht="16.5" customHeight="1" x14ac:dyDescent="0.45">
      <c r="A349" s="14">
        <v>348</v>
      </c>
      <c r="B349" s="14">
        <v>19</v>
      </c>
      <c r="C349" s="52">
        <v>2</v>
      </c>
      <c r="D349" s="53">
        <v>7</v>
      </c>
      <c r="E349" s="17">
        <v>23</v>
      </c>
      <c r="F349" s="18" t="s">
        <v>314</v>
      </c>
      <c r="G349" s="19" t="s">
        <v>14</v>
      </c>
      <c r="H349" s="20" t="s">
        <v>303</v>
      </c>
      <c r="I349" s="18" t="s">
        <v>60</v>
      </c>
      <c r="J349" s="21">
        <v>25200</v>
      </c>
      <c r="K349" s="76"/>
      <c r="L349" s="77">
        <v>1200</v>
      </c>
      <c r="M349" s="23"/>
      <c r="N349" s="24"/>
      <c r="O349" s="13">
        <f>O348*39</f>
        <v>982800</v>
      </c>
      <c r="P349" s="13">
        <f t="shared" ref="P349:Q349" si="44">P348*39</f>
        <v>46800</v>
      </c>
      <c r="Q349" s="13">
        <f t="shared" si="44"/>
        <v>1029600</v>
      </c>
      <c r="U349" s="33"/>
    </row>
    <row r="350" spans="1:21" s="13" customFormat="1" ht="16.5" customHeight="1" x14ac:dyDescent="0.45">
      <c r="A350" s="14">
        <v>349</v>
      </c>
      <c r="B350" s="14">
        <v>20</v>
      </c>
      <c r="C350" s="52">
        <v>2</v>
      </c>
      <c r="D350" s="53">
        <v>8</v>
      </c>
      <c r="E350" s="17">
        <v>1</v>
      </c>
      <c r="F350" s="18" t="s">
        <v>123</v>
      </c>
      <c r="G350" s="19" t="s">
        <v>14</v>
      </c>
      <c r="H350" s="20" t="s">
        <v>303</v>
      </c>
      <c r="I350" s="18" t="s">
        <v>60</v>
      </c>
      <c r="J350" s="21">
        <v>25200</v>
      </c>
      <c r="K350" s="76"/>
      <c r="L350" s="77">
        <v>1200</v>
      </c>
      <c r="M350" s="23"/>
      <c r="N350" s="24"/>
      <c r="U350" s="33"/>
    </row>
    <row r="351" spans="1:21" s="13" customFormat="1" ht="16.5" customHeight="1" x14ac:dyDescent="0.45">
      <c r="A351" s="14">
        <v>350</v>
      </c>
      <c r="B351" s="14">
        <v>21</v>
      </c>
      <c r="C351" s="52">
        <v>1</v>
      </c>
      <c r="D351" s="53">
        <v>8</v>
      </c>
      <c r="E351" s="17">
        <v>10</v>
      </c>
      <c r="F351" s="18" t="s">
        <v>82</v>
      </c>
      <c r="G351" s="19" t="s">
        <v>14</v>
      </c>
      <c r="H351" s="20" t="s">
        <v>315</v>
      </c>
      <c r="I351" s="18" t="s">
        <v>60</v>
      </c>
      <c r="J351" s="21">
        <v>25200</v>
      </c>
      <c r="K351" s="76"/>
      <c r="L351" s="77">
        <v>1200</v>
      </c>
      <c r="M351" s="23"/>
      <c r="N351" s="24"/>
      <c r="U351" s="33"/>
    </row>
    <row r="352" spans="1:21" s="13" customFormat="1" ht="16.5" customHeight="1" x14ac:dyDescent="0.45">
      <c r="A352" s="14">
        <v>351</v>
      </c>
      <c r="B352" s="14">
        <v>22</v>
      </c>
      <c r="C352" s="52">
        <v>1</v>
      </c>
      <c r="D352" s="53">
        <v>11</v>
      </c>
      <c r="E352" s="17">
        <v>5</v>
      </c>
      <c r="F352" s="18" t="s">
        <v>112</v>
      </c>
      <c r="G352" s="19" t="s">
        <v>14</v>
      </c>
      <c r="H352" s="20" t="s">
        <v>315</v>
      </c>
      <c r="I352" s="28" t="s">
        <v>16</v>
      </c>
      <c r="J352" s="29">
        <v>18900</v>
      </c>
      <c r="K352" s="73"/>
      <c r="L352" s="74">
        <v>900</v>
      </c>
      <c r="M352" s="23"/>
      <c r="N352" s="24"/>
      <c r="S352" s="34">
        <f>SUM(O342,O345,O349)</f>
        <v>2866500</v>
      </c>
      <c r="T352" s="34">
        <f>SUM(P342,P345,P349)</f>
        <v>136500</v>
      </c>
      <c r="U352" s="34">
        <f>SUM(Q342,Q345,Q349)</f>
        <v>3003000</v>
      </c>
    </row>
    <row r="353" spans="1:21" s="13" customFormat="1" ht="16.5" customHeight="1" x14ac:dyDescent="0.45">
      <c r="A353" s="14">
        <v>352</v>
      </c>
      <c r="B353" s="14">
        <v>23</v>
      </c>
      <c r="C353" s="52">
        <v>2</v>
      </c>
      <c r="D353" s="53">
        <v>2</v>
      </c>
      <c r="E353" s="17">
        <v>13</v>
      </c>
      <c r="F353" s="18" t="s">
        <v>244</v>
      </c>
      <c r="G353" s="19" t="s">
        <v>14</v>
      </c>
      <c r="H353" s="20" t="s">
        <v>315</v>
      </c>
      <c r="I353" s="28" t="s">
        <v>16</v>
      </c>
      <c r="J353" s="29">
        <v>18900</v>
      </c>
      <c r="K353" s="73"/>
      <c r="L353" s="74">
        <v>900</v>
      </c>
      <c r="M353" s="23"/>
      <c r="N353" s="24"/>
      <c r="U353" s="33"/>
    </row>
    <row r="354" spans="1:21" s="13" customFormat="1" ht="16.5" customHeight="1" x14ac:dyDescent="0.45">
      <c r="A354" s="14">
        <v>353</v>
      </c>
      <c r="B354" s="14">
        <v>24</v>
      </c>
      <c r="C354" s="52">
        <v>2</v>
      </c>
      <c r="D354" s="53">
        <v>4</v>
      </c>
      <c r="E354" s="17">
        <v>7</v>
      </c>
      <c r="F354" s="18" t="s">
        <v>69</v>
      </c>
      <c r="G354" s="19" t="s">
        <v>14</v>
      </c>
      <c r="H354" s="20" t="s">
        <v>315</v>
      </c>
      <c r="I354" s="18" t="s">
        <v>60</v>
      </c>
      <c r="J354" s="21">
        <v>25200</v>
      </c>
      <c r="K354" s="76"/>
      <c r="L354" s="77">
        <v>1200</v>
      </c>
      <c r="M354" s="23"/>
      <c r="N354" s="24"/>
      <c r="U354" s="33"/>
    </row>
    <row r="355" spans="1:21" s="13" customFormat="1" ht="16.5" customHeight="1" x14ac:dyDescent="0.45">
      <c r="A355" s="14">
        <v>354</v>
      </c>
      <c r="B355" s="14">
        <v>25</v>
      </c>
      <c r="C355" s="52">
        <v>2</v>
      </c>
      <c r="D355" s="53">
        <v>7</v>
      </c>
      <c r="E355" s="17">
        <v>20</v>
      </c>
      <c r="F355" s="18" t="s">
        <v>84</v>
      </c>
      <c r="G355" s="19" t="s">
        <v>14</v>
      </c>
      <c r="H355" s="20" t="s">
        <v>315</v>
      </c>
      <c r="I355" s="28" t="s">
        <v>16</v>
      </c>
      <c r="J355" s="29">
        <v>18900</v>
      </c>
      <c r="K355" s="73"/>
      <c r="L355" s="74">
        <v>900</v>
      </c>
      <c r="M355" s="23"/>
      <c r="N355" s="24"/>
    </row>
    <row r="356" spans="1:21" s="13" customFormat="1" ht="16.5" customHeight="1" x14ac:dyDescent="0.45">
      <c r="A356" s="14">
        <v>355</v>
      </c>
      <c r="B356" s="14">
        <v>26</v>
      </c>
      <c r="C356" s="52">
        <v>2</v>
      </c>
      <c r="D356" s="53">
        <v>9</v>
      </c>
      <c r="E356" s="17">
        <v>21</v>
      </c>
      <c r="F356" s="18" t="s">
        <v>71</v>
      </c>
      <c r="G356" s="19" t="s">
        <v>14</v>
      </c>
      <c r="H356" s="20" t="s">
        <v>315</v>
      </c>
      <c r="I356" s="18" t="s">
        <v>60</v>
      </c>
      <c r="J356" s="21">
        <v>25200</v>
      </c>
      <c r="K356" s="76"/>
      <c r="L356" s="77">
        <v>1200</v>
      </c>
      <c r="M356" s="23"/>
      <c r="N356" s="24"/>
    </row>
    <row r="357" spans="1:21" s="13" customFormat="1" ht="16.5" customHeight="1" x14ac:dyDescent="0.45">
      <c r="A357" s="14">
        <v>356</v>
      </c>
      <c r="B357" s="14">
        <v>27</v>
      </c>
      <c r="C357" s="52">
        <v>2</v>
      </c>
      <c r="D357" s="53">
        <v>11</v>
      </c>
      <c r="E357" s="17">
        <v>13</v>
      </c>
      <c r="F357" s="18" t="s">
        <v>289</v>
      </c>
      <c r="G357" s="19" t="s">
        <v>14</v>
      </c>
      <c r="H357" s="20" t="s">
        <v>315</v>
      </c>
      <c r="I357" s="28" t="s">
        <v>16</v>
      </c>
      <c r="J357" s="29">
        <v>18900</v>
      </c>
      <c r="K357" s="73"/>
      <c r="L357" s="74">
        <v>900</v>
      </c>
      <c r="M357" s="23"/>
      <c r="N357" s="24"/>
    </row>
    <row r="358" spans="1:21" s="13" customFormat="1" ht="16.5" customHeight="1" x14ac:dyDescent="0.45">
      <c r="A358" s="14">
        <v>357</v>
      </c>
      <c r="B358" s="14">
        <v>28</v>
      </c>
      <c r="C358" s="52">
        <v>3</v>
      </c>
      <c r="D358" s="53">
        <v>1</v>
      </c>
      <c r="E358" s="17">
        <v>16</v>
      </c>
      <c r="F358" s="18" t="s">
        <v>73</v>
      </c>
      <c r="G358" s="19" t="s">
        <v>14</v>
      </c>
      <c r="H358" s="20" t="s">
        <v>315</v>
      </c>
      <c r="I358" s="18" t="s">
        <v>60</v>
      </c>
      <c r="J358" s="21">
        <v>25200</v>
      </c>
      <c r="K358" s="76"/>
      <c r="L358" s="77">
        <v>1200</v>
      </c>
      <c r="M358" s="23"/>
      <c r="N358" s="24"/>
    </row>
    <row r="359" spans="1:21" s="13" customFormat="1" ht="16.5" customHeight="1" x14ac:dyDescent="0.45">
      <c r="A359" s="14">
        <v>358</v>
      </c>
      <c r="B359" s="14">
        <v>29</v>
      </c>
      <c r="C359" s="52">
        <v>3</v>
      </c>
      <c r="D359" s="53">
        <v>1</v>
      </c>
      <c r="E359" s="17">
        <v>20</v>
      </c>
      <c r="F359" s="18" t="s">
        <v>316</v>
      </c>
      <c r="G359" s="19" t="s">
        <v>14</v>
      </c>
      <c r="H359" s="20" t="s">
        <v>315</v>
      </c>
      <c r="I359" s="18" t="s">
        <v>60</v>
      </c>
      <c r="J359" s="21">
        <v>25200</v>
      </c>
      <c r="K359" s="76"/>
      <c r="L359" s="77">
        <v>1200</v>
      </c>
      <c r="M359" s="23"/>
      <c r="N359" s="24"/>
    </row>
    <row r="360" spans="1:21" s="13" customFormat="1" ht="16.5" customHeight="1" x14ac:dyDescent="0.45">
      <c r="A360" s="14">
        <v>359</v>
      </c>
      <c r="B360" s="14">
        <v>30</v>
      </c>
      <c r="C360" s="52">
        <v>3</v>
      </c>
      <c r="D360" s="53">
        <v>2</v>
      </c>
      <c r="E360" s="17">
        <v>10</v>
      </c>
      <c r="F360" s="18" t="s">
        <v>317</v>
      </c>
      <c r="G360" s="19" t="s">
        <v>14</v>
      </c>
      <c r="H360" s="20" t="s">
        <v>315</v>
      </c>
      <c r="I360" s="18" t="s">
        <v>60</v>
      </c>
      <c r="J360" s="21">
        <v>25200</v>
      </c>
      <c r="K360" s="76"/>
      <c r="L360" s="77">
        <v>1200</v>
      </c>
      <c r="M360" s="23"/>
      <c r="N360" s="24"/>
    </row>
    <row r="361" spans="1:21" s="13" customFormat="1" ht="16.5" customHeight="1" x14ac:dyDescent="0.45">
      <c r="A361" s="14">
        <v>360</v>
      </c>
      <c r="B361" s="14">
        <v>31</v>
      </c>
      <c r="C361" s="52">
        <v>3</v>
      </c>
      <c r="D361" s="53">
        <v>4</v>
      </c>
      <c r="E361" s="17">
        <v>4</v>
      </c>
      <c r="F361" s="18" t="s">
        <v>123</v>
      </c>
      <c r="G361" s="19" t="s">
        <v>14</v>
      </c>
      <c r="H361" s="20" t="s">
        <v>315</v>
      </c>
      <c r="I361" s="18" t="s">
        <v>60</v>
      </c>
      <c r="J361" s="21">
        <v>25200</v>
      </c>
      <c r="K361" s="76"/>
      <c r="L361" s="77">
        <v>1200</v>
      </c>
      <c r="M361" s="23"/>
      <c r="N361" s="24"/>
    </row>
    <row r="362" spans="1:21" s="13" customFormat="1" ht="16.5" customHeight="1" x14ac:dyDescent="0.45">
      <c r="A362" s="14">
        <v>361</v>
      </c>
      <c r="B362" s="14">
        <v>32</v>
      </c>
      <c r="C362" s="52">
        <v>3</v>
      </c>
      <c r="D362" s="53">
        <v>4</v>
      </c>
      <c r="E362" s="17">
        <v>20</v>
      </c>
      <c r="F362" s="18" t="s">
        <v>318</v>
      </c>
      <c r="G362" s="19" t="s">
        <v>14</v>
      </c>
      <c r="H362" s="20" t="s">
        <v>315</v>
      </c>
      <c r="I362" s="18" t="s">
        <v>60</v>
      </c>
      <c r="J362" s="21">
        <v>25200</v>
      </c>
      <c r="K362" s="76"/>
      <c r="L362" s="77">
        <v>1200</v>
      </c>
      <c r="M362" s="23"/>
      <c r="N362" s="24"/>
    </row>
    <row r="363" spans="1:21" s="13" customFormat="1" ht="16.5" customHeight="1" x14ac:dyDescent="0.45">
      <c r="A363" s="14">
        <v>362</v>
      </c>
      <c r="B363" s="14">
        <v>33</v>
      </c>
      <c r="C363" s="52">
        <v>3</v>
      </c>
      <c r="D363" s="53">
        <v>4</v>
      </c>
      <c r="E363" s="17">
        <v>21</v>
      </c>
      <c r="F363" s="18" t="s">
        <v>319</v>
      </c>
      <c r="G363" s="19" t="s">
        <v>14</v>
      </c>
      <c r="H363" s="20" t="s">
        <v>315</v>
      </c>
      <c r="I363" s="18" t="s">
        <v>60</v>
      </c>
      <c r="J363" s="21">
        <v>25200</v>
      </c>
      <c r="K363" s="76"/>
      <c r="L363" s="77">
        <v>1200</v>
      </c>
      <c r="M363" s="23"/>
      <c r="N363" s="24"/>
    </row>
    <row r="364" spans="1:21" s="13" customFormat="1" ht="16.5" customHeight="1" x14ac:dyDescent="0.45">
      <c r="A364" s="14">
        <v>363</v>
      </c>
      <c r="B364" s="14">
        <v>34</v>
      </c>
      <c r="C364" s="52">
        <v>3</v>
      </c>
      <c r="D364" s="53">
        <v>8</v>
      </c>
      <c r="E364" s="17">
        <v>8</v>
      </c>
      <c r="F364" s="18" t="s">
        <v>320</v>
      </c>
      <c r="G364" s="19" t="s">
        <v>14</v>
      </c>
      <c r="H364" s="20" t="s">
        <v>315</v>
      </c>
      <c r="I364" s="18" t="s">
        <v>60</v>
      </c>
      <c r="J364" s="21">
        <v>25200</v>
      </c>
      <c r="K364" s="76"/>
      <c r="L364" s="77">
        <v>1200</v>
      </c>
      <c r="M364" s="23"/>
      <c r="N364" s="24"/>
      <c r="Q364" s="32"/>
      <c r="R364" s="32"/>
      <c r="S364" s="32"/>
      <c r="T364" s="32"/>
    </row>
    <row r="365" spans="1:21" s="13" customFormat="1" ht="16.5" customHeight="1" x14ac:dyDescent="0.45">
      <c r="A365" s="14">
        <v>364</v>
      </c>
      <c r="B365" s="14">
        <v>35</v>
      </c>
      <c r="C365" s="52">
        <v>3</v>
      </c>
      <c r="D365" s="53">
        <v>9</v>
      </c>
      <c r="E365" s="17">
        <v>9</v>
      </c>
      <c r="F365" s="18" t="s">
        <v>321</v>
      </c>
      <c r="G365" s="19" t="s">
        <v>14</v>
      </c>
      <c r="H365" s="20" t="s">
        <v>315</v>
      </c>
      <c r="I365" s="18" t="s">
        <v>60</v>
      </c>
      <c r="J365" s="21">
        <v>25200</v>
      </c>
      <c r="K365" s="76"/>
      <c r="L365" s="77">
        <v>1200</v>
      </c>
      <c r="M365" s="23"/>
      <c r="N365" s="24"/>
    </row>
    <row r="366" spans="1:21" s="13" customFormat="1" ht="16.5" customHeight="1" x14ac:dyDescent="0.45">
      <c r="A366" s="14">
        <v>365</v>
      </c>
      <c r="B366" s="14">
        <v>36</v>
      </c>
      <c r="C366" s="52">
        <v>3</v>
      </c>
      <c r="D366" s="53">
        <v>9</v>
      </c>
      <c r="E366" s="17">
        <v>18</v>
      </c>
      <c r="F366" s="18" t="s">
        <v>322</v>
      </c>
      <c r="G366" s="19" t="s">
        <v>14</v>
      </c>
      <c r="H366" s="20" t="s">
        <v>315</v>
      </c>
      <c r="I366" s="18" t="s">
        <v>60</v>
      </c>
      <c r="J366" s="21">
        <v>25200</v>
      </c>
      <c r="K366" s="76"/>
      <c r="L366" s="77">
        <v>1200</v>
      </c>
      <c r="M366" s="23"/>
      <c r="N366" s="24"/>
    </row>
    <row r="367" spans="1:21" s="13" customFormat="1" ht="16.5" customHeight="1" x14ac:dyDescent="0.45">
      <c r="A367" s="14">
        <v>366</v>
      </c>
      <c r="B367" s="14">
        <v>37</v>
      </c>
      <c r="C367" s="52">
        <v>4</v>
      </c>
      <c r="D367" s="53">
        <v>2</v>
      </c>
      <c r="E367" s="17">
        <v>19</v>
      </c>
      <c r="F367" s="18" t="s">
        <v>323</v>
      </c>
      <c r="G367" s="19" t="s">
        <v>14</v>
      </c>
      <c r="H367" s="20" t="s">
        <v>315</v>
      </c>
      <c r="I367" s="18" t="s">
        <v>60</v>
      </c>
      <c r="J367" s="21">
        <v>25200</v>
      </c>
      <c r="K367" s="76"/>
      <c r="L367" s="77">
        <v>1200</v>
      </c>
      <c r="M367" s="23"/>
      <c r="N367" s="24"/>
    </row>
    <row r="368" spans="1:21" s="13" customFormat="1" ht="16.5" customHeight="1" x14ac:dyDescent="0.45">
      <c r="A368" s="14">
        <v>367</v>
      </c>
      <c r="B368" s="14">
        <v>38</v>
      </c>
      <c r="C368" s="52">
        <v>4</v>
      </c>
      <c r="D368" s="53">
        <v>5</v>
      </c>
      <c r="E368" s="17">
        <v>15</v>
      </c>
      <c r="F368" s="18" t="s">
        <v>79</v>
      </c>
      <c r="G368" s="19" t="s">
        <v>14</v>
      </c>
      <c r="H368" s="20" t="s">
        <v>315</v>
      </c>
      <c r="I368" s="28" t="s">
        <v>16</v>
      </c>
      <c r="J368" s="29">
        <v>18900</v>
      </c>
      <c r="K368" s="73"/>
      <c r="L368" s="74">
        <v>900</v>
      </c>
      <c r="M368" s="23"/>
      <c r="N368" s="24"/>
    </row>
    <row r="369" spans="1:17" s="13" customFormat="1" ht="16.5" customHeight="1" x14ac:dyDescent="0.45">
      <c r="A369" s="14">
        <v>368</v>
      </c>
      <c r="B369" s="14">
        <v>39</v>
      </c>
      <c r="C369" s="52">
        <v>5</v>
      </c>
      <c r="D369" s="53">
        <v>2</v>
      </c>
      <c r="E369" s="17">
        <v>13</v>
      </c>
      <c r="F369" s="18" t="s">
        <v>324</v>
      </c>
      <c r="G369" s="19" t="s">
        <v>14</v>
      </c>
      <c r="H369" s="20" t="s">
        <v>315</v>
      </c>
      <c r="I369" s="48" t="s">
        <v>60</v>
      </c>
      <c r="J369" s="21">
        <v>25200</v>
      </c>
      <c r="K369" s="76"/>
      <c r="L369" s="77">
        <v>1200</v>
      </c>
      <c r="M369" s="23"/>
      <c r="N369" s="24"/>
    </row>
    <row r="370" spans="1:17" s="13" customFormat="1" ht="16.5" customHeight="1" x14ac:dyDescent="0.45">
      <c r="A370" s="14">
        <v>369</v>
      </c>
      <c r="B370" s="35">
        <v>1</v>
      </c>
      <c r="C370" s="49">
        <v>1</v>
      </c>
      <c r="D370" s="50">
        <v>3</v>
      </c>
      <c r="E370" s="51">
        <v>6</v>
      </c>
      <c r="F370" s="39" t="s">
        <v>80</v>
      </c>
      <c r="G370" s="40" t="s">
        <v>14</v>
      </c>
      <c r="H370" s="41" t="s">
        <v>325</v>
      </c>
      <c r="I370" s="110" t="s">
        <v>326</v>
      </c>
      <c r="J370" s="119">
        <v>9450</v>
      </c>
      <c r="K370" s="120"/>
      <c r="L370" s="119">
        <v>450</v>
      </c>
      <c r="M370" s="45">
        <f>SUM(J370:K399)</f>
        <v>504000</v>
      </c>
      <c r="N370" s="24"/>
    </row>
    <row r="371" spans="1:17" s="13" customFormat="1" ht="16.5" customHeight="1" x14ac:dyDescent="0.45">
      <c r="A371" s="14">
        <v>370</v>
      </c>
      <c r="B371" s="14">
        <v>2</v>
      </c>
      <c r="C371" s="52">
        <v>1</v>
      </c>
      <c r="D371" s="53">
        <v>3</v>
      </c>
      <c r="E371" s="54">
        <v>10</v>
      </c>
      <c r="F371" s="18" t="s">
        <v>169</v>
      </c>
      <c r="G371" s="19" t="s">
        <v>14</v>
      </c>
      <c r="H371" s="20" t="s">
        <v>325</v>
      </c>
      <c r="I371" s="28" t="s">
        <v>327</v>
      </c>
      <c r="J371" s="47">
        <v>15750</v>
      </c>
      <c r="K371" s="30"/>
      <c r="L371" s="47">
        <v>750</v>
      </c>
      <c r="M371" s="23"/>
      <c r="N371" s="24"/>
    </row>
    <row r="372" spans="1:17" s="13" customFormat="1" ht="16.5" customHeight="1" x14ac:dyDescent="0.45">
      <c r="A372" s="14">
        <v>371</v>
      </c>
      <c r="B372" s="14">
        <v>3</v>
      </c>
      <c r="C372" s="52">
        <v>1</v>
      </c>
      <c r="D372" s="53">
        <v>4</v>
      </c>
      <c r="E372" s="54">
        <v>17</v>
      </c>
      <c r="F372" s="18" t="s">
        <v>215</v>
      </c>
      <c r="G372" s="19" t="s">
        <v>14</v>
      </c>
      <c r="H372" s="20" t="s">
        <v>325</v>
      </c>
      <c r="I372" s="18" t="s">
        <v>328</v>
      </c>
      <c r="J372" s="46">
        <v>18900</v>
      </c>
      <c r="K372" s="22"/>
      <c r="L372" s="46">
        <v>900</v>
      </c>
      <c r="M372" s="23"/>
      <c r="N372" s="24"/>
      <c r="O372" s="27">
        <f>SUM(J370:K399)</f>
        <v>504000</v>
      </c>
    </row>
    <row r="373" spans="1:17" s="13" customFormat="1" ht="16.5" customHeight="1" x14ac:dyDescent="0.45">
      <c r="A373" s="14">
        <v>372</v>
      </c>
      <c r="B373" s="14">
        <v>4</v>
      </c>
      <c r="C373" s="52">
        <v>1</v>
      </c>
      <c r="D373" s="53">
        <v>8</v>
      </c>
      <c r="E373" s="54">
        <v>6</v>
      </c>
      <c r="F373" s="18" t="s">
        <v>130</v>
      </c>
      <c r="G373" s="19" t="s">
        <v>14</v>
      </c>
      <c r="H373" s="20" t="s">
        <v>325</v>
      </c>
      <c r="I373" s="18" t="s">
        <v>328</v>
      </c>
      <c r="J373" s="46">
        <v>18900</v>
      </c>
      <c r="K373" s="22"/>
      <c r="L373" s="46">
        <v>900</v>
      </c>
      <c r="M373" s="23"/>
      <c r="N373" s="24"/>
      <c r="O373" s="27">
        <f>SUM(L370:L399)</f>
        <v>24000</v>
      </c>
    </row>
    <row r="374" spans="1:17" s="13" customFormat="1" ht="16.5" customHeight="1" x14ac:dyDescent="0.45">
      <c r="A374" s="14">
        <v>373</v>
      </c>
      <c r="B374" s="14">
        <v>5</v>
      </c>
      <c r="C374" s="52">
        <v>1</v>
      </c>
      <c r="D374" s="53">
        <v>8</v>
      </c>
      <c r="E374" s="54">
        <v>11</v>
      </c>
      <c r="F374" s="18" t="s">
        <v>237</v>
      </c>
      <c r="G374" s="19" t="s">
        <v>14</v>
      </c>
      <c r="H374" s="20" t="s">
        <v>325</v>
      </c>
      <c r="I374" s="18" t="s">
        <v>328</v>
      </c>
      <c r="J374" s="46">
        <v>18900</v>
      </c>
      <c r="K374" s="22"/>
      <c r="L374" s="46">
        <v>900</v>
      </c>
      <c r="M374" s="23"/>
      <c r="N374" s="24"/>
      <c r="O374" s="27">
        <f>SUM(O372:O373)</f>
        <v>528000</v>
      </c>
    </row>
    <row r="375" spans="1:17" s="13" customFormat="1" ht="16.5" customHeight="1" x14ac:dyDescent="0.45">
      <c r="A375" s="14">
        <v>374</v>
      </c>
      <c r="B375" s="14">
        <v>6</v>
      </c>
      <c r="C375" s="52">
        <v>1</v>
      </c>
      <c r="D375" s="53">
        <v>11</v>
      </c>
      <c r="E375" s="54">
        <v>14</v>
      </c>
      <c r="F375" s="18" t="s">
        <v>114</v>
      </c>
      <c r="G375" s="19" t="s">
        <v>14</v>
      </c>
      <c r="H375" s="20" t="s">
        <v>325</v>
      </c>
      <c r="I375" s="18" t="s">
        <v>328</v>
      </c>
      <c r="J375" s="46">
        <v>18900</v>
      </c>
      <c r="K375" s="22"/>
      <c r="L375" s="46">
        <v>900</v>
      </c>
      <c r="M375" s="23"/>
      <c r="N375" s="24"/>
    </row>
    <row r="376" spans="1:17" s="13" customFormat="1" ht="16.5" customHeight="1" x14ac:dyDescent="0.45">
      <c r="A376" s="14">
        <v>375</v>
      </c>
      <c r="B376" s="14">
        <v>7</v>
      </c>
      <c r="C376" s="52">
        <v>2</v>
      </c>
      <c r="D376" s="53">
        <v>1</v>
      </c>
      <c r="E376" s="54">
        <v>17</v>
      </c>
      <c r="F376" s="18" t="s">
        <v>242</v>
      </c>
      <c r="G376" s="19" t="s">
        <v>14</v>
      </c>
      <c r="H376" s="20" t="s">
        <v>325</v>
      </c>
      <c r="I376" s="18" t="s">
        <v>328</v>
      </c>
      <c r="J376" s="46">
        <v>18900</v>
      </c>
      <c r="K376" s="22"/>
      <c r="L376" s="46">
        <v>900</v>
      </c>
      <c r="M376" s="23"/>
      <c r="N376" s="24"/>
    </row>
    <row r="377" spans="1:17" s="13" customFormat="1" ht="16.5" customHeight="1" x14ac:dyDescent="0.45">
      <c r="A377" s="14">
        <v>376</v>
      </c>
      <c r="B377" s="14">
        <v>8</v>
      </c>
      <c r="C377" s="52">
        <v>2</v>
      </c>
      <c r="D377" s="53">
        <v>7</v>
      </c>
      <c r="E377" s="54">
        <v>1</v>
      </c>
      <c r="F377" s="18" t="s">
        <v>41</v>
      </c>
      <c r="G377" s="19" t="s">
        <v>14</v>
      </c>
      <c r="H377" s="20" t="s">
        <v>325</v>
      </c>
      <c r="I377" s="18" t="s">
        <v>328</v>
      </c>
      <c r="J377" s="46">
        <v>18900</v>
      </c>
      <c r="K377" s="22"/>
      <c r="L377" s="46">
        <v>900</v>
      </c>
      <c r="M377" s="23"/>
      <c r="N377" s="24"/>
    </row>
    <row r="378" spans="1:17" s="13" customFormat="1" ht="16.5" customHeight="1" x14ac:dyDescent="0.45">
      <c r="A378" s="14">
        <v>377</v>
      </c>
      <c r="B378" s="14">
        <v>9</v>
      </c>
      <c r="C378" s="52">
        <v>2</v>
      </c>
      <c r="D378" s="53">
        <v>7</v>
      </c>
      <c r="E378" s="54">
        <v>12</v>
      </c>
      <c r="F378" s="18" t="s">
        <v>42</v>
      </c>
      <c r="G378" s="19" t="s">
        <v>14</v>
      </c>
      <c r="H378" s="20" t="s">
        <v>325</v>
      </c>
      <c r="I378" s="18" t="s">
        <v>328</v>
      </c>
      <c r="J378" s="46">
        <v>18900</v>
      </c>
      <c r="K378" s="22"/>
      <c r="L378" s="46">
        <v>900</v>
      </c>
      <c r="M378" s="23"/>
      <c r="N378" s="24"/>
      <c r="O378" s="46">
        <v>18900</v>
      </c>
      <c r="P378" s="46">
        <v>900</v>
      </c>
      <c r="Q378" s="13">
        <v>19800</v>
      </c>
    </row>
    <row r="379" spans="1:17" s="13" customFormat="1" ht="16.5" customHeight="1" x14ac:dyDescent="0.45">
      <c r="A379" s="14">
        <v>378</v>
      </c>
      <c r="B379" s="14">
        <v>10</v>
      </c>
      <c r="C379" s="52">
        <v>2</v>
      </c>
      <c r="D379" s="53">
        <v>9</v>
      </c>
      <c r="E379" s="54">
        <v>1</v>
      </c>
      <c r="F379" s="18" t="s">
        <v>329</v>
      </c>
      <c r="G379" s="19" t="s">
        <v>14</v>
      </c>
      <c r="H379" s="20" t="s">
        <v>325</v>
      </c>
      <c r="I379" s="18" t="s">
        <v>328</v>
      </c>
      <c r="J379" s="46">
        <v>18900</v>
      </c>
      <c r="K379" s="22"/>
      <c r="L379" s="46">
        <v>900</v>
      </c>
      <c r="M379" s="23"/>
      <c r="N379" s="24"/>
      <c r="O379" s="13">
        <f>O378*30</f>
        <v>567000</v>
      </c>
      <c r="P379" s="13">
        <f t="shared" ref="P379:Q379" si="45">P378*30</f>
        <v>27000</v>
      </c>
      <c r="Q379" s="13">
        <f t="shared" si="45"/>
        <v>594000</v>
      </c>
    </row>
    <row r="380" spans="1:17" s="13" customFormat="1" ht="16.5" customHeight="1" x14ac:dyDescent="0.45">
      <c r="A380" s="14">
        <v>379</v>
      </c>
      <c r="B380" s="14">
        <v>11</v>
      </c>
      <c r="C380" s="52">
        <v>2</v>
      </c>
      <c r="D380" s="53">
        <v>10</v>
      </c>
      <c r="E380" s="54">
        <v>19</v>
      </c>
      <c r="F380" s="18" t="s">
        <v>44</v>
      </c>
      <c r="G380" s="19" t="s">
        <v>14</v>
      </c>
      <c r="H380" s="20" t="s">
        <v>325</v>
      </c>
      <c r="I380" s="28" t="s">
        <v>330</v>
      </c>
      <c r="J380" s="47">
        <v>12600</v>
      </c>
      <c r="K380" s="30"/>
      <c r="L380" s="47">
        <v>600</v>
      </c>
      <c r="M380" s="23"/>
      <c r="N380" s="24"/>
      <c r="O380" s="13">
        <v>-63000</v>
      </c>
      <c r="P380" s="13">
        <v>-3000</v>
      </c>
      <c r="Q380" s="13">
        <v>-66000</v>
      </c>
    </row>
    <row r="381" spans="1:17" s="13" customFormat="1" ht="16.5" customHeight="1" x14ac:dyDescent="0.45">
      <c r="A381" s="14">
        <v>380</v>
      </c>
      <c r="B381" s="14">
        <v>12</v>
      </c>
      <c r="C381" s="52">
        <v>3</v>
      </c>
      <c r="D381" s="53">
        <v>3</v>
      </c>
      <c r="E381" s="54">
        <v>11</v>
      </c>
      <c r="F381" s="18" t="s">
        <v>137</v>
      </c>
      <c r="G381" s="19" t="s">
        <v>14</v>
      </c>
      <c r="H381" s="20" t="s">
        <v>331</v>
      </c>
      <c r="I381" s="18" t="s">
        <v>328</v>
      </c>
      <c r="J381" s="46">
        <v>18900</v>
      </c>
      <c r="K381" s="22"/>
      <c r="L381" s="46">
        <v>900</v>
      </c>
      <c r="M381" s="23"/>
      <c r="N381" s="24"/>
      <c r="O381" s="13">
        <f>SUM(O379:O380)</f>
        <v>504000</v>
      </c>
      <c r="P381" s="13">
        <f t="shared" ref="P381:Q381" si="46">SUM(P379:P380)</f>
        <v>24000</v>
      </c>
      <c r="Q381" s="13">
        <f t="shared" si="46"/>
        <v>528000</v>
      </c>
    </row>
    <row r="382" spans="1:17" s="13" customFormat="1" ht="16.5" customHeight="1" x14ac:dyDescent="0.45">
      <c r="A382" s="14">
        <v>381</v>
      </c>
      <c r="B382" s="14">
        <v>13</v>
      </c>
      <c r="C382" s="52">
        <v>3</v>
      </c>
      <c r="D382" s="53">
        <v>3</v>
      </c>
      <c r="E382" s="54">
        <v>14</v>
      </c>
      <c r="F382" s="18" t="s">
        <v>332</v>
      </c>
      <c r="G382" s="19" t="s">
        <v>14</v>
      </c>
      <c r="H382" s="20" t="s">
        <v>333</v>
      </c>
      <c r="I382" s="18" t="s">
        <v>328</v>
      </c>
      <c r="J382" s="46">
        <v>18900</v>
      </c>
      <c r="K382" s="22"/>
      <c r="L382" s="46">
        <v>900</v>
      </c>
      <c r="M382" s="23"/>
      <c r="N382" s="24"/>
    </row>
    <row r="383" spans="1:17" s="13" customFormat="1" ht="16.5" customHeight="1" x14ac:dyDescent="0.45">
      <c r="A383" s="14">
        <v>382</v>
      </c>
      <c r="B383" s="14">
        <v>14</v>
      </c>
      <c r="C383" s="52">
        <v>3</v>
      </c>
      <c r="D383" s="53">
        <v>3</v>
      </c>
      <c r="E383" s="54">
        <v>15</v>
      </c>
      <c r="F383" s="18" t="s">
        <v>334</v>
      </c>
      <c r="G383" s="19" t="s">
        <v>14</v>
      </c>
      <c r="H383" s="20" t="s">
        <v>331</v>
      </c>
      <c r="I383" s="28" t="s">
        <v>330</v>
      </c>
      <c r="J383" s="47">
        <v>12600</v>
      </c>
      <c r="K383" s="30"/>
      <c r="L383" s="47">
        <v>600</v>
      </c>
      <c r="M383" s="23"/>
      <c r="N383" s="24"/>
    </row>
    <row r="384" spans="1:17" s="13" customFormat="1" ht="16.5" customHeight="1" x14ac:dyDescent="0.45">
      <c r="A384" s="14">
        <v>383</v>
      </c>
      <c r="B384" s="14">
        <v>15</v>
      </c>
      <c r="C384" s="52">
        <v>3</v>
      </c>
      <c r="D384" s="53">
        <v>4</v>
      </c>
      <c r="E384" s="54">
        <v>16</v>
      </c>
      <c r="F384" s="18" t="s">
        <v>335</v>
      </c>
      <c r="G384" s="19" t="s">
        <v>14</v>
      </c>
      <c r="H384" s="20" t="s">
        <v>331</v>
      </c>
      <c r="I384" s="28" t="s">
        <v>327</v>
      </c>
      <c r="J384" s="47">
        <v>15750</v>
      </c>
      <c r="K384" s="30"/>
      <c r="L384" s="47">
        <v>750</v>
      </c>
      <c r="M384" s="23"/>
      <c r="N384" s="24"/>
    </row>
    <row r="385" spans="1:21" s="13" customFormat="1" ht="16.5" customHeight="1" x14ac:dyDescent="0.45">
      <c r="A385" s="14">
        <v>384</v>
      </c>
      <c r="B385" s="14">
        <v>16</v>
      </c>
      <c r="C385" s="52">
        <v>3</v>
      </c>
      <c r="D385" s="53">
        <v>5</v>
      </c>
      <c r="E385" s="54">
        <v>1</v>
      </c>
      <c r="F385" s="18" t="s">
        <v>336</v>
      </c>
      <c r="G385" s="19" t="s">
        <v>14</v>
      </c>
      <c r="H385" s="20" t="s">
        <v>331</v>
      </c>
      <c r="I385" s="18" t="s">
        <v>328</v>
      </c>
      <c r="J385" s="46">
        <v>18900</v>
      </c>
      <c r="K385" s="22"/>
      <c r="L385" s="46">
        <v>900</v>
      </c>
      <c r="M385" s="23"/>
      <c r="N385" s="24"/>
      <c r="O385" s="13">
        <v>22050</v>
      </c>
      <c r="P385" s="13">
        <v>1050</v>
      </c>
      <c r="Q385" s="13">
        <v>23100</v>
      </c>
    </row>
    <row r="386" spans="1:21" s="13" customFormat="1" ht="16.5" customHeight="1" x14ac:dyDescent="0.45">
      <c r="A386" s="14">
        <v>385</v>
      </c>
      <c r="B386" s="14">
        <v>17</v>
      </c>
      <c r="C386" s="52">
        <v>3</v>
      </c>
      <c r="D386" s="53">
        <v>6</v>
      </c>
      <c r="E386" s="54">
        <v>1</v>
      </c>
      <c r="F386" s="18" t="s">
        <v>337</v>
      </c>
      <c r="G386" s="19" t="s">
        <v>14</v>
      </c>
      <c r="H386" s="20" t="s">
        <v>331</v>
      </c>
      <c r="I386" s="28" t="s">
        <v>327</v>
      </c>
      <c r="J386" s="47">
        <v>15750</v>
      </c>
      <c r="K386" s="30"/>
      <c r="L386" s="47">
        <v>750</v>
      </c>
      <c r="M386" s="23"/>
      <c r="N386" s="24"/>
      <c r="O386" s="13">
        <f>O385*30</f>
        <v>661500</v>
      </c>
      <c r="P386" s="13">
        <f t="shared" ref="P386:Q386" si="47">P385*30</f>
        <v>31500</v>
      </c>
      <c r="Q386" s="13">
        <f t="shared" si="47"/>
        <v>693000</v>
      </c>
    </row>
    <row r="387" spans="1:21" s="13" customFormat="1" ht="15.75" customHeight="1" x14ac:dyDescent="0.45">
      <c r="A387" s="14">
        <v>386</v>
      </c>
      <c r="B387" s="14">
        <v>18</v>
      </c>
      <c r="C387" s="52">
        <v>3</v>
      </c>
      <c r="D387" s="53">
        <v>6</v>
      </c>
      <c r="E387" s="54">
        <v>11</v>
      </c>
      <c r="F387" s="18" t="s">
        <v>338</v>
      </c>
      <c r="G387" s="19" t="s">
        <v>14</v>
      </c>
      <c r="H387" s="20" t="s">
        <v>331</v>
      </c>
      <c r="I387" s="18" t="s">
        <v>328</v>
      </c>
      <c r="J387" s="46">
        <v>18900</v>
      </c>
      <c r="K387" s="22"/>
      <c r="L387" s="46">
        <v>900</v>
      </c>
      <c r="M387" s="23"/>
      <c r="N387" s="24"/>
    </row>
    <row r="388" spans="1:21" s="13" customFormat="1" ht="16.5" customHeight="1" x14ac:dyDescent="0.45">
      <c r="A388" s="14">
        <v>387</v>
      </c>
      <c r="B388" s="14">
        <v>19</v>
      </c>
      <c r="C388" s="52">
        <v>3</v>
      </c>
      <c r="D388" s="53">
        <v>6</v>
      </c>
      <c r="E388" s="54">
        <v>12</v>
      </c>
      <c r="F388" s="18" t="s">
        <v>339</v>
      </c>
      <c r="G388" s="19" t="s">
        <v>14</v>
      </c>
      <c r="H388" s="20" t="s">
        <v>331</v>
      </c>
      <c r="I388" s="28" t="s">
        <v>326</v>
      </c>
      <c r="J388" s="47">
        <v>9450</v>
      </c>
      <c r="K388" s="121"/>
      <c r="L388" s="47">
        <v>450</v>
      </c>
      <c r="M388" s="23"/>
      <c r="N388" s="24"/>
    </row>
    <row r="389" spans="1:21" s="13" customFormat="1" ht="16.5" customHeight="1" x14ac:dyDescent="0.45">
      <c r="A389" s="14">
        <v>388</v>
      </c>
      <c r="B389" s="14">
        <v>20</v>
      </c>
      <c r="C389" s="52">
        <v>3</v>
      </c>
      <c r="D389" s="53">
        <v>8</v>
      </c>
      <c r="E389" s="54">
        <v>15</v>
      </c>
      <c r="F389" s="18" t="s">
        <v>340</v>
      </c>
      <c r="G389" s="19" t="s">
        <v>14</v>
      </c>
      <c r="H389" s="20" t="s">
        <v>331</v>
      </c>
      <c r="I389" s="18" t="s">
        <v>328</v>
      </c>
      <c r="J389" s="46">
        <v>18900</v>
      </c>
      <c r="K389" s="22"/>
      <c r="L389" s="46">
        <v>900</v>
      </c>
      <c r="M389" s="23"/>
      <c r="N389" s="24"/>
      <c r="O389" s="13">
        <v>25200</v>
      </c>
      <c r="P389" s="13">
        <v>1200</v>
      </c>
      <c r="Q389" s="13">
        <v>26400</v>
      </c>
    </row>
    <row r="390" spans="1:21" s="13" customFormat="1" ht="16.5" customHeight="1" x14ac:dyDescent="0.45">
      <c r="A390" s="14">
        <v>389</v>
      </c>
      <c r="B390" s="14">
        <v>21</v>
      </c>
      <c r="C390" s="52">
        <v>4</v>
      </c>
      <c r="D390" s="53">
        <v>1</v>
      </c>
      <c r="E390" s="54">
        <v>18</v>
      </c>
      <c r="F390" s="18" t="s">
        <v>341</v>
      </c>
      <c r="G390" s="19" t="s">
        <v>14</v>
      </c>
      <c r="H390" s="20" t="s">
        <v>331</v>
      </c>
      <c r="I390" s="18" t="s">
        <v>328</v>
      </c>
      <c r="J390" s="46">
        <v>18900</v>
      </c>
      <c r="K390" s="22"/>
      <c r="L390" s="46">
        <v>900</v>
      </c>
      <c r="M390" s="23"/>
      <c r="N390" s="24"/>
      <c r="O390" s="13">
        <f>O389*29</f>
        <v>730800</v>
      </c>
      <c r="P390" s="13">
        <f t="shared" ref="P390:Q390" si="48">P389*29</f>
        <v>34800</v>
      </c>
      <c r="Q390" s="13">
        <f t="shared" si="48"/>
        <v>765600</v>
      </c>
    </row>
    <row r="391" spans="1:21" s="13" customFormat="1" ht="16.5" customHeight="1" x14ac:dyDescent="0.45">
      <c r="A391" s="14">
        <v>390</v>
      </c>
      <c r="B391" s="14">
        <v>22</v>
      </c>
      <c r="C391" s="52">
        <v>4</v>
      </c>
      <c r="D391" s="53">
        <v>2</v>
      </c>
      <c r="E391" s="54">
        <v>13</v>
      </c>
      <c r="F391" s="18" t="s">
        <v>342</v>
      </c>
      <c r="G391" s="19" t="s">
        <v>14</v>
      </c>
      <c r="H391" s="20" t="s">
        <v>331</v>
      </c>
      <c r="I391" s="18" t="s">
        <v>328</v>
      </c>
      <c r="J391" s="46">
        <v>18900</v>
      </c>
      <c r="K391" s="22"/>
      <c r="L391" s="46">
        <v>900</v>
      </c>
      <c r="M391" s="23"/>
      <c r="N391" s="24"/>
    </row>
    <row r="392" spans="1:21" s="13" customFormat="1" ht="16.5" customHeight="1" x14ac:dyDescent="0.45">
      <c r="A392" s="14">
        <v>391</v>
      </c>
      <c r="B392" s="14">
        <v>23</v>
      </c>
      <c r="C392" s="52">
        <v>4</v>
      </c>
      <c r="D392" s="53">
        <v>6</v>
      </c>
      <c r="E392" s="54">
        <v>10</v>
      </c>
      <c r="F392" s="18" t="s">
        <v>343</v>
      </c>
      <c r="G392" s="19" t="s">
        <v>14</v>
      </c>
      <c r="H392" s="20" t="s">
        <v>331</v>
      </c>
      <c r="I392" s="28" t="s">
        <v>327</v>
      </c>
      <c r="J392" s="47">
        <v>15750</v>
      </c>
      <c r="K392" s="30"/>
      <c r="L392" s="47">
        <v>750</v>
      </c>
      <c r="M392" s="23"/>
      <c r="N392" s="24"/>
    </row>
    <row r="393" spans="1:21" s="13" customFormat="1" ht="16.5" customHeight="1" x14ac:dyDescent="0.45">
      <c r="A393" s="14">
        <v>392</v>
      </c>
      <c r="B393" s="14">
        <v>24</v>
      </c>
      <c r="C393" s="52">
        <v>4</v>
      </c>
      <c r="D393" s="53">
        <v>8</v>
      </c>
      <c r="E393" s="54">
        <v>14</v>
      </c>
      <c r="F393" s="18" t="s">
        <v>344</v>
      </c>
      <c r="G393" s="19" t="s">
        <v>14</v>
      </c>
      <c r="H393" s="20" t="s">
        <v>331</v>
      </c>
      <c r="I393" s="18" t="s">
        <v>328</v>
      </c>
      <c r="J393" s="46">
        <v>18900</v>
      </c>
      <c r="K393" s="22"/>
      <c r="L393" s="46">
        <v>900</v>
      </c>
      <c r="M393" s="23"/>
      <c r="N393" s="24"/>
      <c r="S393" s="34">
        <f>SUM(O381,O386,O390)</f>
        <v>1896300</v>
      </c>
      <c r="T393" s="34">
        <f>SUM(P381,P386,P390)</f>
        <v>90300</v>
      </c>
      <c r="U393" s="34">
        <f>SUM(Q381,Q386,Q390)</f>
        <v>1986600</v>
      </c>
    </row>
    <row r="394" spans="1:21" s="13" customFormat="1" ht="16.5" customHeight="1" x14ac:dyDescent="0.45">
      <c r="A394" s="14">
        <v>393</v>
      </c>
      <c r="B394" s="14">
        <v>25</v>
      </c>
      <c r="C394" s="52">
        <v>5</v>
      </c>
      <c r="D394" s="53">
        <v>1</v>
      </c>
      <c r="E394" s="54">
        <v>4</v>
      </c>
      <c r="F394" s="18" t="s">
        <v>345</v>
      </c>
      <c r="G394" s="19" t="s">
        <v>14</v>
      </c>
      <c r="H394" s="20" t="s">
        <v>346</v>
      </c>
      <c r="I394" s="28" t="s">
        <v>327</v>
      </c>
      <c r="J394" s="47">
        <v>15750</v>
      </c>
      <c r="K394" s="30"/>
      <c r="L394" s="47">
        <v>750</v>
      </c>
      <c r="M394" s="23"/>
      <c r="N394" s="24"/>
    </row>
    <row r="395" spans="1:21" s="13" customFormat="1" ht="16.5" customHeight="1" x14ac:dyDescent="0.45">
      <c r="A395" s="14">
        <v>394</v>
      </c>
      <c r="B395" s="14">
        <v>26</v>
      </c>
      <c r="C395" s="92">
        <v>5</v>
      </c>
      <c r="D395" s="93">
        <v>7</v>
      </c>
      <c r="E395" s="94">
        <v>19</v>
      </c>
      <c r="F395" s="81" t="s">
        <v>234</v>
      </c>
      <c r="G395" s="82" t="s">
        <v>174</v>
      </c>
      <c r="H395" s="83" t="s">
        <v>346</v>
      </c>
      <c r="I395" s="81" t="s">
        <v>328</v>
      </c>
      <c r="J395" s="115"/>
      <c r="K395" s="85">
        <v>18900</v>
      </c>
      <c r="L395" s="122">
        <v>900</v>
      </c>
      <c r="M395" s="23"/>
      <c r="N395" s="24"/>
    </row>
    <row r="396" spans="1:21" s="13" customFormat="1" ht="16.5" customHeight="1" x14ac:dyDescent="0.45">
      <c r="A396" s="14">
        <v>395</v>
      </c>
      <c r="B396" s="14">
        <v>27</v>
      </c>
      <c r="C396" s="52">
        <v>5</v>
      </c>
      <c r="D396" s="53">
        <v>7</v>
      </c>
      <c r="E396" s="54">
        <v>21</v>
      </c>
      <c r="F396" s="18" t="s">
        <v>260</v>
      </c>
      <c r="G396" s="19" t="s">
        <v>14</v>
      </c>
      <c r="H396" s="20" t="s">
        <v>346</v>
      </c>
      <c r="I396" s="18" t="s">
        <v>328</v>
      </c>
      <c r="J396" s="46">
        <v>18900</v>
      </c>
      <c r="K396" s="22"/>
      <c r="L396" s="46">
        <v>900</v>
      </c>
      <c r="M396" s="23"/>
      <c r="N396" s="24"/>
    </row>
    <row r="397" spans="1:21" s="13" customFormat="1" ht="16.5" customHeight="1" x14ac:dyDescent="0.45">
      <c r="A397" s="14">
        <v>396</v>
      </c>
      <c r="B397" s="14">
        <v>28</v>
      </c>
      <c r="C397" s="52">
        <v>6</v>
      </c>
      <c r="D397" s="53">
        <v>1</v>
      </c>
      <c r="E397" s="54">
        <v>3</v>
      </c>
      <c r="F397" s="18" t="s">
        <v>347</v>
      </c>
      <c r="G397" s="19" t="s">
        <v>14</v>
      </c>
      <c r="H397" s="20" t="s">
        <v>346</v>
      </c>
      <c r="I397" s="18" t="s">
        <v>328</v>
      </c>
      <c r="J397" s="46">
        <v>18900</v>
      </c>
      <c r="K397" s="22"/>
      <c r="L397" s="46">
        <v>900</v>
      </c>
      <c r="M397" s="23"/>
      <c r="N397" s="24"/>
    </row>
    <row r="398" spans="1:21" s="13" customFormat="1" ht="16.5" customHeight="1" x14ac:dyDescent="0.45">
      <c r="A398" s="14">
        <v>397</v>
      </c>
      <c r="B398" s="14">
        <v>29</v>
      </c>
      <c r="C398" s="52">
        <v>6</v>
      </c>
      <c r="D398" s="53">
        <v>5</v>
      </c>
      <c r="E398" s="54">
        <v>3</v>
      </c>
      <c r="F398" s="18" t="s">
        <v>261</v>
      </c>
      <c r="G398" s="19" t="s">
        <v>14</v>
      </c>
      <c r="H398" s="20" t="s">
        <v>346</v>
      </c>
      <c r="I398" s="28" t="s">
        <v>330</v>
      </c>
      <c r="J398" s="47">
        <v>12600</v>
      </c>
      <c r="K398" s="30"/>
      <c r="L398" s="47">
        <v>600</v>
      </c>
      <c r="M398" s="23"/>
      <c r="N398" s="24"/>
    </row>
    <row r="399" spans="1:21" s="13" customFormat="1" ht="16.5" customHeight="1" x14ac:dyDescent="0.45">
      <c r="A399" s="14">
        <v>398</v>
      </c>
      <c r="B399" s="14">
        <v>30</v>
      </c>
      <c r="C399" s="52">
        <v>6</v>
      </c>
      <c r="D399" s="53">
        <v>5</v>
      </c>
      <c r="E399" s="54">
        <v>17</v>
      </c>
      <c r="F399" s="18" t="s">
        <v>348</v>
      </c>
      <c r="G399" s="19" t="s">
        <v>14</v>
      </c>
      <c r="H399" s="20" t="s">
        <v>346</v>
      </c>
      <c r="I399" s="28" t="s">
        <v>326</v>
      </c>
      <c r="J399" s="47">
        <v>9450</v>
      </c>
      <c r="K399" s="123"/>
      <c r="L399" s="47">
        <v>450</v>
      </c>
      <c r="M399" s="69"/>
      <c r="N399" s="24"/>
    </row>
    <row r="400" spans="1:21" s="13" customFormat="1" ht="16.5" customHeight="1" x14ac:dyDescent="0.45">
      <c r="A400" s="14">
        <v>399</v>
      </c>
      <c r="B400" s="35">
        <v>1</v>
      </c>
      <c r="C400" s="49">
        <v>1</v>
      </c>
      <c r="D400" s="50">
        <v>1</v>
      </c>
      <c r="E400" s="51">
        <v>20</v>
      </c>
      <c r="F400" s="39" t="s">
        <v>349</v>
      </c>
      <c r="G400" s="40" t="s">
        <v>14</v>
      </c>
      <c r="H400" s="41" t="s">
        <v>350</v>
      </c>
      <c r="I400" s="110" t="s">
        <v>16</v>
      </c>
      <c r="J400" s="111">
        <v>18900</v>
      </c>
      <c r="K400" s="112"/>
      <c r="L400" s="113">
        <v>900</v>
      </c>
      <c r="M400" s="45">
        <f>SUM(J400:K431)</f>
        <v>743400</v>
      </c>
      <c r="N400" s="24"/>
    </row>
    <row r="401" spans="1:21" s="13" customFormat="1" ht="16.5" customHeight="1" x14ac:dyDescent="0.45">
      <c r="A401" s="14">
        <v>400</v>
      </c>
      <c r="B401" s="14">
        <v>2</v>
      </c>
      <c r="C401" s="52">
        <v>1</v>
      </c>
      <c r="D401" s="53">
        <v>2</v>
      </c>
      <c r="E401" s="54">
        <v>17</v>
      </c>
      <c r="F401" s="18" t="s">
        <v>351</v>
      </c>
      <c r="G401" s="19" t="s">
        <v>14</v>
      </c>
      <c r="H401" s="20" t="s">
        <v>350</v>
      </c>
      <c r="I401" s="28" t="s">
        <v>16</v>
      </c>
      <c r="J401" s="29">
        <v>18900</v>
      </c>
      <c r="K401" s="73"/>
      <c r="L401" s="74">
        <v>900</v>
      </c>
      <c r="M401" s="23"/>
      <c r="N401"/>
      <c r="O401" s="27">
        <f>SUM(J400:K431)</f>
        <v>743400</v>
      </c>
    </row>
    <row r="402" spans="1:21" s="13" customFormat="1" ht="16.5" customHeight="1" x14ac:dyDescent="0.45">
      <c r="A402" s="14">
        <v>401</v>
      </c>
      <c r="B402" s="14">
        <v>3</v>
      </c>
      <c r="C402" s="52">
        <v>1</v>
      </c>
      <c r="D402" s="53">
        <v>5</v>
      </c>
      <c r="E402" s="54">
        <v>12</v>
      </c>
      <c r="F402" s="18" t="s">
        <v>352</v>
      </c>
      <c r="G402" s="19" t="s">
        <v>14</v>
      </c>
      <c r="H402" s="20" t="s">
        <v>350</v>
      </c>
      <c r="I402" s="28" t="s">
        <v>16</v>
      </c>
      <c r="J402" s="29">
        <v>18900</v>
      </c>
      <c r="K402" s="73"/>
      <c r="L402" s="74">
        <v>900</v>
      </c>
      <c r="M402" s="23"/>
      <c r="N402" s="24"/>
      <c r="O402" s="27">
        <f>SUM(L400:L431)</f>
        <v>35400</v>
      </c>
    </row>
    <row r="403" spans="1:21" s="13" customFormat="1" ht="16.5" customHeight="1" x14ac:dyDescent="0.45">
      <c r="A403" s="14">
        <v>402</v>
      </c>
      <c r="B403" s="14">
        <v>4</v>
      </c>
      <c r="C403" s="52">
        <v>1</v>
      </c>
      <c r="D403" s="53">
        <v>5</v>
      </c>
      <c r="E403" s="54">
        <v>20</v>
      </c>
      <c r="F403" s="18" t="s">
        <v>353</v>
      </c>
      <c r="G403" s="19" t="s">
        <v>14</v>
      </c>
      <c r="H403" s="20" t="s">
        <v>350</v>
      </c>
      <c r="I403" s="18" t="s">
        <v>60</v>
      </c>
      <c r="J403" s="21">
        <v>25200</v>
      </c>
      <c r="K403" s="76"/>
      <c r="L403" s="77">
        <v>1200</v>
      </c>
      <c r="M403" s="23"/>
      <c r="N403" s="24"/>
      <c r="O403" s="27">
        <f>SUM(O401:O402)</f>
        <v>778800</v>
      </c>
    </row>
    <row r="404" spans="1:21" s="13" customFormat="1" ht="16.5" customHeight="1" x14ac:dyDescent="0.45">
      <c r="A404" s="14">
        <v>403</v>
      </c>
      <c r="B404" s="14">
        <v>5</v>
      </c>
      <c r="C404" s="52">
        <v>1</v>
      </c>
      <c r="D404" s="53">
        <v>7</v>
      </c>
      <c r="E404" s="54">
        <v>4</v>
      </c>
      <c r="F404" s="18" t="s">
        <v>188</v>
      </c>
      <c r="G404" s="19" t="s">
        <v>14</v>
      </c>
      <c r="H404" s="20" t="s">
        <v>350</v>
      </c>
      <c r="I404" s="18" t="s">
        <v>60</v>
      </c>
      <c r="J404" s="21">
        <v>25200</v>
      </c>
      <c r="K404" s="76"/>
      <c r="L404" s="77">
        <v>1200</v>
      </c>
      <c r="M404" s="23"/>
      <c r="N404" s="24"/>
    </row>
    <row r="405" spans="1:21" s="13" customFormat="1" ht="16.5" customHeight="1" x14ac:dyDescent="0.45">
      <c r="A405" s="14">
        <v>404</v>
      </c>
      <c r="B405" s="14">
        <v>6</v>
      </c>
      <c r="C405" s="52">
        <v>1</v>
      </c>
      <c r="D405" s="53">
        <v>7</v>
      </c>
      <c r="E405" s="54">
        <v>5</v>
      </c>
      <c r="F405" s="18" t="s">
        <v>64</v>
      </c>
      <c r="G405" s="19" t="s">
        <v>14</v>
      </c>
      <c r="H405" s="20" t="s">
        <v>350</v>
      </c>
      <c r="I405" s="18" t="s">
        <v>60</v>
      </c>
      <c r="J405" s="21">
        <v>25200</v>
      </c>
      <c r="K405" s="76"/>
      <c r="L405" s="77">
        <v>1200</v>
      </c>
      <c r="M405" s="23"/>
      <c r="N405" s="24"/>
    </row>
    <row r="406" spans="1:21" s="13" customFormat="1" ht="16.5" customHeight="1" x14ac:dyDescent="0.45">
      <c r="A406" s="14">
        <v>405</v>
      </c>
      <c r="B406" s="14">
        <v>7</v>
      </c>
      <c r="C406" s="52">
        <v>1</v>
      </c>
      <c r="D406" s="53">
        <v>8</v>
      </c>
      <c r="E406" s="54">
        <v>1</v>
      </c>
      <c r="F406" s="18" t="s">
        <v>354</v>
      </c>
      <c r="G406" s="19" t="s">
        <v>14</v>
      </c>
      <c r="H406" s="20" t="s">
        <v>350</v>
      </c>
      <c r="I406" s="18" t="s">
        <v>60</v>
      </c>
      <c r="J406" s="21">
        <v>25200</v>
      </c>
      <c r="K406" s="76"/>
      <c r="L406" s="77">
        <v>1200</v>
      </c>
      <c r="M406" s="23"/>
      <c r="N406" s="24"/>
      <c r="O406" s="13">
        <v>25200</v>
      </c>
      <c r="P406" s="13">
        <v>1200</v>
      </c>
      <c r="Q406" s="13">
        <v>26400</v>
      </c>
    </row>
    <row r="407" spans="1:21" s="13" customFormat="1" ht="16.5" customHeight="1" x14ac:dyDescent="0.45">
      <c r="A407" s="14">
        <v>406</v>
      </c>
      <c r="B407" s="14">
        <v>8</v>
      </c>
      <c r="C407" s="52">
        <v>1</v>
      </c>
      <c r="D407" s="53">
        <v>10</v>
      </c>
      <c r="E407" s="54">
        <v>23</v>
      </c>
      <c r="F407" s="18" t="s">
        <v>355</v>
      </c>
      <c r="G407" s="19" t="s">
        <v>14</v>
      </c>
      <c r="H407" s="20" t="s">
        <v>350</v>
      </c>
      <c r="I407" s="18" t="s">
        <v>60</v>
      </c>
      <c r="J407" s="21">
        <v>25200</v>
      </c>
      <c r="K407" s="76"/>
      <c r="L407" s="77">
        <v>1200</v>
      </c>
      <c r="M407" s="23"/>
      <c r="N407" s="24"/>
      <c r="O407" s="13">
        <f>O406*32</f>
        <v>806400</v>
      </c>
      <c r="P407" s="13">
        <f t="shared" ref="P407:Q407" si="49">P406*32</f>
        <v>38400</v>
      </c>
      <c r="Q407" s="13">
        <f t="shared" si="49"/>
        <v>844800</v>
      </c>
    </row>
    <row r="408" spans="1:21" s="13" customFormat="1" ht="16.5" customHeight="1" x14ac:dyDescent="0.45">
      <c r="A408" s="14">
        <v>407</v>
      </c>
      <c r="B408" s="14">
        <v>9</v>
      </c>
      <c r="C408" s="52">
        <v>1</v>
      </c>
      <c r="D408" s="53">
        <v>11</v>
      </c>
      <c r="E408" s="54">
        <v>6</v>
      </c>
      <c r="F408" s="18" t="s">
        <v>113</v>
      </c>
      <c r="G408" s="19" t="s">
        <v>14</v>
      </c>
      <c r="H408" s="20" t="s">
        <v>350</v>
      </c>
      <c r="I408" s="18" t="s">
        <v>60</v>
      </c>
      <c r="J408" s="21">
        <v>25200</v>
      </c>
      <c r="K408" s="76"/>
      <c r="L408" s="77">
        <v>1200</v>
      </c>
      <c r="M408" s="23"/>
      <c r="N408" s="24"/>
      <c r="O408" s="13">
        <v>-63000</v>
      </c>
      <c r="P408" s="13">
        <v>-3000</v>
      </c>
      <c r="Q408" s="13">
        <v>-66000</v>
      </c>
      <c r="U408" s="33"/>
    </row>
    <row r="409" spans="1:21" s="13" customFormat="1" ht="16.5" customHeight="1" x14ac:dyDescent="0.45">
      <c r="A409" s="14">
        <v>408</v>
      </c>
      <c r="B409" s="14">
        <v>10</v>
      </c>
      <c r="C409" s="52">
        <v>1</v>
      </c>
      <c r="D409" s="53">
        <v>11</v>
      </c>
      <c r="E409" s="54">
        <v>11</v>
      </c>
      <c r="F409" s="18" t="s">
        <v>146</v>
      </c>
      <c r="G409" s="19" t="s">
        <v>14</v>
      </c>
      <c r="H409" s="20" t="s">
        <v>350</v>
      </c>
      <c r="I409" s="18" t="s">
        <v>60</v>
      </c>
      <c r="J409" s="21">
        <v>25200</v>
      </c>
      <c r="K409" s="76"/>
      <c r="L409" s="77">
        <v>1200</v>
      </c>
      <c r="M409" s="23"/>
      <c r="N409" s="24"/>
      <c r="O409" s="13">
        <f>SUM(O407:O408)</f>
        <v>743400</v>
      </c>
      <c r="P409" s="13">
        <f t="shared" ref="P409:Q409" si="50">SUM(P407:P408)</f>
        <v>35400</v>
      </c>
      <c r="Q409" s="13">
        <f t="shared" si="50"/>
        <v>778800</v>
      </c>
      <c r="U409" s="33"/>
    </row>
    <row r="410" spans="1:21" s="13" customFormat="1" ht="16.5" customHeight="1" x14ac:dyDescent="0.45">
      <c r="A410" s="14">
        <v>409</v>
      </c>
      <c r="B410" s="14">
        <v>11</v>
      </c>
      <c r="C410" s="52">
        <v>1</v>
      </c>
      <c r="D410" s="53">
        <v>11</v>
      </c>
      <c r="E410" s="54">
        <v>13</v>
      </c>
      <c r="F410" s="18" t="s">
        <v>43</v>
      </c>
      <c r="G410" s="19" t="s">
        <v>14</v>
      </c>
      <c r="H410" s="20" t="s">
        <v>350</v>
      </c>
      <c r="I410" s="18" t="s">
        <v>60</v>
      </c>
      <c r="J410" s="21">
        <v>25200</v>
      </c>
      <c r="K410" s="76"/>
      <c r="L410" s="77">
        <v>1200</v>
      </c>
      <c r="M410" s="23"/>
      <c r="N410" s="24"/>
      <c r="U410" s="33"/>
    </row>
    <row r="411" spans="1:21" s="13" customFormat="1" ht="16.5" customHeight="1" x14ac:dyDescent="0.45">
      <c r="A411" s="14">
        <v>410</v>
      </c>
      <c r="B411" s="14">
        <v>12</v>
      </c>
      <c r="C411" s="52">
        <v>2</v>
      </c>
      <c r="D411" s="53">
        <v>5</v>
      </c>
      <c r="E411" s="54">
        <v>8</v>
      </c>
      <c r="F411" s="18" t="s">
        <v>356</v>
      </c>
      <c r="G411" s="19" t="s">
        <v>14</v>
      </c>
      <c r="H411" s="20" t="s">
        <v>350</v>
      </c>
      <c r="I411" s="18" t="s">
        <v>60</v>
      </c>
      <c r="J411" s="21">
        <v>25200</v>
      </c>
      <c r="K411" s="76"/>
      <c r="L411" s="77">
        <v>1200</v>
      </c>
      <c r="M411" s="23"/>
      <c r="N411" s="24"/>
      <c r="U411" s="33"/>
    </row>
    <row r="412" spans="1:21" s="13" customFormat="1" ht="16.5" customHeight="1" x14ac:dyDescent="0.45">
      <c r="A412" s="14">
        <v>411</v>
      </c>
      <c r="B412" s="14">
        <v>13</v>
      </c>
      <c r="C412" s="52">
        <v>2</v>
      </c>
      <c r="D412" s="53">
        <v>6</v>
      </c>
      <c r="E412" s="54">
        <v>2</v>
      </c>
      <c r="F412" s="18" t="s">
        <v>357</v>
      </c>
      <c r="G412" s="19" t="s">
        <v>14</v>
      </c>
      <c r="H412" s="20" t="s">
        <v>358</v>
      </c>
      <c r="I412" s="18" t="s">
        <v>60</v>
      </c>
      <c r="J412" s="21">
        <v>25200</v>
      </c>
      <c r="K412" s="76"/>
      <c r="L412" s="77">
        <v>1200</v>
      </c>
      <c r="M412" s="23"/>
      <c r="N412" s="24"/>
      <c r="U412" s="33"/>
    </row>
    <row r="413" spans="1:21" s="13" customFormat="1" ht="16.5" customHeight="1" x14ac:dyDescent="0.45">
      <c r="A413" s="14">
        <v>412</v>
      </c>
      <c r="B413" s="14">
        <v>14</v>
      </c>
      <c r="C413" s="52">
        <v>2</v>
      </c>
      <c r="D413" s="53">
        <v>6</v>
      </c>
      <c r="E413" s="54">
        <v>10</v>
      </c>
      <c r="F413" s="18" t="s">
        <v>163</v>
      </c>
      <c r="G413" s="19" t="s">
        <v>14</v>
      </c>
      <c r="H413" s="20" t="s">
        <v>350</v>
      </c>
      <c r="I413" s="28" t="s">
        <v>16</v>
      </c>
      <c r="J413" s="29">
        <v>18900</v>
      </c>
      <c r="K413" s="73"/>
      <c r="L413" s="74">
        <v>900</v>
      </c>
      <c r="M413" s="23"/>
      <c r="N413" s="24"/>
      <c r="O413" s="13">
        <v>25200</v>
      </c>
      <c r="P413" s="13">
        <v>1200</v>
      </c>
      <c r="Q413" s="13">
        <v>26400</v>
      </c>
      <c r="U413" s="33"/>
    </row>
    <row r="414" spans="1:21" s="13" customFormat="1" ht="16.5" customHeight="1" x14ac:dyDescent="0.45">
      <c r="A414" s="14">
        <v>413</v>
      </c>
      <c r="B414" s="14">
        <v>15</v>
      </c>
      <c r="C414" s="52">
        <v>2</v>
      </c>
      <c r="D414" s="53">
        <v>6</v>
      </c>
      <c r="E414" s="54">
        <v>13</v>
      </c>
      <c r="F414" s="18" t="s">
        <v>359</v>
      </c>
      <c r="G414" s="19" t="s">
        <v>14</v>
      </c>
      <c r="H414" s="20" t="s">
        <v>350</v>
      </c>
      <c r="I414" s="28" t="s">
        <v>16</v>
      </c>
      <c r="J414" s="29">
        <v>18900</v>
      </c>
      <c r="K414" s="73"/>
      <c r="L414" s="74">
        <v>900</v>
      </c>
      <c r="M414" s="23"/>
      <c r="N414" s="24"/>
      <c r="O414" s="13">
        <f>O413*32</f>
        <v>806400</v>
      </c>
      <c r="P414" s="13">
        <f t="shared" ref="P414:Q414" si="51">P413*32</f>
        <v>38400</v>
      </c>
      <c r="Q414" s="13">
        <f t="shared" si="51"/>
        <v>844800</v>
      </c>
      <c r="U414" s="33"/>
    </row>
    <row r="415" spans="1:21" s="13" customFormat="1" ht="16.5" customHeight="1" x14ac:dyDescent="0.45">
      <c r="A415" s="14">
        <v>414</v>
      </c>
      <c r="B415" s="14">
        <v>16</v>
      </c>
      <c r="C415" s="52">
        <v>2</v>
      </c>
      <c r="D415" s="53">
        <v>7</v>
      </c>
      <c r="E415" s="54">
        <v>22</v>
      </c>
      <c r="F415" s="18" t="s">
        <v>135</v>
      </c>
      <c r="G415" s="19" t="s">
        <v>14</v>
      </c>
      <c r="H415" s="20" t="s">
        <v>350</v>
      </c>
      <c r="I415" s="28" t="s">
        <v>16</v>
      </c>
      <c r="J415" s="29">
        <v>18900</v>
      </c>
      <c r="K415" s="73"/>
      <c r="L415" s="74">
        <v>900</v>
      </c>
      <c r="M415" s="23"/>
      <c r="N415" s="24"/>
      <c r="U415" s="33"/>
    </row>
    <row r="416" spans="1:21" s="13" customFormat="1" ht="16.5" customHeight="1" x14ac:dyDescent="0.45">
      <c r="A416" s="14">
        <v>415</v>
      </c>
      <c r="B416" s="14">
        <v>17</v>
      </c>
      <c r="C416" s="52">
        <v>2</v>
      </c>
      <c r="D416" s="53">
        <v>9</v>
      </c>
      <c r="E416" s="54">
        <v>23</v>
      </c>
      <c r="F416" s="18" t="s">
        <v>136</v>
      </c>
      <c r="G416" s="19" t="s">
        <v>14</v>
      </c>
      <c r="H416" s="20" t="s">
        <v>350</v>
      </c>
      <c r="I416" s="18" t="s">
        <v>60</v>
      </c>
      <c r="J416" s="21">
        <v>25200</v>
      </c>
      <c r="K416" s="76"/>
      <c r="L416" s="77">
        <v>1200</v>
      </c>
      <c r="M416" s="23"/>
      <c r="N416" s="24"/>
      <c r="U416" s="33"/>
    </row>
    <row r="417" spans="1:21" s="13" customFormat="1" ht="16.5" customHeight="1" x14ac:dyDescent="0.45">
      <c r="A417" s="14">
        <v>416</v>
      </c>
      <c r="B417" s="14">
        <v>18</v>
      </c>
      <c r="C417" s="52">
        <v>2</v>
      </c>
      <c r="D417" s="53">
        <v>10</v>
      </c>
      <c r="E417" s="54">
        <v>22</v>
      </c>
      <c r="F417" s="18" t="s">
        <v>360</v>
      </c>
      <c r="G417" s="19" t="s">
        <v>14</v>
      </c>
      <c r="H417" s="20" t="s">
        <v>350</v>
      </c>
      <c r="I417" s="18" t="s">
        <v>60</v>
      </c>
      <c r="J417" s="21">
        <v>25200</v>
      </c>
      <c r="K417" s="76"/>
      <c r="L417" s="77">
        <v>1200</v>
      </c>
      <c r="M417" s="23"/>
      <c r="N417" s="24"/>
      <c r="O417" s="13">
        <v>25200</v>
      </c>
      <c r="P417" s="13">
        <v>1200</v>
      </c>
      <c r="Q417" s="13">
        <v>26400</v>
      </c>
      <c r="U417" s="33"/>
    </row>
    <row r="418" spans="1:21" s="13" customFormat="1" ht="16.5" customHeight="1" x14ac:dyDescent="0.45">
      <c r="A418" s="14">
        <v>417</v>
      </c>
      <c r="B418" s="14">
        <v>19</v>
      </c>
      <c r="C418" s="52">
        <v>2</v>
      </c>
      <c r="D418" s="53">
        <v>11</v>
      </c>
      <c r="E418" s="54">
        <v>17</v>
      </c>
      <c r="F418" s="18" t="s">
        <v>361</v>
      </c>
      <c r="G418" s="19" t="s">
        <v>14</v>
      </c>
      <c r="H418" s="20" t="s">
        <v>350</v>
      </c>
      <c r="I418" s="18" t="s">
        <v>60</v>
      </c>
      <c r="J418" s="21">
        <v>25200</v>
      </c>
      <c r="K418" s="76"/>
      <c r="L418" s="77">
        <v>1200</v>
      </c>
      <c r="M418" s="23"/>
      <c r="N418" s="24"/>
      <c r="O418" s="13">
        <f>O417*32</f>
        <v>806400</v>
      </c>
      <c r="P418" s="13">
        <f t="shared" ref="P418:Q418" si="52">P417*32</f>
        <v>38400</v>
      </c>
      <c r="Q418" s="13">
        <f t="shared" si="52"/>
        <v>844800</v>
      </c>
      <c r="U418" s="33"/>
    </row>
    <row r="419" spans="1:21" s="13" customFormat="1" ht="16.5" customHeight="1" x14ac:dyDescent="0.45">
      <c r="A419" s="14">
        <v>418</v>
      </c>
      <c r="B419" s="14">
        <v>20</v>
      </c>
      <c r="C419" s="52">
        <v>2</v>
      </c>
      <c r="D419" s="53">
        <v>11</v>
      </c>
      <c r="E419" s="54">
        <v>19</v>
      </c>
      <c r="F419" s="18" t="s">
        <v>362</v>
      </c>
      <c r="G419" s="19" t="s">
        <v>14</v>
      </c>
      <c r="H419" s="20" t="s">
        <v>350</v>
      </c>
      <c r="I419" s="28" t="s">
        <v>16</v>
      </c>
      <c r="J419" s="29">
        <v>18900</v>
      </c>
      <c r="K419" s="73"/>
      <c r="L419" s="74">
        <v>900</v>
      </c>
      <c r="M419" s="23"/>
      <c r="N419" s="24"/>
      <c r="U419" s="33"/>
    </row>
    <row r="420" spans="1:21" s="13" customFormat="1" ht="16.5" customHeight="1" x14ac:dyDescent="0.45">
      <c r="A420" s="14">
        <v>419</v>
      </c>
      <c r="B420" s="14">
        <v>21</v>
      </c>
      <c r="C420" s="52">
        <v>1</v>
      </c>
      <c r="D420" s="53">
        <v>8</v>
      </c>
      <c r="E420" s="54">
        <v>5</v>
      </c>
      <c r="F420" s="18" t="s">
        <v>112</v>
      </c>
      <c r="G420" s="19" t="s">
        <v>14</v>
      </c>
      <c r="H420" s="20" t="s">
        <v>363</v>
      </c>
      <c r="I420" s="18" t="s">
        <v>60</v>
      </c>
      <c r="J420" s="21">
        <v>25200</v>
      </c>
      <c r="K420" s="76"/>
      <c r="L420" s="77">
        <v>1200</v>
      </c>
      <c r="M420" s="23"/>
      <c r="N420" s="24"/>
      <c r="S420" s="34">
        <f>SUM(O409,O414,O418)</f>
        <v>2356200</v>
      </c>
      <c r="T420" s="34">
        <f>SUM(P409,P414,P418)</f>
        <v>112200</v>
      </c>
      <c r="U420" s="34">
        <f>SUM(Q409,Q414,Q418)</f>
        <v>2468400</v>
      </c>
    </row>
    <row r="421" spans="1:21" s="13" customFormat="1" ht="16.5" customHeight="1" x14ac:dyDescent="0.45">
      <c r="A421" s="14">
        <v>420</v>
      </c>
      <c r="B421" s="14">
        <v>22</v>
      </c>
      <c r="C421" s="52">
        <v>1</v>
      </c>
      <c r="D421" s="53">
        <v>9</v>
      </c>
      <c r="E421" s="54">
        <v>1</v>
      </c>
      <c r="F421" s="18" t="s">
        <v>41</v>
      </c>
      <c r="G421" s="19" t="s">
        <v>14</v>
      </c>
      <c r="H421" s="20" t="s">
        <v>363</v>
      </c>
      <c r="I421" s="18" t="s">
        <v>60</v>
      </c>
      <c r="J421" s="21">
        <v>25200</v>
      </c>
      <c r="K421" s="76"/>
      <c r="L421" s="77">
        <v>1200</v>
      </c>
      <c r="M421" s="23"/>
      <c r="N421" s="24"/>
      <c r="U421" s="33"/>
    </row>
    <row r="422" spans="1:21" s="13" customFormat="1" ht="16.5" customHeight="1" x14ac:dyDescent="0.45">
      <c r="A422" s="14">
        <v>421</v>
      </c>
      <c r="B422" s="14">
        <v>23</v>
      </c>
      <c r="C422" s="52">
        <v>2</v>
      </c>
      <c r="D422" s="53">
        <v>3</v>
      </c>
      <c r="E422" s="54">
        <v>24</v>
      </c>
      <c r="F422" s="18" t="s">
        <v>364</v>
      </c>
      <c r="G422" s="19" t="s">
        <v>14</v>
      </c>
      <c r="H422" s="20" t="s">
        <v>363</v>
      </c>
      <c r="I422" s="18" t="s">
        <v>60</v>
      </c>
      <c r="J422" s="21">
        <v>25200</v>
      </c>
      <c r="K422" s="76"/>
      <c r="L422" s="77">
        <v>1200</v>
      </c>
      <c r="M422" s="23"/>
      <c r="N422" s="24"/>
      <c r="U422" s="33"/>
    </row>
    <row r="423" spans="1:21" s="13" customFormat="1" ht="16.5" customHeight="1" x14ac:dyDescent="0.45">
      <c r="A423" s="14">
        <v>422</v>
      </c>
      <c r="B423" s="14">
        <v>24</v>
      </c>
      <c r="C423" s="52">
        <v>3</v>
      </c>
      <c r="D423" s="53">
        <v>2</v>
      </c>
      <c r="E423" s="54">
        <v>26</v>
      </c>
      <c r="F423" s="18" t="s">
        <v>365</v>
      </c>
      <c r="G423" s="19" t="s">
        <v>14</v>
      </c>
      <c r="H423" s="20" t="s">
        <v>363</v>
      </c>
      <c r="I423" s="18" t="s">
        <v>60</v>
      </c>
      <c r="J423" s="21">
        <v>25200</v>
      </c>
      <c r="K423" s="76"/>
      <c r="L423" s="77">
        <v>1200</v>
      </c>
      <c r="M423" s="23"/>
      <c r="N423" s="24"/>
      <c r="U423" s="33"/>
    </row>
    <row r="424" spans="1:21" s="13" customFormat="1" ht="16.5" customHeight="1" x14ac:dyDescent="0.45">
      <c r="A424" s="14">
        <v>423</v>
      </c>
      <c r="B424" s="14">
        <v>25</v>
      </c>
      <c r="C424" s="52">
        <v>3</v>
      </c>
      <c r="D424" s="53">
        <v>6</v>
      </c>
      <c r="E424" s="54">
        <v>6</v>
      </c>
      <c r="F424" s="18" t="s">
        <v>366</v>
      </c>
      <c r="G424" s="19" t="s">
        <v>14</v>
      </c>
      <c r="H424" s="20" t="s">
        <v>363</v>
      </c>
      <c r="I424" s="28" t="s">
        <v>16</v>
      </c>
      <c r="J424" s="29">
        <v>18900</v>
      </c>
      <c r="K424" s="73"/>
      <c r="L424" s="74">
        <v>900</v>
      </c>
      <c r="M424" s="23"/>
      <c r="N424" s="24"/>
      <c r="U424" s="33"/>
    </row>
    <row r="425" spans="1:21" s="13" customFormat="1" ht="16.5" customHeight="1" x14ac:dyDescent="0.45">
      <c r="A425" s="14">
        <v>424</v>
      </c>
      <c r="B425" s="14">
        <v>26</v>
      </c>
      <c r="C425" s="52">
        <v>3</v>
      </c>
      <c r="D425" s="53">
        <v>8</v>
      </c>
      <c r="E425" s="54">
        <v>6</v>
      </c>
      <c r="F425" s="18" t="s">
        <v>177</v>
      </c>
      <c r="G425" s="19" t="s">
        <v>14</v>
      </c>
      <c r="H425" s="20" t="s">
        <v>363</v>
      </c>
      <c r="I425" s="18" t="s">
        <v>60</v>
      </c>
      <c r="J425" s="21">
        <v>25200</v>
      </c>
      <c r="K425" s="76"/>
      <c r="L425" s="77">
        <v>1200</v>
      </c>
      <c r="M425" s="23"/>
      <c r="N425" s="24"/>
      <c r="U425" s="33"/>
    </row>
    <row r="426" spans="1:21" s="13" customFormat="1" ht="16.5" customHeight="1" x14ac:dyDescent="0.45">
      <c r="A426" s="14">
        <v>425</v>
      </c>
      <c r="B426" s="14">
        <v>27</v>
      </c>
      <c r="C426" s="52">
        <v>4</v>
      </c>
      <c r="D426" s="53">
        <v>5</v>
      </c>
      <c r="E426" s="54">
        <v>2</v>
      </c>
      <c r="F426" s="18" t="s">
        <v>367</v>
      </c>
      <c r="G426" s="19" t="s">
        <v>14</v>
      </c>
      <c r="H426" s="20" t="s">
        <v>363</v>
      </c>
      <c r="I426" s="18" t="s">
        <v>60</v>
      </c>
      <c r="J426" s="21">
        <v>25200</v>
      </c>
      <c r="K426" s="76"/>
      <c r="L426" s="77">
        <v>1200</v>
      </c>
      <c r="M426" s="23"/>
      <c r="N426" s="24"/>
      <c r="U426" s="33"/>
    </row>
    <row r="427" spans="1:21" s="13" customFormat="1" ht="16.5" customHeight="1" x14ac:dyDescent="0.45">
      <c r="A427" s="14">
        <v>426</v>
      </c>
      <c r="B427" s="14">
        <v>28</v>
      </c>
      <c r="C427" s="52">
        <v>4</v>
      </c>
      <c r="D427" s="53">
        <v>6</v>
      </c>
      <c r="E427" s="54">
        <v>15</v>
      </c>
      <c r="F427" s="18" t="s">
        <v>368</v>
      </c>
      <c r="G427" s="19" t="s">
        <v>14</v>
      </c>
      <c r="H427" s="20" t="s">
        <v>363</v>
      </c>
      <c r="I427" s="18" t="s">
        <v>60</v>
      </c>
      <c r="J427" s="21">
        <v>25200</v>
      </c>
      <c r="K427" s="76"/>
      <c r="L427" s="77">
        <v>1200</v>
      </c>
      <c r="M427" s="23"/>
      <c r="N427" s="24"/>
      <c r="U427" s="33"/>
    </row>
    <row r="428" spans="1:21" s="13" customFormat="1" ht="16.5" customHeight="1" x14ac:dyDescent="0.45">
      <c r="A428" s="14">
        <v>427</v>
      </c>
      <c r="B428" s="14">
        <v>29</v>
      </c>
      <c r="C428" s="52">
        <v>5</v>
      </c>
      <c r="D428" s="53">
        <v>5</v>
      </c>
      <c r="E428" s="54">
        <v>8</v>
      </c>
      <c r="F428" s="18" t="s">
        <v>54</v>
      </c>
      <c r="G428" s="19" t="s">
        <v>14</v>
      </c>
      <c r="H428" s="20" t="s">
        <v>363</v>
      </c>
      <c r="I428" s="28" t="s">
        <v>16</v>
      </c>
      <c r="J428" s="29">
        <v>18900</v>
      </c>
      <c r="K428" s="73"/>
      <c r="L428" s="74">
        <v>900</v>
      </c>
      <c r="M428" s="23"/>
      <c r="N428" s="24"/>
      <c r="U428" s="33"/>
    </row>
    <row r="429" spans="1:21" s="13" customFormat="1" ht="16.5" customHeight="1" x14ac:dyDescent="0.45">
      <c r="A429" s="14">
        <v>428</v>
      </c>
      <c r="B429" s="14">
        <v>30</v>
      </c>
      <c r="C429" s="52">
        <v>5</v>
      </c>
      <c r="D429" s="53">
        <v>6</v>
      </c>
      <c r="E429" s="54">
        <v>23</v>
      </c>
      <c r="F429" s="18" t="s">
        <v>362</v>
      </c>
      <c r="G429" s="19" t="s">
        <v>14</v>
      </c>
      <c r="H429" s="20" t="s">
        <v>363</v>
      </c>
      <c r="I429" s="18" t="s">
        <v>60</v>
      </c>
      <c r="J429" s="21">
        <v>25200</v>
      </c>
      <c r="K429" s="76"/>
      <c r="L429" s="77">
        <v>1200</v>
      </c>
      <c r="M429" s="23"/>
      <c r="N429" s="24"/>
      <c r="U429" s="33"/>
    </row>
    <row r="430" spans="1:21" s="13" customFormat="1" ht="16.5" customHeight="1" x14ac:dyDescent="0.45">
      <c r="A430" s="14">
        <v>429</v>
      </c>
      <c r="B430" s="14">
        <v>31</v>
      </c>
      <c r="C430" s="52">
        <v>5</v>
      </c>
      <c r="D430" s="53">
        <v>7</v>
      </c>
      <c r="E430" s="54">
        <v>11</v>
      </c>
      <c r="F430" s="18" t="s">
        <v>183</v>
      </c>
      <c r="G430" s="19" t="s">
        <v>14</v>
      </c>
      <c r="H430" s="20" t="s">
        <v>363</v>
      </c>
      <c r="I430" s="18" t="s">
        <v>60</v>
      </c>
      <c r="J430" s="21">
        <v>25200</v>
      </c>
      <c r="K430" s="76"/>
      <c r="L430" s="77">
        <v>1200</v>
      </c>
      <c r="M430" s="23"/>
      <c r="N430" s="24"/>
      <c r="U430" s="33"/>
    </row>
    <row r="431" spans="1:21" s="13" customFormat="1" ht="16.5" customHeight="1" x14ac:dyDescent="0.45">
      <c r="A431" s="14">
        <v>430</v>
      </c>
      <c r="B431" s="14">
        <v>32</v>
      </c>
      <c r="C431" s="52">
        <v>5</v>
      </c>
      <c r="D431" s="53">
        <v>7</v>
      </c>
      <c r="E431" s="54">
        <v>24</v>
      </c>
      <c r="F431" s="18" t="s">
        <v>369</v>
      </c>
      <c r="G431" s="19" t="s">
        <v>14</v>
      </c>
      <c r="H431" s="20" t="s">
        <v>363</v>
      </c>
      <c r="I431" s="28" t="s">
        <v>16</v>
      </c>
      <c r="J431" s="29">
        <v>18900</v>
      </c>
      <c r="K431" s="73"/>
      <c r="L431" s="74">
        <v>900</v>
      </c>
      <c r="M431" s="23"/>
      <c r="N431" s="24"/>
      <c r="U431" s="33"/>
    </row>
    <row r="432" spans="1:21" s="13" customFormat="1" ht="16.5" customHeight="1" x14ac:dyDescent="0.45">
      <c r="A432" s="14">
        <v>431</v>
      </c>
      <c r="B432" s="35">
        <v>1</v>
      </c>
      <c r="C432" s="49">
        <v>1</v>
      </c>
      <c r="D432" s="50">
        <v>1</v>
      </c>
      <c r="E432" s="51">
        <v>1</v>
      </c>
      <c r="F432" s="87" t="s">
        <v>152</v>
      </c>
      <c r="G432" s="55" t="s">
        <v>14</v>
      </c>
      <c r="H432" s="56" t="s">
        <v>370</v>
      </c>
      <c r="I432" s="39" t="s">
        <v>60</v>
      </c>
      <c r="J432" s="43">
        <v>25200</v>
      </c>
      <c r="K432" s="70"/>
      <c r="L432" s="71">
        <v>1200</v>
      </c>
      <c r="M432" s="45">
        <f>SUM(J432:K470)</f>
        <v>856800</v>
      </c>
      <c r="N432" s="24"/>
      <c r="U432" s="33"/>
    </row>
    <row r="433" spans="1:21" s="13" customFormat="1" ht="16.5" customHeight="1" x14ac:dyDescent="0.45">
      <c r="A433" s="14">
        <v>432</v>
      </c>
      <c r="B433" s="14">
        <v>2</v>
      </c>
      <c r="C433" s="52">
        <v>1</v>
      </c>
      <c r="D433" s="53">
        <v>1</v>
      </c>
      <c r="E433" s="54">
        <v>17</v>
      </c>
      <c r="F433" s="18" t="s">
        <v>371</v>
      </c>
      <c r="G433" s="19" t="s">
        <v>14</v>
      </c>
      <c r="H433" s="20" t="s">
        <v>370</v>
      </c>
      <c r="I433" s="18" t="s">
        <v>60</v>
      </c>
      <c r="J433" s="21">
        <v>25200</v>
      </c>
      <c r="K433" s="76"/>
      <c r="L433" s="77">
        <v>1200</v>
      </c>
      <c r="M433" s="23"/>
      <c r="N433" s="24"/>
      <c r="U433" s="33"/>
    </row>
    <row r="434" spans="1:21" s="13" customFormat="1" ht="16.5" customHeight="1" x14ac:dyDescent="0.45">
      <c r="A434" s="14">
        <v>433</v>
      </c>
      <c r="B434" s="14">
        <v>3</v>
      </c>
      <c r="C434" s="52">
        <v>1</v>
      </c>
      <c r="D434" s="53">
        <v>2</v>
      </c>
      <c r="E434" s="54">
        <v>2</v>
      </c>
      <c r="F434" s="18" t="s">
        <v>212</v>
      </c>
      <c r="G434" s="19" t="s">
        <v>14</v>
      </c>
      <c r="H434" s="20" t="s">
        <v>370</v>
      </c>
      <c r="I434" s="28" t="s">
        <v>16</v>
      </c>
      <c r="J434" s="29">
        <v>18900</v>
      </c>
      <c r="K434" s="73"/>
      <c r="L434" s="74">
        <v>900</v>
      </c>
      <c r="M434" s="23"/>
      <c r="N434" s="24"/>
      <c r="O434" s="27">
        <f>SUM(J432:K470)</f>
        <v>856800</v>
      </c>
      <c r="U434" s="33"/>
    </row>
    <row r="435" spans="1:21" s="13" customFormat="1" ht="16.5" customHeight="1" x14ac:dyDescent="0.45">
      <c r="A435" s="14">
        <v>434</v>
      </c>
      <c r="B435" s="14">
        <v>4</v>
      </c>
      <c r="C435" s="52">
        <v>1</v>
      </c>
      <c r="D435" s="53">
        <v>2</v>
      </c>
      <c r="E435" s="54">
        <v>19</v>
      </c>
      <c r="F435" s="18" t="s">
        <v>372</v>
      </c>
      <c r="G435" s="19" t="s">
        <v>14</v>
      </c>
      <c r="H435" s="20" t="s">
        <v>370</v>
      </c>
      <c r="I435" s="18" t="s">
        <v>60</v>
      </c>
      <c r="J435" s="21">
        <v>25200</v>
      </c>
      <c r="K435" s="76"/>
      <c r="L435" s="77">
        <v>1200</v>
      </c>
      <c r="M435" s="23"/>
      <c r="N435" s="24"/>
      <c r="O435" s="27">
        <f>SUM(L432:L470)</f>
        <v>40800</v>
      </c>
      <c r="U435" s="33"/>
    </row>
    <row r="436" spans="1:21" s="13" customFormat="1" ht="16.5" customHeight="1" x14ac:dyDescent="0.45">
      <c r="A436" s="14">
        <v>435</v>
      </c>
      <c r="B436" s="14">
        <v>5</v>
      </c>
      <c r="C436" s="52">
        <v>1</v>
      </c>
      <c r="D436" s="53">
        <v>3</v>
      </c>
      <c r="E436" s="54">
        <v>7</v>
      </c>
      <c r="F436" s="18" t="s">
        <v>373</v>
      </c>
      <c r="G436" s="19" t="s">
        <v>14</v>
      </c>
      <c r="H436" s="20" t="s">
        <v>370</v>
      </c>
      <c r="I436" s="28" t="s">
        <v>16</v>
      </c>
      <c r="J436" s="29">
        <v>18900</v>
      </c>
      <c r="K436" s="73"/>
      <c r="L436" s="74">
        <v>900</v>
      </c>
      <c r="M436" s="23"/>
      <c r="N436" s="24"/>
      <c r="O436" s="27">
        <f>SUM(O434:O435)</f>
        <v>897600</v>
      </c>
      <c r="U436" s="33"/>
    </row>
    <row r="437" spans="1:21" s="13" customFormat="1" ht="16.5" customHeight="1" x14ac:dyDescent="0.45">
      <c r="A437" s="14">
        <v>436</v>
      </c>
      <c r="B437" s="14">
        <v>6</v>
      </c>
      <c r="C437" s="52">
        <v>1</v>
      </c>
      <c r="D437" s="53">
        <v>3</v>
      </c>
      <c r="E437" s="54">
        <v>14</v>
      </c>
      <c r="F437" s="18" t="s">
        <v>154</v>
      </c>
      <c r="G437" s="19" t="s">
        <v>14</v>
      </c>
      <c r="H437" s="20" t="s">
        <v>370</v>
      </c>
      <c r="I437" s="28" t="s">
        <v>16</v>
      </c>
      <c r="J437" s="29">
        <v>18900</v>
      </c>
      <c r="K437" s="73"/>
      <c r="L437" s="74">
        <v>900</v>
      </c>
      <c r="M437" s="23"/>
      <c r="N437" s="24"/>
      <c r="U437" s="33"/>
    </row>
    <row r="438" spans="1:21" s="13" customFormat="1" ht="16.5" customHeight="1" x14ac:dyDescent="0.45">
      <c r="A438" s="14">
        <v>437</v>
      </c>
      <c r="B438" s="14">
        <v>7</v>
      </c>
      <c r="C438" s="52">
        <v>1</v>
      </c>
      <c r="D438" s="53">
        <v>3</v>
      </c>
      <c r="E438" s="54">
        <v>15</v>
      </c>
      <c r="F438" s="18" t="s">
        <v>155</v>
      </c>
      <c r="G438" s="19" t="s">
        <v>14</v>
      </c>
      <c r="H438" s="20" t="s">
        <v>370</v>
      </c>
      <c r="I438" s="28" t="s">
        <v>16</v>
      </c>
      <c r="J438" s="29">
        <v>18900</v>
      </c>
      <c r="K438" s="73"/>
      <c r="L438" s="74">
        <v>900</v>
      </c>
      <c r="M438" s="23"/>
      <c r="N438" s="24"/>
      <c r="U438" s="33"/>
    </row>
    <row r="439" spans="1:21" s="13" customFormat="1" ht="16.5" customHeight="1" x14ac:dyDescent="0.45">
      <c r="A439" s="14">
        <v>438</v>
      </c>
      <c r="B439" s="14">
        <v>8</v>
      </c>
      <c r="C439" s="52">
        <v>1</v>
      </c>
      <c r="D439" s="53">
        <v>8</v>
      </c>
      <c r="E439" s="54">
        <v>19</v>
      </c>
      <c r="F439" s="18" t="s">
        <v>238</v>
      </c>
      <c r="G439" s="19" t="s">
        <v>14</v>
      </c>
      <c r="H439" s="20" t="s">
        <v>370</v>
      </c>
      <c r="I439" s="18" t="s">
        <v>60</v>
      </c>
      <c r="J439" s="21">
        <v>25200</v>
      </c>
      <c r="K439" s="76"/>
      <c r="L439" s="77">
        <v>1200</v>
      </c>
      <c r="M439" s="23"/>
      <c r="N439" s="24"/>
      <c r="U439" s="33"/>
    </row>
    <row r="440" spans="1:21" s="13" customFormat="1" ht="16.5" customHeight="1" x14ac:dyDescent="0.45">
      <c r="A440" s="14">
        <v>439</v>
      </c>
      <c r="B440" s="14">
        <v>9</v>
      </c>
      <c r="C440" s="52">
        <v>1</v>
      </c>
      <c r="D440" s="53">
        <v>9</v>
      </c>
      <c r="E440" s="54">
        <v>14</v>
      </c>
      <c r="F440" s="18" t="s">
        <v>374</v>
      </c>
      <c r="G440" s="19" t="s">
        <v>14</v>
      </c>
      <c r="H440" s="20" t="s">
        <v>370</v>
      </c>
      <c r="I440" s="28" t="s">
        <v>16</v>
      </c>
      <c r="J440" s="29">
        <v>18900</v>
      </c>
      <c r="K440" s="73"/>
      <c r="L440" s="74">
        <v>900</v>
      </c>
      <c r="M440" s="23"/>
      <c r="N440" s="24"/>
      <c r="O440" s="13">
        <v>25200</v>
      </c>
      <c r="P440" s="13">
        <v>1200</v>
      </c>
      <c r="Q440" s="13">
        <v>26400</v>
      </c>
      <c r="U440" s="33"/>
    </row>
    <row r="441" spans="1:21" s="13" customFormat="1" ht="16.5" customHeight="1" x14ac:dyDescent="0.45">
      <c r="A441" s="14">
        <v>440</v>
      </c>
      <c r="B441" s="14">
        <v>10</v>
      </c>
      <c r="C441" s="52">
        <v>1</v>
      </c>
      <c r="D441" s="53">
        <v>10</v>
      </c>
      <c r="E441" s="54">
        <v>17</v>
      </c>
      <c r="F441" s="18" t="s">
        <v>375</v>
      </c>
      <c r="G441" s="19" t="s">
        <v>14</v>
      </c>
      <c r="H441" s="20" t="s">
        <v>376</v>
      </c>
      <c r="I441" s="18" t="s">
        <v>60</v>
      </c>
      <c r="J441" s="21">
        <v>25200</v>
      </c>
      <c r="K441" s="76"/>
      <c r="L441" s="77">
        <v>1200</v>
      </c>
      <c r="M441" s="23"/>
      <c r="N441" s="24"/>
      <c r="O441" s="13">
        <f>O440*39</f>
        <v>982800</v>
      </c>
      <c r="P441" s="13">
        <f t="shared" ref="P441:Q441" si="53">P440*39</f>
        <v>46800</v>
      </c>
      <c r="Q441" s="13">
        <f t="shared" si="53"/>
        <v>1029600</v>
      </c>
      <c r="U441" s="33"/>
    </row>
    <row r="442" spans="1:21" s="13" customFormat="1" ht="16.5" customHeight="1" x14ac:dyDescent="0.45">
      <c r="A442" s="14">
        <v>441</v>
      </c>
      <c r="B442" s="14">
        <v>11</v>
      </c>
      <c r="C442" s="52">
        <v>1</v>
      </c>
      <c r="D442" s="53">
        <v>11</v>
      </c>
      <c r="E442" s="54">
        <v>5</v>
      </c>
      <c r="F442" s="18" t="s">
        <v>112</v>
      </c>
      <c r="G442" s="19" t="s">
        <v>14</v>
      </c>
      <c r="H442" s="20" t="s">
        <v>370</v>
      </c>
      <c r="I442" s="28" t="s">
        <v>16</v>
      </c>
      <c r="J442" s="29">
        <v>18900</v>
      </c>
      <c r="K442" s="73"/>
      <c r="L442" s="74">
        <v>900</v>
      </c>
      <c r="M442" s="23"/>
      <c r="N442" s="24"/>
      <c r="O442" s="13">
        <v>-126000</v>
      </c>
      <c r="P442" s="13">
        <v>-6000</v>
      </c>
      <c r="Q442" s="13">
        <v>-132000</v>
      </c>
      <c r="U442" s="33"/>
    </row>
    <row r="443" spans="1:21" s="13" customFormat="1" ht="16.5" customHeight="1" x14ac:dyDescent="0.45">
      <c r="A443" s="14">
        <v>442</v>
      </c>
      <c r="B443" s="14">
        <v>12</v>
      </c>
      <c r="C443" s="52">
        <v>1</v>
      </c>
      <c r="D443" s="53">
        <v>11</v>
      </c>
      <c r="E443" s="54">
        <v>7</v>
      </c>
      <c r="F443" s="18" t="s">
        <v>227</v>
      </c>
      <c r="G443" s="19" t="s">
        <v>14</v>
      </c>
      <c r="H443" s="20" t="s">
        <v>370</v>
      </c>
      <c r="I443" s="18" t="s">
        <v>60</v>
      </c>
      <c r="J443" s="21">
        <v>25200</v>
      </c>
      <c r="K443" s="76"/>
      <c r="L443" s="77">
        <v>1200</v>
      </c>
      <c r="M443" s="23"/>
      <c r="N443" s="24"/>
      <c r="O443" s="13">
        <f>SUM(O441:O442)</f>
        <v>856800</v>
      </c>
      <c r="P443" s="13">
        <f t="shared" ref="P443:Q443" si="54">SUM(P441:P442)</f>
        <v>40800</v>
      </c>
      <c r="Q443" s="13">
        <f t="shared" si="54"/>
        <v>897600</v>
      </c>
      <c r="U443" s="33"/>
    </row>
    <row r="444" spans="1:21" s="13" customFormat="1" ht="16.5" customHeight="1" x14ac:dyDescent="0.45">
      <c r="A444" s="14">
        <v>443</v>
      </c>
      <c r="B444" s="14">
        <v>13</v>
      </c>
      <c r="C444" s="52">
        <v>1</v>
      </c>
      <c r="D444" s="53">
        <v>12</v>
      </c>
      <c r="E444" s="54">
        <v>14</v>
      </c>
      <c r="F444" s="18" t="s">
        <v>377</v>
      </c>
      <c r="G444" s="19" t="s">
        <v>14</v>
      </c>
      <c r="H444" s="20" t="s">
        <v>370</v>
      </c>
      <c r="I444" s="28" t="s">
        <v>16</v>
      </c>
      <c r="J444" s="29">
        <v>18900</v>
      </c>
      <c r="K444" s="73"/>
      <c r="L444" s="74">
        <v>900</v>
      </c>
      <c r="M444" s="23"/>
      <c r="N444" s="24"/>
      <c r="U444" s="33"/>
    </row>
    <row r="445" spans="1:21" s="13" customFormat="1" ht="16.5" customHeight="1" x14ac:dyDescent="0.45">
      <c r="A445" s="14">
        <v>444</v>
      </c>
      <c r="B445" s="14">
        <v>14</v>
      </c>
      <c r="C445" s="52">
        <v>1</v>
      </c>
      <c r="D445" s="53">
        <v>12</v>
      </c>
      <c r="E445" s="54">
        <v>18</v>
      </c>
      <c r="F445" s="18" t="s">
        <v>241</v>
      </c>
      <c r="G445" s="19" t="s">
        <v>14</v>
      </c>
      <c r="H445" s="20" t="s">
        <v>370</v>
      </c>
      <c r="I445" s="18" t="s">
        <v>60</v>
      </c>
      <c r="J445" s="21">
        <v>25200</v>
      </c>
      <c r="K445" s="76"/>
      <c r="L445" s="77">
        <v>1200</v>
      </c>
      <c r="M445" s="23"/>
      <c r="N445" s="24"/>
      <c r="U445" s="33"/>
    </row>
    <row r="446" spans="1:21" s="13" customFormat="1" ht="16.5" customHeight="1" x14ac:dyDescent="0.45">
      <c r="A446" s="14">
        <v>445</v>
      </c>
      <c r="B446" s="14">
        <v>15</v>
      </c>
      <c r="C446" s="52">
        <v>2</v>
      </c>
      <c r="D446" s="53">
        <v>2</v>
      </c>
      <c r="E446" s="54">
        <v>11</v>
      </c>
      <c r="F446" s="18" t="s">
        <v>243</v>
      </c>
      <c r="G446" s="19" t="s">
        <v>14</v>
      </c>
      <c r="H446" s="20" t="s">
        <v>370</v>
      </c>
      <c r="I446" s="28" t="s">
        <v>16</v>
      </c>
      <c r="J446" s="29">
        <v>18900</v>
      </c>
      <c r="K446" s="73"/>
      <c r="L446" s="74">
        <v>900</v>
      </c>
      <c r="M446" s="23"/>
      <c r="N446" s="24"/>
      <c r="U446" s="33"/>
    </row>
    <row r="447" spans="1:21" s="13" customFormat="1" ht="16.5" customHeight="1" x14ac:dyDescent="0.45">
      <c r="A447" s="14">
        <v>446</v>
      </c>
      <c r="B447" s="14">
        <v>16</v>
      </c>
      <c r="C447" s="52">
        <v>2</v>
      </c>
      <c r="D447" s="53">
        <v>7</v>
      </c>
      <c r="E447" s="54">
        <v>3</v>
      </c>
      <c r="F447" s="18" t="s">
        <v>378</v>
      </c>
      <c r="G447" s="19" t="s">
        <v>14</v>
      </c>
      <c r="H447" s="20" t="s">
        <v>370</v>
      </c>
      <c r="I447" s="18" t="s">
        <v>60</v>
      </c>
      <c r="J447" s="21">
        <v>25200</v>
      </c>
      <c r="K447" s="76"/>
      <c r="L447" s="77">
        <v>1200</v>
      </c>
      <c r="M447" s="23"/>
      <c r="N447" s="24"/>
      <c r="O447" s="13">
        <v>25200</v>
      </c>
      <c r="P447" s="13">
        <v>1200</v>
      </c>
      <c r="Q447" s="13">
        <v>26400</v>
      </c>
      <c r="U447" s="33"/>
    </row>
    <row r="448" spans="1:21" s="13" customFormat="1" ht="16.5" customHeight="1" x14ac:dyDescent="0.45">
      <c r="A448" s="14">
        <v>447</v>
      </c>
      <c r="B448" s="14">
        <v>17</v>
      </c>
      <c r="C448" s="52">
        <v>2</v>
      </c>
      <c r="D448" s="53">
        <v>7</v>
      </c>
      <c r="E448" s="54">
        <v>13</v>
      </c>
      <c r="F448" s="18" t="s">
        <v>214</v>
      </c>
      <c r="G448" s="19" t="s">
        <v>14</v>
      </c>
      <c r="H448" s="20" t="s">
        <v>370</v>
      </c>
      <c r="I448" s="28" t="s">
        <v>16</v>
      </c>
      <c r="J448" s="29">
        <v>18900</v>
      </c>
      <c r="K448" s="73"/>
      <c r="L448" s="74">
        <v>900</v>
      </c>
      <c r="M448" s="23"/>
      <c r="N448" s="24"/>
      <c r="O448" s="13">
        <f>O447*39</f>
        <v>982800</v>
      </c>
      <c r="P448" s="13">
        <f t="shared" ref="P448:Q448" si="55">P447*39</f>
        <v>46800</v>
      </c>
      <c r="Q448" s="13">
        <f t="shared" si="55"/>
        <v>1029600</v>
      </c>
      <c r="U448" s="33"/>
    </row>
    <row r="449" spans="1:21" s="13" customFormat="1" ht="16.5" customHeight="1" x14ac:dyDescent="0.45">
      <c r="A449" s="14">
        <v>448</v>
      </c>
      <c r="B449" s="14">
        <v>18</v>
      </c>
      <c r="C449" s="52">
        <v>2</v>
      </c>
      <c r="D449" s="53">
        <v>9</v>
      </c>
      <c r="E449" s="54">
        <v>12</v>
      </c>
      <c r="F449" s="18" t="s">
        <v>379</v>
      </c>
      <c r="G449" s="19" t="s">
        <v>14</v>
      </c>
      <c r="H449" s="20" t="s">
        <v>370</v>
      </c>
      <c r="I449" s="18" t="s">
        <v>60</v>
      </c>
      <c r="J449" s="21">
        <v>25200</v>
      </c>
      <c r="K449" s="76"/>
      <c r="L449" s="77">
        <v>1200</v>
      </c>
      <c r="M449" s="23"/>
      <c r="N449" s="24"/>
      <c r="U449" s="33"/>
    </row>
    <row r="450" spans="1:21" s="13" customFormat="1" ht="16.5" customHeight="1" x14ac:dyDescent="0.45">
      <c r="A450" s="14">
        <v>449</v>
      </c>
      <c r="B450" s="14">
        <v>19</v>
      </c>
      <c r="C450" s="52">
        <v>2</v>
      </c>
      <c r="D450" s="53">
        <v>9</v>
      </c>
      <c r="E450" s="54">
        <v>15</v>
      </c>
      <c r="F450" s="18" t="s">
        <v>380</v>
      </c>
      <c r="G450" s="19" t="s">
        <v>14</v>
      </c>
      <c r="H450" s="20" t="s">
        <v>370</v>
      </c>
      <c r="I450" s="18" t="s">
        <v>60</v>
      </c>
      <c r="J450" s="21">
        <v>25200</v>
      </c>
      <c r="K450" s="76"/>
      <c r="L450" s="77">
        <v>1200</v>
      </c>
      <c r="M450" s="23"/>
      <c r="N450" s="24"/>
      <c r="U450" s="33"/>
    </row>
    <row r="451" spans="1:21" s="13" customFormat="1" ht="16.5" customHeight="1" x14ac:dyDescent="0.45">
      <c r="A451" s="14">
        <v>450</v>
      </c>
      <c r="B451" s="14">
        <v>20</v>
      </c>
      <c r="C451" s="52">
        <v>3</v>
      </c>
      <c r="D451" s="53">
        <v>4</v>
      </c>
      <c r="E451" s="54">
        <v>24</v>
      </c>
      <c r="F451" s="18" t="s">
        <v>381</v>
      </c>
      <c r="G451" s="19" t="s">
        <v>14</v>
      </c>
      <c r="H451" s="20" t="s">
        <v>382</v>
      </c>
      <c r="I451" s="28" t="s">
        <v>16</v>
      </c>
      <c r="J451" s="29">
        <v>18900</v>
      </c>
      <c r="K451" s="73"/>
      <c r="L451" s="74">
        <v>900</v>
      </c>
      <c r="M451" s="23"/>
      <c r="N451" s="24"/>
      <c r="U451" s="33"/>
    </row>
    <row r="452" spans="1:21" s="13" customFormat="1" ht="16.5" customHeight="1" x14ac:dyDescent="0.45">
      <c r="A452" s="14">
        <v>451</v>
      </c>
      <c r="B452" s="14">
        <v>21</v>
      </c>
      <c r="C452" s="52">
        <v>3</v>
      </c>
      <c r="D452" s="53">
        <v>8</v>
      </c>
      <c r="E452" s="54">
        <v>25</v>
      </c>
      <c r="F452" s="18" t="s">
        <v>383</v>
      </c>
      <c r="G452" s="19" t="s">
        <v>14</v>
      </c>
      <c r="H452" s="20" t="s">
        <v>382</v>
      </c>
      <c r="I452" s="18" t="s">
        <v>60</v>
      </c>
      <c r="J452" s="21">
        <v>25200</v>
      </c>
      <c r="K452" s="76"/>
      <c r="L452" s="77">
        <v>1200</v>
      </c>
      <c r="M452" s="23"/>
      <c r="N452" s="24"/>
      <c r="O452" s="13">
        <v>25200</v>
      </c>
      <c r="P452" s="13">
        <v>1200</v>
      </c>
      <c r="Q452" s="13">
        <v>26400</v>
      </c>
      <c r="U452" s="33"/>
    </row>
    <row r="453" spans="1:21" s="13" customFormat="1" ht="16.5" customHeight="1" x14ac:dyDescent="0.45">
      <c r="A453" s="14">
        <v>452</v>
      </c>
      <c r="B453" s="14">
        <v>22</v>
      </c>
      <c r="C453" s="52">
        <v>3</v>
      </c>
      <c r="D453" s="53">
        <v>9</v>
      </c>
      <c r="E453" s="54">
        <v>15</v>
      </c>
      <c r="F453" s="114" t="s">
        <v>384</v>
      </c>
      <c r="G453" s="124" t="s">
        <v>14</v>
      </c>
      <c r="H453" s="125" t="s">
        <v>382</v>
      </c>
      <c r="I453" s="114" t="s">
        <v>21</v>
      </c>
      <c r="J453" s="21">
        <v>12600</v>
      </c>
      <c r="K453" s="76"/>
      <c r="L453" s="77">
        <v>600</v>
      </c>
      <c r="M453" s="23"/>
      <c r="N453" s="24"/>
      <c r="O453" s="13">
        <f>O452*39</f>
        <v>982800</v>
      </c>
      <c r="P453" s="13">
        <f t="shared" ref="P453:Q453" si="56">P452*39</f>
        <v>46800</v>
      </c>
      <c r="Q453" s="13">
        <f t="shared" si="56"/>
        <v>1029600</v>
      </c>
      <c r="U453" s="33"/>
    </row>
    <row r="454" spans="1:21" s="13" customFormat="1" ht="16.5" customHeight="1" x14ac:dyDescent="0.45">
      <c r="A454" s="14">
        <v>453</v>
      </c>
      <c r="B454" s="14">
        <v>23</v>
      </c>
      <c r="C454" s="52">
        <v>4</v>
      </c>
      <c r="D454" s="53">
        <v>1</v>
      </c>
      <c r="E454" s="54">
        <v>14</v>
      </c>
      <c r="F454" s="18" t="s">
        <v>385</v>
      </c>
      <c r="G454" s="19" t="s">
        <v>14</v>
      </c>
      <c r="H454" s="20" t="s">
        <v>382</v>
      </c>
      <c r="I454" s="28" t="s">
        <v>16</v>
      </c>
      <c r="J454" s="29">
        <v>18900</v>
      </c>
      <c r="K454" s="73"/>
      <c r="L454" s="74">
        <v>900</v>
      </c>
      <c r="M454" s="23"/>
      <c r="N454" s="24"/>
      <c r="U454" s="33"/>
    </row>
    <row r="455" spans="1:21" s="13" customFormat="1" ht="16.5" customHeight="1" x14ac:dyDescent="0.45">
      <c r="A455" s="14">
        <v>454</v>
      </c>
      <c r="B455" s="14">
        <v>24</v>
      </c>
      <c r="C455" s="52">
        <v>4</v>
      </c>
      <c r="D455" s="53">
        <v>2</v>
      </c>
      <c r="E455" s="54">
        <v>24</v>
      </c>
      <c r="F455" s="18" t="s">
        <v>386</v>
      </c>
      <c r="G455" s="19" t="s">
        <v>14</v>
      </c>
      <c r="H455" s="20" t="s">
        <v>382</v>
      </c>
      <c r="I455" s="18" t="s">
        <v>60</v>
      </c>
      <c r="J455" s="21">
        <v>25200</v>
      </c>
      <c r="K455" s="76"/>
      <c r="L455" s="77">
        <v>1200</v>
      </c>
      <c r="M455" s="23"/>
      <c r="N455" s="24"/>
      <c r="S455" s="34">
        <f>SUM(O443,O448,O453)</f>
        <v>2822400</v>
      </c>
      <c r="T455" s="34">
        <f>SUM(P443,P448,P453)</f>
        <v>134400</v>
      </c>
      <c r="U455" s="34">
        <f>SUM(Q443,Q448,Q453)</f>
        <v>2956800</v>
      </c>
    </row>
    <row r="456" spans="1:21" s="13" customFormat="1" ht="16.5" customHeight="1" x14ac:dyDescent="0.45">
      <c r="A456" s="14">
        <v>455</v>
      </c>
      <c r="B456" s="14">
        <v>25</v>
      </c>
      <c r="C456" s="52">
        <v>4</v>
      </c>
      <c r="D456" s="53">
        <v>2</v>
      </c>
      <c r="E456" s="54">
        <v>23</v>
      </c>
      <c r="F456" s="18" t="s">
        <v>387</v>
      </c>
      <c r="G456" s="19" t="s">
        <v>14</v>
      </c>
      <c r="H456" s="20" t="s">
        <v>382</v>
      </c>
      <c r="I456" s="18" t="s">
        <v>60</v>
      </c>
      <c r="J456" s="21">
        <v>25200</v>
      </c>
      <c r="K456" s="76"/>
      <c r="L456" s="77">
        <v>1200</v>
      </c>
      <c r="M456" s="23"/>
      <c r="N456" s="24"/>
      <c r="U456" s="33"/>
    </row>
    <row r="457" spans="1:21" s="13" customFormat="1" ht="16.5" customHeight="1" x14ac:dyDescent="0.45">
      <c r="A457" s="14">
        <v>456</v>
      </c>
      <c r="B457" s="14">
        <v>26</v>
      </c>
      <c r="C457" s="52">
        <v>4</v>
      </c>
      <c r="D457" s="53">
        <v>6</v>
      </c>
      <c r="E457" s="54">
        <v>8</v>
      </c>
      <c r="F457" s="18" t="s">
        <v>388</v>
      </c>
      <c r="G457" s="19" t="s">
        <v>14</v>
      </c>
      <c r="H457" s="20" t="s">
        <v>382</v>
      </c>
      <c r="I457" s="18" t="s">
        <v>60</v>
      </c>
      <c r="J457" s="21">
        <v>25200</v>
      </c>
      <c r="K457" s="76"/>
      <c r="L457" s="77">
        <v>1200</v>
      </c>
      <c r="M457" s="23"/>
      <c r="N457" s="24"/>
      <c r="U457" s="33"/>
    </row>
    <row r="458" spans="1:21" s="13" customFormat="1" ht="16.5" customHeight="1" x14ac:dyDescent="0.45">
      <c r="A458" s="14">
        <v>457</v>
      </c>
      <c r="B458" s="14">
        <v>27</v>
      </c>
      <c r="C458" s="52">
        <v>4</v>
      </c>
      <c r="D458" s="53">
        <v>7</v>
      </c>
      <c r="E458" s="54">
        <v>19</v>
      </c>
      <c r="F458" s="18" t="s">
        <v>389</v>
      </c>
      <c r="G458" s="19" t="s">
        <v>14</v>
      </c>
      <c r="H458" s="20" t="s">
        <v>382</v>
      </c>
      <c r="I458" s="28" t="s">
        <v>16</v>
      </c>
      <c r="J458" s="29">
        <v>18900</v>
      </c>
      <c r="K458" s="73"/>
      <c r="L458" s="74">
        <v>900</v>
      </c>
      <c r="M458" s="23"/>
      <c r="N458" s="24"/>
      <c r="U458" s="33"/>
    </row>
    <row r="459" spans="1:21" s="13" customFormat="1" ht="16.5" customHeight="1" x14ac:dyDescent="0.45">
      <c r="A459" s="14">
        <v>458</v>
      </c>
      <c r="B459" s="14">
        <v>28</v>
      </c>
      <c r="C459" s="52">
        <v>4</v>
      </c>
      <c r="D459" s="53">
        <v>8</v>
      </c>
      <c r="E459" s="54">
        <v>8</v>
      </c>
      <c r="F459" s="18" t="s">
        <v>143</v>
      </c>
      <c r="G459" s="19" t="s">
        <v>14</v>
      </c>
      <c r="H459" s="20" t="s">
        <v>382</v>
      </c>
      <c r="I459" s="28" t="s">
        <v>16</v>
      </c>
      <c r="J459" s="29">
        <v>18900</v>
      </c>
      <c r="K459" s="73"/>
      <c r="L459" s="74">
        <v>900</v>
      </c>
      <c r="M459" s="23"/>
      <c r="N459" s="24"/>
      <c r="U459" s="33"/>
    </row>
    <row r="460" spans="1:21" s="13" customFormat="1" ht="16.5" customHeight="1" x14ac:dyDescent="0.45">
      <c r="A460" s="14">
        <v>459</v>
      </c>
      <c r="B460" s="14">
        <v>29</v>
      </c>
      <c r="C460" s="52">
        <v>5</v>
      </c>
      <c r="D460" s="53">
        <v>2</v>
      </c>
      <c r="E460" s="54">
        <v>1</v>
      </c>
      <c r="F460" s="18" t="s">
        <v>390</v>
      </c>
      <c r="G460" s="19" t="s">
        <v>14</v>
      </c>
      <c r="H460" s="20" t="s">
        <v>382</v>
      </c>
      <c r="I460" s="18" t="s">
        <v>60</v>
      </c>
      <c r="J460" s="21">
        <v>25200</v>
      </c>
      <c r="K460" s="76"/>
      <c r="L460" s="77">
        <v>1200</v>
      </c>
      <c r="M460" s="23"/>
      <c r="N460" s="24"/>
      <c r="U460" s="33"/>
    </row>
    <row r="461" spans="1:21" s="13" customFormat="1" ht="16.5" customHeight="1" x14ac:dyDescent="0.45">
      <c r="A461" s="14">
        <v>460</v>
      </c>
      <c r="B461" s="14">
        <v>30</v>
      </c>
      <c r="C461" s="52">
        <v>5</v>
      </c>
      <c r="D461" s="53">
        <v>2</v>
      </c>
      <c r="E461" s="54">
        <v>16</v>
      </c>
      <c r="F461" s="18" t="s">
        <v>269</v>
      </c>
      <c r="G461" s="19" t="s">
        <v>14</v>
      </c>
      <c r="H461" s="20" t="s">
        <v>382</v>
      </c>
      <c r="I461" s="18" t="s">
        <v>60</v>
      </c>
      <c r="J461" s="21">
        <v>25200</v>
      </c>
      <c r="K461" s="76"/>
      <c r="L461" s="77">
        <v>1200</v>
      </c>
      <c r="M461" s="23"/>
      <c r="N461" s="24"/>
      <c r="U461" s="33"/>
    </row>
    <row r="462" spans="1:21" s="13" customFormat="1" ht="16.5" customHeight="1" x14ac:dyDescent="0.45">
      <c r="A462" s="14">
        <v>461</v>
      </c>
      <c r="B462" s="14">
        <v>31</v>
      </c>
      <c r="C462" s="52">
        <v>5</v>
      </c>
      <c r="D462" s="53">
        <v>3</v>
      </c>
      <c r="E462" s="54">
        <v>5</v>
      </c>
      <c r="F462" s="18" t="s">
        <v>255</v>
      </c>
      <c r="G462" s="19" t="s">
        <v>14</v>
      </c>
      <c r="H462" s="20" t="s">
        <v>382</v>
      </c>
      <c r="I462" s="18" t="s">
        <v>60</v>
      </c>
      <c r="J462" s="21">
        <v>25200</v>
      </c>
      <c r="K462" s="76"/>
      <c r="L462" s="77">
        <v>1200</v>
      </c>
      <c r="M462" s="23"/>
      <c r="N462" s="24"/>
      <c r="U462" s="33"/>
    </row>
    <row r="463" spans="1:21" s="13" customFormat="1" ht="16.5" customHeight="1" x14ac:dyDescent="0.45">
      <c r="A463" s="14">
        <v>462</v>
      </c>
      <c r="B463" s="14">
        <v>32</v>
      </c>
      <c r="C463" s="52">
        <v>5</v>
      </c>
      <c r="D463" s="53">
        <v>5</v>
      </c>
      <c r="E463" s="54">
        <v>22</v>
      </c>
      <c r="F463" s="18" t="s">
        <v>391</v>
      </c>
      <c r="G463" s="19" t="s">
        <v>14</v>
      </c>
      <c r="H463" s="20" t="s">
        <v>382</v>
      </c>
      <c r="I463" s="28" t="s">
        <v>16</v>
      </c>
      <c r="J463" s="29">
        <v>18900</v>
      </c>
      <c r="K463" s="73"/>
      <c r="L463" s="74">
        <v>900</v>
      </c>
      <c r="M463" s="23"/>
      <c r="N463" s="24"/>
      <c r="U463" s="33"/>
    </row>
    <row r="464" spans="1:21" s="13" customFormat="1" ht="16.5" customHeight="1" x14ac:dyDescent="0.45">
      <c r="A464" s="14">
        <v>463</v>
      </c>
      <c r="B464" s="14">
        <v>33</v>
      </c>
      <c r="C464" s="52">
        <v>5</v>
      </c>
      <c r="D464" s="53">
        <v>6</v>
      </c>
      <c r="E464" s="54">
        <v>2</v>
      </c>
      <c r="F464" s="18" t="s">
        <v>274</v>
      </c>
      <c r="G464" s="19" t="s">
        <v>14</v>
      </c>
      <c r="H464" s="20" t="s">
        <v>382</v>
      </c>
      <c r="I464" s="18" t="s">
        <v>60</v>
      </c>
      <c r="J464" s="21">
        <v>25200</v>
      </c>
      <c r="K464" s="76"/>
      <c r="L464" s="77">
        <v>1200</v>
      </c>
      <c r="M464" s="23"/>
      <c r="N464" s="24"/>
      <c r="U464" s="33"/>
    </row>
    <row r="465" spans="1:21" s="13" customFormat="1" ht="16.5" customHeight="1" x14ac:dyDescent="0.45">
      <c r="A465" s="14">
        <v>464</v>
      </c>
      <c r="B465" s="14">
        <v>34</v>
      </c>
      <c r="C465" s="52">
        <v>5</v>
      </c>
      <c r="D465" s="53">
        <v>6</v>
      </c>
      <c r="E465" s="54">
        <v>10</v>
      </c>
      <c r="F465" s="18" t="s">
        <v>182</v>
      </c>
      <c r="G465" s="19" t="s">
        <v>14</v>
      </c>
      <c r="H465" s="20" t="s">
        <v>382</v>
      </c>
      <c r="I465" s="18" t="s">
        <v>60</v>
      </c>
      <c r="J465" s="21">
        <v>25200</v>
      </c>
      <c r="K465" s="76"/>
      <c r="L465" s="77">
        <v>1200</v>
      </c>
      <c r="M465" s="23"/>
      <c r="N465" s="24"/>
      <c r="U465" s="33"/>
    </row>
    <row r="466" spans="1:21" s="13" customFormat="1" ht="16.5" customHeight="1" x14ac:dyDescent="0.45">
      <c r="A466" s="14">
        <v>465</v>
      </c>
      <c r="B466" s="14">
        <v>35</v>
      </c>
      <c r="C466" s="52">
        <v>5</v>
      </c>
      <c r="D466" s="53">
        <v>7</v>
      </c>
      <c r="E466" s="54">
        <v>2</v>
      </c>
      <c r="F466" s="18" t="s">
        <v>392</v>
      </c>
      <c r="G466" s="19" t="s">
        <v>14</v>
      </c>
      <c r="H466" s="20" t="s">
        <v>382</v>
      </c>
      <c r="I466" s="28" t="s">
        <v>16</v>
      </c>
      <c r="J466" s="29">
        <v>18900</v>
      </c>
      <c r="K466" s="73"/>
      <c r="L466" s="74">
        <v>900</v>
      </c>
      <c r="M466" s="23"/>
      <c r="N466" s="24"/>
      <c r="U466" s="33"/>
    </row>
    <row r="467" spans="1:21" s="13" customFormat="1" ht="16.5" customHeight="1" x14ac:dyDescent="0.45">
      <c r="A467" s="14">
        <v>466</v>
      </c>
      <c r="B467" s="14">
        <v>36</v>
      </c>
      <c r="C467" s="52">
        <v>6</v>
      </c>
      <c r="D467" s="53">
        <v>1</v>
      </c>
      <c r="E467" s="54">
        <v>13</v>
      </c>
      <c r="F467" s="18" t="s">
        <v>393</v>
      </c>
      <c r="G467" s="19" t="s">
        <v>14</v>
      </c>
      <c r="H467" s="20" t="s">
        <v>382</v>
      </c>
      <c r="I467" s="18" t="s">
        <v>60</v>
      </c>
      <c r="J467" s="21">
        <v>25200</v>
      </c>
      <c r="K467" s="76"/>
      <c r="L467" s="77">
        <v>1200</v>
      </c>
      <c r="M467" s="23"/>
      <c r="N467" s="24"/>
      <c r="U467" s="33"/>
    </row>
    <row r="468" spans="1:21" s="13" customFormat="1" ht="16.5" customHeight="1" x14ac:dyDescent="0.45">
      <c r="A468" s="14">
        <v>467</v>
      </c>
      <c r="B468" s="14">
        <v>37</v>
      </c>
      <c r="C468" s="52">
        <v>6</v>
      </c>
      <c r="D468" s="53">
        <v>6</v>
      </c>
      <c r="E468" s="54">
        <v>22</v>
      </c>
      <c r="F468" s="18" t="s">
        <v>394</v>
      </c>
      <c r="G468" s="19" t="s">
        <v>14</v>
      </c>
      <c r="H468" s="20" t="s">
        <v>382</v>
      </c>
      <c r="I468" s="28" t="s">
        <v>16</v>
      </c>
      <c r="J468" s="29">
        <v>18900</v>
      </c>
      <c r="K468" s="73"/>
      <c r="L468" s="74">
        <v>900</v>
      </c>
      <c r="M468" s="23"/>
      <c r="N468" s="24"/>
      <c r="U468" s="33"/>
    </row>
    <row r="469" spans="1:21" s="13" customFormat="1" ht="16.5" customHeight="1" x14ac:dyDescent="0.45">
      <c r="A469" s="14">
        <v>468</v>
      </c>
      <c r="B469" s="14">
        <v>38</v>
      </c>
      <c r="C469" s="52">
        <v>6</v>
      </c>
      <c r="D469" s="53">
        <v>7</v>
      </c>
      <c r="E469" s="54">
        <v>1</v>
      </c>
      <c r="F469" s="18" t="s">
        <v>278</v>
      </c>
      <c r="G469" s="19" t="s">
        <v>14</v>
      </c>
      <c r="H469" s="20" t="s">
        <v>382</v>
      </c>
      <c r="I469" s="18" t="s">
        <v>60</v>
      </c>
      <c r="J469" s="21">
        <v>25200</v>
      </c>
      <c r="K469" s="76"/>
      <c r="L469" s="77">
        <v>1200</v>
      </c>
      <c r="M469" s="23"/>
      <c r="N469" s="24"/>
      <c r="U469" s="33"/>
    </row>
    <row r="470" spans="1:21" s="13" customFormat="1" ht="16.5" customHeight="1" x14ac:dyDescent="0.45">
      <c r="A470" s="14">
        <v>469</v>
      </c>
      <c r="B470" s="14">
        <v>39</v>
      </c>
      <c r="C470" s="52">
        <v>6</v>
      </c>
      <c r="D470" s="53">
        <v>7</v>
      </c>
      <c r="E470" s="54">
        <v>12</v>
      </c>
      <c r="F470" s="18" t="s">
        <v>395</v>
      </c>
      <c r="G470" s="19" t="s">
        <v>14</v>
      </c>
      <c r="H470" s="20" t="s">
        <v>382</v>
      </c>
      <c r="I470" s="28" t="s">
        <v>21</v>
      </c>
      <c r="J470" s="29">
        <v>12600</v>
      </c>
      <c r="K470" s="73"/>
      <c r="L470" s="74">
        <v>600</v>
      </c>
      <c r="M470" s="23"/>
      <c r="N470" s="24"/>
      <c r="U470" s="33"/>
    </row>
    <row r="471" spans="1:21" s="13" customFormat="1" ht="16.5" customHeight="1" x14ac:dyDescent="0.45">
      <c r="A471" s="14">
        <v>470</v>
      </c>
      <c r="B471" s="126">
        <v>1</v>
      </c>
      <c r="C471" s="49">
        <v>1</v>
      </c>
      <c r="D471" s="50">
        <v>1</v>
      </c>
      <c r="E471" s="51">
        <v>1</v>
      </c>
      <c r="F471" s="39" t="s">
        <v>152</v>
      </c>
      <c r="G471" s="40" t="s">
        <v>14</v>
      </c>
      <c r="H471" s="41" t="s">
        <v>396</v>
      </c>
      <c r="I471" s="39" t="s">
        <v>60</v>
      </c>
      <c r="J471" s="43">
        <v>25200</v>
      </c>
      <c r="K471" s="70"/>
      <c r="L471" s="71">
        <v>1200</v>
      </c>
      <c r="M471" s="72">
        <f>SUM(J471:K500)</f>
        <v>718200</v>
      </c>
      <c r="N471" s="24"/>
      <c r="U471" s="33"/>
    </row>
    <row r="472" spans="1:21" s="13" customFormat="1" ht="16.5" customHeight="1" x14ac:dyDescent="0.45">
      <c r="A472" s="14">
        <v>471</v>
      </c>
      <c r="B472" s="127">
        <v>2</v>
      </c>
      <c r="C472" s="52">
        <v>1</v>
      </c>
      <c r="D472" s="53">
        <v>1</v>
      </c>
      <c r="E472" s="54">
        <v>20</v>
      </c>
      <c r="F472" s="18" t="s">
        <v>349</v>
      </c>
      <c r="G472" s="19" t="s">
        <v>14</v>
      </c>
      <c r="H472" s="20" t="s">
        <v>397</v>
      </c>
      <c r="I472" s="28" t="s">
        <v>16</v>
      </c>
      <c r="J472" s="29">
        <v>18900</v>
      </c>
      <c r="K472" s="73"/>
      <c r="L472" s="74">
        <v>900</v>
      </c>
      <c r="M472" s="75"/>
      <c r="N472" s="24"/>
      <c r="U472" s="33"/>
    </row>
    <row r="473" spans="1:21" s="13" customFormat="1" ht="16.5" customHeight="1" x14ac:dyDescent="0.45">
      <c r="A473" s="14">
        <v>472</v>
      </c>
      <c r="B473" s="127">
        <v>3</v>
      </c>
      <c r="C473" s="52">
        <v>1</v>
      </c>
      <c r="D473" s="53">
        <v>9</v>
      </c>
      <c r="E473" s="54">
        <v>18</v>
      </c>
      <c r="F473" s="18" t="s">
        <v>134</v>
      </c>
      <c r="G473" s="19" t="s">
        <v>14</v>
      </c>
      <c r="H473" s="20" t="s">
        <v>396</v>
      </c>
      <c r="I473" s="18" t="s">
        <v>60</v>
      </c>
      <c r="J473" s="21">
        <v>25200</v>
      </c>
      <c r="K473" s="76"/>
      <c r="L473" s="77">
        <v>1200</v>
      </c>
      <c r="M473" s="75"/>
      <c r="N473" s="24"/>
      <c r="O473" s="27">
        <f>SUM(J471:K500)</f>
        <v>718200</v>
      </c>
      <c r="U473" s="33"/>
    </row>
    <row r="474" spans="1:21" s="13" customFormat="1" ht="16.5" customHeight="1" x14ac:dyDescent="0.45">
      <c r="A474" s="14">
        <v>473</v>
      </c>
      <c r="B474" s="127">
        <v>4</v>
      </c>
      <c r="C474" s="52">
        <v>1</v>
      </c>
      <c r="D474" s="53">
        <v>9</v>
      </c>
      <c r="E474" s="54">
        <v>19</v>
      </c>
      <c r="F474" s="18" t="s">
        <v>108</v>
      </c>
      <c r="G474" s="19" t="s">
        <v>14</v>
      </c>
      <c r="H474" s="20" t="s">
        <v>396</v>
      </c>
      <c r="I474" s="18" t="s">
        <v>60</v>
      </c>
      <c r="J474" s="21">
        <v>25200</v>
      </c>
      <c r="K474" s="76"/>
      <c r="L474" s="77">
        <v>1200</v>
      </c>
      <c r="M474" s="75"/>
      <c r="N474" s="24"/>
      <c r="O474" s="27">
        <f>SUM(L471:L500)</f>
        <v>34200</v>
      </c>
      <c r="U474" s="33"/>
    </row>
    <row r="475" spans="1:21" s="13" customFormat="1" ht="16.5" customHeight="1" x14ac:dyDescent="0.45">
      <c r="A475" s="14">
        <v>474</v>
      </c>
      <c r="B475" s="127">
        <v>5</v>
      </c>
      <c r="C475" s="52">
        <v>1</v>
      </c>
      <c r="D475" s="53">
        <v>11</v>
      </c>
      <c r="E475" s="54">
        <v>13</v>
      </c>
      <c r="F475" s="18" t="s">
        <v>43</v>
      </c>
      <c r="G475" s="19" t="s">
        <v>14</v>
      </c>
      <c r="H475" s="20" t="s">
        <v>396</v>
      </c>
      <c r="I475" s="18" t="s">
        <v>60</v>
      </c>
      <c r="J475" s="21">
        <v>25200</v>
      </c>
      <c r="K475" s="76"/>
      <c r="L475" s="77">
        <v>1200</v>
      </c>
      <c r="M475" s="75"/>
      <c r="N475" s="24"/>
      <c r="O475" s="27">
        <f>SUM(O473:O474)</f>
        <v>752400</v>
      </c>
      <c r="U475" s="33"/>
    </row>
    <row r="476" spans="1:21" s="13" customFormat="1" ht="16.5" customHeight="1" x14ac:dyDescent="0.45">
      <c r="A476" s="14">
        <v>475</v>
      </c>
      <c r="B476" s="127">
        <v>6</v>
      </c>
      <c r="C476" s="52">
        <v>1</v>
      </c>
      <c r="D476" s="53">
        <v>12</v>
      </c>
      <c r="E476" s="54">
        <v>5</v>
      </c>
      <c r="F476" s="18" t="s">
        <v>192</v>
      </c>
      <c r="G476" s="19" t="s">
        <v>14</v>
      </c>
      <c r="H476" s="20" t="s">
        <v>396</v>
      </c>
      <c r="I476" s="18" t="s">
        <v>60</v>
      </c>
      <c r="J476" s="21">
        <v>25200</v>
      </c>
      <c r="K476" s="76"/>
      <c r="L476" s="77">
        <v>1200</v>
      </c>
      <c r="M476" s="75"/>
      <c r="N476" s="24"/>
      <c r="U476" s="33"/>
    </row>
    <row r="477" spans="1:21" s="13" customFormat="1" ht="16.5" customHeight="1" x14ac:dyDescent="0.45">
      <c r="A477" s="14">
        <v>476</v>
      </c>
      <c r="B477" s="127">
        <v>7</v>
      </c>
      <c r="C477" s="52">
        <v>2</v>
      </c>
      <c r="D477" s="53">
        <v>1</v>
      </c>
      <c r="E477" s="54">
        <v>21</v>
      </c>
      <c r="F477" s="18" t="s">
        <v>195</v>
      </c>
      <c r="G477" s="19" t="s">
        <v>14</v>
      </c>
      <c r="H477" s="20" t="s">
        <v>396</v>
      </c>
      <c r="I477" s="18" t="s">
        <v>60</v>
      </c>
      <c r="J477" s="21">
        <v>25200</v>
      </c>
      <c r="K477" s="76"/>
      <c r="L477" s="77">
        <v>1200</v>
      </c>
      <c r="M477" s="75"/>
      <c r="N477" s="24"/>
      <c r="U477" s="33"/>
    </row>
    <row r="478" spans="1:21" s="13" customFormat="1" ht="16.5" customHeight="1" x14ac:dyDescent="0.45">
      <c r="A478" s="14">
        <v>477</v>
      </c>
      <c r="B478" s="127">
        <v>8</v>
      </c>
      <c r="C478" s="52">
        <v>2</v>
      </c>
      <c r="D478" s="53">
        <v>2</v>
      </c>
      <c r="E478" s="54">
        <v>24</v>
      </c>
      <c r="F478" s="18" t="s">
        <v>124</v>
      </c>
      <c r="G478" s="19" t="s">
        <v>14</v>
      </c>
      <c r="H478" s="20" t="s">
        <v>396</v>
      </c>
      <c r="I478" s="18" t="s">
        <v>60</v>
      </c>
      <c r="J478" s="21">
        <v>25200</v>
      </c>
      <c r="K478" s="76"/>
      <c r="L478" s="77">
        <v>1200</v>
      </c>
      <c r="M478" s="75"/>
      <c r="N478" s="24"/>
      <c r="U478" s="33"/>
    </row>
    <row r="479" spans="1:21" s="13" customFormat="1" ht="16.5" customHeight="1" x14ac:dyDescent="0.45">
      <c r="A479" s="14">
        <v>478</v>
      </c>
      <c r="B479" s="127">
        <v>9</v>
      </c>
      <c r="C479" s="52">
        <v>2</v>
      </c>
      <c r="D479" s="53">
        <v>5</v>
      </c>
      <c r="E479" s="54">
        <v>14</v>
      </c>
      <c r="F479" s="18" t="s">
        <v>398</v>
      </c>
      <c r="G479" s="19" t="s">
        <v>14</v>
      </c>
      <c r="H479" s="20" t="s">
        <v>396</v>
      </c>
      <c r="I479" s="18" t="s">
        <v>60</v>
      </c>
      <c r="J479" s="21">
        <v>25200</v>
      </c>
      <c r="K479" s="76"/>
      <c r="L479" s="77">
        <v>1200</v>
      </c>
      <c r="M479" s="75"/>
      <c r="N479" s="24"/>
      <c r="O479" s="13">
        <v>25200</v>
      </c>
      <c r="P479" s="13">
        <v>1200</v>
      </c>
      <c r="Q479" s="13">
        <v>26400</v>
      </c>
      <c r="U479" s="33"/>
    </row>
    <row r="480" spans="1:21" s="13" customFormat="1" ht="16.5" customHeight="1" x14ac:dyDescent="0.45">
      <c r="A480" s="14">
        <v>479</v>
      </c>
      <c r="B480" s="127">
        <v>10</v>
      </c>
      <c r="C480" s="52">
        <v>2</v>
      </c>
      <c r="D480" s="53">
        <v>8</v>
      </c>
      <c r="E480" s="54">
        <v>8</v>
      </c>
      <c r="F480" s="18" t="s">
        <v>399</v>
      </c>
      <c r="G480" s="19" t="s">
        <v>14</v>
      </c>
      <c r="H480" s="20" t="s">
        <v>396</v>
      </c>
      <c r="I480" s="28" t="s">
        <v>16</v>
      </c>
      <c r="J480" s="29">
        <v>18900</v>
      </c>
      <c r="K480" s="73"/>
      <c r="L480" s="74">
        <v>900</v>
      </c>
      <c r="M480" s="75"/>
      <c r="N480" s="24"/>
      <c r="O480" s="13">
        <f>O479*30</f>
        <v>756000</v>
      </c>
      <c r="P480" s="13">
        <f t="shared" ref="P480:Q480" si="57">P479*30</f>
        <v>36000</v>
      </c>
      <c r="Q480" s="13">
        <f t="shared" si="57"/>
        <v>792000</v>
      </c>
      <c r="U480" s="33"/>
    </row>
    <row r="481" spans="1:21" s="13" customFormat="1" ht="16.5" customHeight="1" x14ac:dyDescent="0.45">
      <c r="A481" s="14">
        <v>480</v>
      </c>
      <c r="B481" s="127">
        <v>11</v>
      </c>
      <c r="C481" s="52">
        <v>2</v>
      </c>
      <c r="D481" s="53">
        <v>9</v>
      </c>
      <c r="E481" s="54">
        <v>7</v>
      </c>
      <c r="F481" s="18" t="s">
        <v>400</v>
      </c>
      <c r="G481" s="19" t="s">
        <v>14</v>
      </c>
      <c r="H481" s="20" t="s">
        <v>396</v>
      </c>
      <c r="I481" s="18" t="s">
        <v>60</v>
      </c>
      <c r="J481" s="21">
        <v>25200</v>
      </c>
      <c r="K481" s="76"/>
      <c r="L481" s="77">
        <v>1200</v>
      </c>
      <c r="M481" s="75"/>
      <c r="N481" s="24"/>
      <c r="O481" s="13">
        <v>-37800</v>
      </c>
      <c r="P481" s="13">
        <v>-1800</v>
      </c>
      <c r="Q481" s="13">
        <v>-39600</v>
      </c>
      <c r="U481" s="33"/>
    </row>
    <row r="482" spans="1:21" s="13" customFormat="1" ht="16.5" customHeight="1" x14ac:dyDescent="0.45">
      <c r="A482" s="14">
        <v>481</v>
      </c>
      <c r="B482" s="127">
        <v>12</v>
      </c>
      <c r="C482" s="52">
        <v>2</v>
      </c>
      <c r="D482" s="53">
        <v>9</v>
      </c>
      <c r="E482" s="54">
        <v>23</v>
      </c>
      <c r="F482" s="18" t="s">
        <v>136</v>
      </c>
      <c r="G482" s="19" t="s">
        <v>14</v>
      </c>
      <c r="H482" s="20" t="s">
        <v>396</v>
      </c>
      <c r="I482" s="18" t="s">
        <v>60</v>
      </c>
      <c r="J482" s="21">
        <v>25200</v>
      </c>
      <c r="K482" s="76"/>
      <c r="L482" s="77">
        <v>1200</v>
      </c>
      <c r="M482" s="75"/>
      <c r="N482" s="24"/>
      <c r="O482" s="25">
        <f>SUM(O480:O481)</f>
        <v>718200</v>
      </c>
      <c r="P482" s="25">
        <f t="shared" ref="P482:Q482" si="58">SUM(P480:P481)</f>
        <v>34200</v>
      </c>
      <c r="Q482" s="25">
        <f t="shared" si="58"/>
        <v>752400</v>
      </c>
      <c r="U482" s="33"/>
    </row>
    <row r="483" spans="1:21" s="13" customFormat="1" ht="16.5" customHeight="1" x14ac:dyDescent="0.45">
      <c r="A483" s="14">
        <v>482</v>
      </c>
      <c r="B483" s="127">
        <v>13</v>
      </c>
      <c r="C483" s="52">
        <v>2</v>
      </c>
      <c r="D483" s="53">
        <v>10</v>
      </c>
      <c r="E483" s="54">
        <v>24</v>
      </c>
      <c r="F483" s="18" t="s">
        <v>401</v>
      </c>
      <c r="G483" s="19" t="s">
        <v>14</v>
      </c>
      <c r="H483" s="20" t="s">
        <v>396</v>
      </c>
      <c r="I483" s="28" t="s">
        <v>16</v>
      </c>
      <c r="J483" s="29">
        <v>18900</v>
      </c>
      <c r="K483" s="73"/>
      <c r="L483" s="74">
        <v>900</v>
      </c>
      <c r="M483" s="75"/>
      <c r="N483" s="24"/>
      <c r="U483" s="33"/>
    </row>
    <row r="484" spans="1:21" s="13" customFormat="1" ht="16.5" customHeight="1" x14ac:dyDescent="0.45">
      <c r="A484" s="14">
        <v>483</v>
      </c>
      <c r="B484" s="127">
        <v>14</v>
      </c>
      <c r="C484" s="52">
        <v>2</v>
      </c>
      <c r="D484" s="53">
        <v>11</v>
      </c>
      <c r="E484" s="54">
        <v>17</v>
      </c>
      <c r="F484" s="18" t="s">
        <v>361</v>
      </c>
      <c r="G484" s="19" t="s">
        <v>14</v>
      </c>
      <c r="H484" s="20" t="s">
        <v>396</v>
      </c>
      <c r="I484" s="18" t="s">
        <v>60</v>
      </c>
      <c r="J484" s="21">
        <v>25200</v>
      </c>
      <c r="K484" s="76"/>
      <c r="L484" s="77">
        <v>1200</v>
      </c>
      <c r="M484" s="75"/>
      <c r="N484" s="24"/>
      <c r="O484" s="13">
        <v>25200</v>
      </c>
      <c r="P484" s="13">
        <v>1200</v>
      </c>
      <c r="Q484" s="13">
        <v>26400</v>
      </c>
      <c r="U484" s="33"/>
    </row>
    <row r="485" spans="1:21" s="13" customFormat="1" ht="16.5" customHeight="1" x14ac:dyDescent="0.45">
      <c r="A485" s="14">
        <v>484</v>
      </c>
      <c r="B485" s="127">
        <v>15</v>
      </c>
      <c r="C485" s="52">
        <v>3</v>
      </c>
      <c r="D485" s="53">
        <v>1</v>
      </c>
      <c r="E485" s="54">
        <v>14</v>
      </c>
      <c r="F485" s="18" t="s">
        <v>402</v>
      </c>
      <c r="G485" s="19" t="s">
        <v>14</v>
      </c>
      <c r="H485" s="20" t="s">
        <v>396</v>
      </c>
      <c r="I485" s="18" t="s">
        <v>60</v>
      </c>
      <c r="J485" s="21">
        <v>25200</v>
      </c>
      <c r="K485" s="76"/>
      <c r="L485" s="77">
        <v>1200</v>
      </c>
      <c r="M485" s="75"/>
      <c r="N485" s="24"/>
      <c r="O485" s="13">
        <f>O484*29</f>
        <v>730800</v>
      </c>
      <c r="P485" s="13">
        <f t="shared" ref="P485:Q485" si="59">P484*29</f>
        <v>34800</v>
      </c>
      <c r="Q485" s="13">
        <f t="shared" si="59"/>
        <v>765600</v>
      </c>
      <c r="R485" s="13">
        <f t="shared" ref="R485" si="60">R484*30</f>
        <v>0</v>
      </c>
      <c r="U485" s="33"/>
    </row>
    <row r="486" spans="1:21" s="13" customFormat="1" ht="16.5" customHeight="1" x14ac:dyDescent="0.45">
      <c r="A486" s="14">
        <v>485</v>
      </c>
      <c r="B486" s="127">
        <v>16</v>
      </c>
      <c r="C486" s="52">
        <v>3</v>
      </c>
      <c r="D486" s="53">
        <v>3</v>
      </c>
      <c r="E486" s="54">
        <v>5</v>
      </c>
      <c r="F486" s="18" t="s">
        <v>403</v>
      </c>
      <c r="G486" s="19" t="s">
        <v>14</v>
      </c>
      <c r="H486" s="20" t="s">
        <v>396</v>
      </c>
      <c r="I486" s="18" t="s">
        <v>60</v>
      </c>
      <c r="J486" s="21">
        <v>25200</v>
      </c>
      <c r="K486" s="76"/>
      <c r="L486" s="77">
        <v>1200</v>
      </c>
      <c r="M486" s="75"/>
      <c r="N486" s="24"/>
      <c r="U486" s="33"/>
    </row>
    <row r="487" spans="1:21" s="13" customFormat="1" ht="16.5" customHeight="1" x14ac:dyDescent="0.45">
      <c r="A487" s="14">
        <v>486</v>
      </c>
      <c r="B487" s="127">
        <v>17</v>
      </c>
      <c r="C487" s="52">
        <v>3</v>
      </c>
      <c r="D487" s="53">
        <v>3</v>
      </c>
      <c r="E487" s="54">
        <v>10</v>
      </c>
      <c r="F487" s="18" t="s">
        <v>404</v>
      </c>
      <c r="G487" s="19" t="s">
        <v>14</v>
      </c>
      <c r="H487" s="20" t="s">
        <v>396</v>
      </c>
      <c r="I487" s="28" t="s">
        <v>16</v>
      </c>
      <c r="J487" s="29">
        <v>18900</v>
      </c>
      <c r="K487" s="73"/>
      <c r="L487" s="74">
        <v>900</v>
      </c>
      <c r="M487" s="75"/>
      <c r="N487" s="24"/>
      <c r="U487" s="33"/>
    </row>
    <row r="488" spans="1:21" s="13" customFormat="1" ht="16.5" customHeight="1" x14ac:dyDescent="0.45">
      <c r="A488" s="14">
        <v>487</v>
      </c>
      <c r="B488" s="127">
        <v>18</v>
      </c>
      <c r="C488" s="52">
        <v>3</v>
      </c>
      <c r="D488" s="53">
        <v>4</v>
      </c>
      <c r="E488" s="54">
        <v>21</v>
      </c>
      <c r="F488" s="18" t="s">
        <v>319</v>
      </c>
      <c r="G488" s="19" t="s">
        <v>14</v>
      </c>
      <c r="H488" s="20" t="s">
        <v>396</v>
      </c>
      <c r="I488" s="18" t="s">
        <v>60</v>
      </c>
      <c r="J488" s="21">
        <v>25200</v>
      </c>
      <c r="K488" s="76"/>
      <c r="L488" s="77">
        <v>1200</v>
      </c>
      <c r="M488" s="75"/>
      <c r="N488" s="24"/>
      <c r="U488" s="33"/>
    </row>
    <row r="489" spans="1:21" s="13" customFormat="1" ht="16.5" customHeight="1" x14ac:dyDescent="0.45">
      <c r="A489" s="14">
        <v>488</v>
      </c>
      <c r="B489" s="127">
        <v>19</v>
      </c>
      <c r="C489" s="52">
        <v>4</v>
      </c>
      <c r="D489" s="53">
        <v>2</v>
      </c>
      <c r="E489" s="54">
        <v>3</v>
      </c>
      <c r="F489" s="18" t="s">
        <v>262</v>
      </c>
      <c r="G489" s="19" t="s">
        <v>14</v>
      </c>
      <c r="H489" s="20" t="s">
        <v>396</v>
      </c>
      <c r="I489" s="18" t="s">
        <v>60</v>
      </c>
      <c r="J489" s="21">
        <v>25200</v>
      </c>
      <c r="K489" s="76"/>
      <c r="L489" s="77">
        <v>1200</v>
      </c>
      <c r="M489" s="75"/>
      <c r="N489" s="24"/>
      <c r="O489" s="13">
        <v>18900</v>
      </c>
      <c r="P489" s="13">
        <v>900</v>
      </c>
      <c r="Q489" s="13">
        <v>19800</v>
      </c>
      <c r="U489" s="33"/>
    </row>
    <row r="490" spans="1:21" s="13" customFormat="1" ht="16.5" customHeight="1" x14ac:dyDescent="0.45">
      <c r="A490" s="14">
        <v>489</v>
      </c>
      <c r="B490" s="127">
        <v>20</v>
      </c>
      <c r="C490" s="52">
        <v>4</v>
      </c>
      <c r="D490" s="53">
        <v>7</v>
      </c>
      <c r="E490" s="54">
        <v>18</v>
      </c>
      <c r="F490" s="18" t="s">
        <v>142</v>
      </c>
      <c r="G490" s="19" t="s">
        <v>14</v>
      </c>
      <c r="H490" s="20" t="s">
        <v>396</v>
      </c>
      <c r="I490" s="28" t="s">
        <v>16</v>
      </c>
      <c r="J490" s="29">
        <v>18900</v>
      </c>
      <c r="K490" s="73"/>
      <c r="L490" s="74">
        <v>900</v>
      </c>
      <c r="M490" s="75"/>
      <c r="N490" s="24"/>
      <c r="O490" s="13">
        <f>O489*29</f>
        <v>548100</v>
      </c>
      <c r="P490" s="13">
        <f t="shared" ref="P490:Q490" si="61">P489*29</f>
        <v>26100</v>
      </c>
      <c r="Q490" s="13">
        <f t="shared" si="61"/>
        <v>574200</v>
      </c>
      <c r="R490" s="13">
        <f t="shared" ref="R490" si="62">R489*30</f>
        <v>0</v>
      </c>
      <c r="U490" s="33"/>
    </row>
    <row r="491" spans="1:21" s="13" customFormat="1" ht="16.5" customHeight="1" x14ac:dyDescent="0.45">
      <c r="A491" s="14">
        <v>490</v>
      </c>
      <c r="B491" s="127">
        <v>21</v>
      </c>
      <c r="C491" s="52">
        <v>1</v>
      </c>
      <c r="D491" s="53">
        <v>1</v>
      </c>
      <c r="E491" s="54">
        <v>7</v>
      </c>
      <c r="F491" s="18" t="s">
        <v>198</v>
      </c>
      <c r="G491" s="19" t="s">
        <v>14</v>
      </c>
      <c r="H491" s="20" t="s">
        <v>405</v>
      </c>
      <c r="I491" s="18" t="s">
        <v>60</v>
      </c>
      <c r="J491" s="21">
        <v>25200</v>
      </c>
      <c r="K491" s="76"/>
      <c r="L491" s="77">
        <v>1200</v>
      </c>
      <c r="M491" s="75"/>
      <c r="N491" s="24"/>
      <c r="U491" s="33"/>
    </row>
    <row r="492" spans="1:21" s="13" customFormat="1" ht="16.5" customHeight="1" x14ac:dyDescent="0.45">
      <c r="A492" s="14">
        <v>491</v>
      </c>
      <c r="B492" s="127">
        <v>22</v>
      </c>
      <c r="C492" s="52">
        <v>1</v>
      </c>
      <c r="D492" s="53">
        <v>1</v>
      </c>
      <c r="E492" s="54">
        <v>10</v>
      </c>
      <c r="F492" s="18" t="s">
        <v>144</v>
      </c>
      <c r="G492" s="19" t="s">
        <v>14</v>
      </c>
      <c r="H492" s="20" t="s">
        <v>405</v>
      </c>
      <c r="I492" s="18" t="s">
        <v>60</v>
      </c>
      <c r="J492" s="21">
        <v>25200</v>
      </c>
      <c r="K492" s="76"/>
      <c r="L492" s="77">
        <v>1200</v>
      </c>
      <c r="M492" s="75"/>
      <c r="N492" s="24"/>
      <c r="U492" s="33"/>
    </row>
    <row r="493" spans="1:21" s="13" customFormat="1" ht="16.5" customHeight="1" x14ac:dyDescent="0.45">
      <c r="A493" s="14">
        <v>492</v>
      </c>
      <c r="B493" s="127">
        <v>23</v>
      </c>
      <c r="C493" s="52">
        <v>1</v>
      </c>
      <c r="D493" s="53">
        <v>4</v>
      </c>
      <c r="E493" s="54">
        <v>8</v>
      </c>
      <c r="F493" s="18" t="s">
        <v>406</v>
      </c>
      <c r="G493" s="19" t="s">
        <v>14</v>
      </c>
      <c r="H493" s="20" t="s">
        <v>405</v>
      </c>
      <c r="I493" s="18" t="s">
        <v>60</v>
      </c>
      <c r="J493" s="21">
        <v>25200</v>
      </c>
      <c r="K493" s="76"/>
      <c r="L493" s="77">
        <v>1200</v>
      </c>
      <c r="M493" s="75"/>
      <c r="N493" s="24"/>
      <c r="U493" s="33"/>
    </row>
    <row r="494" spans="1:21" s="13" customFormat="1" ht="16.5" customHeight="1" x14ac:dyDescent="0.45">
      <c r="A494" s="14">
        <v>493</v>
      </c>
      <c r="B494" s="127">
        <v>24</v>
      </c>
      <c r="C494" s="52">
        <v>1</v>
      </c>
      <c r="D494" s="53">
        <v>7</v>
      </c>
      <c r="E494" s="54">
        <v>1</v>
      </c>
      <c r="F494" s="18" t="s">
        <v>407</v>
      </c>
      <c r="G494" s="19" t="s">
        <v>14</v>
      </c>
      <c r="H494" s="20" t="s">
        <v>405</v>
      </c>
      <c r="I494" s="18" t="s">
        <v>60</v>
      </c>
      <c r="J494" s="21">
        <v>25200</v>
      </c>
      <c r="K494" s="76"/>
      <c r="L494" s="77">
        <v>1200</v>
      </c>
      <c r="M494" s="75"/>
      <c r="N494" s="24"/>
      <c r="S494" s="34">
        <f>SUM(O482,O485,O490)</f>
        <v>1997100</v>
      </c>
      <c r="T494" s="34">
        <f>SUM(P482,P485,P490)</f>
        <v>95100</v>
      </c>
      <c r="U494" s="34">
        <f>SUM(Q482,Q485,Q490)</f>
        <v>2092200</v>
      </c>
    </row>
    <row r="495" spans="1:21" s="13" customFormat="1" ht="16.5" customHeight="1" x14ac:dyDescent="0.45">
      <c r="A495" s="14">
        <v>494</v>
      </c>
      <c r="B495" s="127">
        <v>25</v>
      </c>
      <c r="C495" s="52">
        <v>1</v>
      </c>
      <c r="D495" s="53">
        <v>9</v>
      </c>
      <c r="E495" s="54">
        <v>8</v>
      </c>
      <c r="F495" s="18" t="s">
        <v>408</v>
      </c>
      <c r="G495" s="19" t="s">
        <v>14</v>
      </c>
      <c r="H495" s="20" t="s">
        <v>405</v>
      </c>
      <c r="I495" s="28" t="s">
        <v>16</v>
      </c>
      <c r="J495" s="29">
        <v>18900</v>
      </c>
      <c r="K495" s="73"/>
      <c r="L495" s="74">
        <v>900</v>
      </c>
      <c r="M495" s="75"/>
      <c r="N495" s="24"/>
      <c r="U495" s="33"/>
    </row>
    <row r="496" spans="1:21" s="13" customFormat="1" ht="16.5" customHeight="1" x14ac:dyDescent="0.45">
      <c r="A496" s="14">
        <v>495</v>
      </c>
      <c r="B496" s="127">
        <v>26</v>
      </c>
      <c r="C496" s="52">
        <v>1</v>
      </c>
      <c r="D496" s="53">
        <v>11</v>
      </c>
      <c r="E496" s="54">
        <v>14</v>
      </c>
      <c r="F496" s="89" t="s">
        <v>114</v>
      </c>
      <c r="G496" s="57" t="s">
        <v>14</v>
      </c>
      <c r="H496" s="58" t="s">
        <v>405</v>
      </c>
      <c r="I496" s="18" t="s">
        <v>60</v>
      </c>
      <c r="J496" s="21">
        <v>25200</v>
      </c>
      <c r="K496" s="76"/>
      <c r="L496" s="77">
        <v>1200</v>
      </c>
      <c r="M496" s="75"/>
      <c r="N496" s="24"/>
      <c r="U496" s="33"/>
    </row>
    <row r="497" spans="1:21" s="13" customFormat="1" ht="16.5" customHeight="1" x14ac:dyDescent="0.45">
      <c r="A497" s="14">
        <v>496</v>
      </c>
      <c r="B497" s="127">
        <v>27</v>
      </c>
      <c r="C497" s="52">
        <v>1</v>
      </c>
      <c r="D497" s="53">
        <v>12</v>
      </c>
      <c r="E497" s="54">
        <v>17</v>
      </c>
      <c r="F497" s="89" t="s">
        <v>409</v>
      </c>
      <c r="G497" s="57" t="s">
        <v>14</v>
      </c>
      <c r="H497" s="58" t="s">
        <v>405</v>
      </c>
      <c r="I497" s="18" t="s">
        <v>60</v>
      </c>
      <c r="J497" s="21">
        <v>25200</v>
      </c>
      <c r="K497" s="76"/>
      <c r="L497" s="77">
        <v>1200</v>
      </c>
      <c r="M497" s="75"/>
      <c r="N497" s="24"/>
      <c r="U497" s="33"/>
    </row>
    <row r="498" spans="1:21" s="13" customFormat="1" ht="16.5" customHeight="1" x14ac:dyDescent="0.45">
      <c r="A498" s="14">
        <v>497</v>
      </c>
      <c r="B498" s="127">
        <v>28</v>
      </c>
      <c r="C498" s="52">
        <v>2</v>
      </c>
      <c r="D498" s="53">
        <v>3</v>
      </c>
      <c r="E498" s="54">
        <v>14</v>
      </c>
      <c r="F498" s="89" t="s">
        <v>410</v>
      </c>
      <c r="G498" s="57" t="s">
        <v>14</v>
      </c>
      <c r="H498" s="58" t="s">
        <v>405</v>
      </c>
      <c r="I498" s="18" t="s">
        <v>60</v>
      </c>
      <c r="J498" s="21">
        <v>25200</v>
      </c>
      <c r="K498" s="76"/>
      <c r="L498" s="77">
        <v>1200</v>
      </c>
      <c r="M498" s="75"/>
      <c r="N498" s="24"/>
      <c r="U498" s="33"/>
    </row>
    <row r="499" spans="1:21" s="13" customFormat="1" ht="16.5" customHeight="1" x14ac:dyDescent="0.45">
      <c r="A499" s="14">
        <v>498</v>
      </c>
      <c r="B499" s="127">
        <v>29</v>
      </c>
      <c r="C499" s="52">
        <v>3</v>
      </c>
      <c r="D499" s="53">
        <v>1</v>
      </c>
      <c r="E499" s="54">
        <v>12</v>
      </c>
      <c r="F499" s="89" t="s">
        <v>411</v>
      </c>
      <c r="G499" s="57" t="s">
        <v>14</v>
      </c>
      <c r="H499" s="58" t="s">
        <v>405</v>
      </c>
      <c r="I499" s="18" t="s">
        <v>60</v>
      </c>
      <c r="J499" s="21">
        <v>25200</v>
      </c>
      <c r="K499" s="76"/>
      <c r="L499" s="77">
        <v>1200</v>
      </c>
      <c r="M499" s="75"/>
      <c r="N499" s="24"/>
      <c r="U499" s="33"/>
    </row>
    <row r="500" spans="1:21" s="13" customFormat="1" ht="16.5" customHeight="1" x14ac:dyDescent="0.45">
      <c r="A500" s="14">
        <v>499</v>
      </c>
      <c r="B500" s="127">
        <v>30</v>
      </c>
      <c r="C500" s="52">
        <v>4</v>
      </c>
      <c r="D500" s="53">
        <v>1</v>
      </c>
      <c r="E500" s="54">
        <v>4</v>
      </c>
      <c r="F500" s="89" t="s">
        <v>412</v>
      </c>
      <c r="G500" s="57" t="s">
        <v>14</v>
      </c>
      <c r="H500" s="58" t="s">
        <v>405</v>
      </c>
      <c r="I500" s="18" t="s">
        <v>60</v>
      </c>
      <c r="J500" s="21">
        <v>25200</v>
      </c>
      <c r="K500" s="76"/>
      <c r="L500" s="77">
        <v>1200</v>
      </c>
      <c r="M500" s="75"/>
      <c r="N500" s="24"/>
      <c r="U500" s="33"/>
    </row>
    <row r="501" spans="1:21" s="13" customFormat="1" ht="16.5" customHeight="1" x14ac:dyDescent="0.45">
      <c r="A501" s="14">
        <v>500</v>
      </c>
      <c r="B501" s="126">
        <v>1</v>
      </c>
      <c r="C501" s="49">
        <v>1</v>
      </c>
      <c r="D501" s="50">
        <v>3</v>
      </c>
      <c r="E501" s="51">
        <v>15</v>
      </c>
      <c r="F501" s="87" t="s">
        <v>155</v>
      </c>
      <c r="G501" s="55" t="s">
        <v>14</v>
      </c>
      <c r="H501" s="56" t="s">
        <v>413</v>
      </c>
      <c r="I501" s="39" t="s">
        <v>60</v>
      </c>
      <c r="J501" s="43">
        <v>25200</v>
      </c>
      <c r="K501" s="88"/>
      <c r="L501" s="44">
        <v>1200</v>
      </c>
      <c r="M501" s="128">
        <f>SUM(J501:K534)</f>
        <v>819000</v>
      </c>
      <c r="N501" s="24"/>
      <c r="U501" s="33"/>
    </row>
    <row r="502" spans="1:21" s="13" customFormat="1" ht="16.5" customHeight="1" x14ac:dyDescent="0.45">
      <c r="A502" s="14">
        <v>501</v>
      </c>
      <c r="B502" s="127">
        <v>2</v>
      </c>
      <c r="C502" s="52">
        <v>1</v>
      </c>
      <c r="D502" s="53">
        <v>4</v>
      </c>
      <c r="E502" s="54">
        <v>13</v>
      </c>
      <c r="F502" s="89" t="s">
        <v>156</v>
      </c>
      <c r="G502" s="57" t="s">
        <v>14</v>
      </c>
      <c r="H502" s="58" t="s">
        <v>413</v>
      </c>
      <c r="I502" s="18" t="s">
        <v>60</v>
      </c>
      <c r="J502" s="21">
        <v>25200</v>
      </c>
      <c r="K502" s="91"/>
      <c r="L502" s="22">
        <v>1200</v>
      </c>
      <c r="M502" s="129"/>
      <c r="N502" s="24"/>
      <c r="U502" s="33"/>
    </row>
    <row r="503" spans="1:21" s="13" customFormat="1" ht="16.5" customHeight="1" x14ac:dyDescent="0.45">
      <c r="A503" s="14">
        <v>502</v>
      </c>
      <c r="B503" s="127">
        <v>3</v>
      </c>
      <c r="C503" s="52">
        <v>1</v>
      </c>
      <c r="D503" s="53">
        <v>4</v>
      </c>
      <c r="E503" s="54">
        <v>21</v>
      </c>
      <c r="F503" s="18" t="s">
        <v>414</v>
      </c>
      <c r="G503" s="19" t="s">
        <v>14</v>
      </c>
      <c r="H503" s="20" t="s">
        <v>413</v>
      </c>
      <c r="I503" s="28" t="s">
        <v>16</v>
      </c>
      <c r="J503" s="29">
        <v>18900</v>
      </c>
      <c r="K503" s="90"/>
      <c r="L503" s="30">
        <v>900</v>
      </c>
      <c r="M503" s="129"/>
      <c r="N503" s="24"/>
      <c r="O503" s="27">
        <f>SUM(J501:K534)</f>
        <v>819000</v>
      </c>
      <c r="U503" s="33"/>
    </row>
    <row r="504" spans="1:21" s="13" customFormat="1" ht="16.5" customHeight="1" x14ac:dyDescent="0.45">
      <c r="A504" s="14">
        <v>503</v>
      </c>
      <c r="B504" s="127">
        <v>4</v>
      </c>
      <c r="C504" s="52">
        <v>1</v>
      </c>
      <c r="D504" s="53">
        <v>5</v>
      </c>
      <c r="E504" s="54">
        <v>5</v>
      </c>
      <c r="F504" s="18" t="s">
        <v>62</v>
      </c>
      <c r="G504" s="19" t="s">
        <v>14</v>
      </c>
      <c r="H504" s="20" t="s">
        <v>413</v>
      </c>
      <c r="I504" s="18" t="s">
        <v>60</v>
      </c>
      <c r="J504" s="21">
        <v>25200</v>
      </c>
      <c r="K504" s="91"/>
      <c r="L504" s="22">
        <v>1200</v>
      </c>
      <c r="M504" s="129"/>
      <c r="N504" s="24"/>
      <c r="O504" s="27">
        <f>SUM(L501:L534)</f>
        <v>39000</v>
      </c>
      <c r="U504" s="33"/>
    </row>
    <row r="505" spans="1:21" s="13" customFormat="1" ht="16.5" customHeight="1" x14ac:dyDescent="0.45">
      <c r="A505" s="14">
        <v>504</v>
      </c>
      <c r="B505" s="127">
        <v>5</v>
      </c>
      <c r="C505" s="52">
        <v>1</v>
      </c>
      <c r="D505" s="53">
        <v>5</v>
      </c>
      <c r="E505" s="54">
        <v>17</v>
      </c>
      <c r="F505" s="18" t="s">
        <v>186</v>
      </c>
      <c r="G505" s="19" t="s">
        <v>14</v>
      </c>
      <c r="H505" s="20" t="s">
        <v>413</v>
      </c>
      <c r="I505" s="18" t="s">
        <v>60</v>
      </c>
      <c r="J505" s="21">
        <v>25200</v>
      </c>
      <c r="K505" s="91"/>
      <c r="L505" s="22">
        <v>1200</v>
      </c>
      <c r="M505" s="129"/>
      <c r="N505" s="24"/>
      <c r="O505" s="27">
        <f>SUM(O503:O504)</f>
        <v>858000</v>
      </c>
      <c r="U505" s="33"/>
    </row>
    <row r="506" spans="1:21" s="13" customFormat="1" ht="16.5" customHeight="1" x14ac:dyDescent="0.45">
      <c r="A506" s="14">
        <v>505</v>
      </c>
      <c r="B506" s="127">
        <v>6</v>
      </c>
      <c r="C506" s="52">
        <v>1</v>
      </c>
      <c r="D506" s="53">
        <v>5</v>
      </c>
      <c r="E506" s="54">
        <v>18</v>
      </c>
      <c r="F506" s="18" t="s">
        <v>216</v>
      </c>
      <c r="G506" s="19" t="s">
        <v>14</v>
      </c>
      <c r="H506" s="20" t="s">
        <v>413</v>
      </c>
      <c r="I506" s="18" t="s">
        <v>60</v>
      </c>
      <c r="J506" s="21">
        <v>25200</v>
      </c>
      <c r="K506" s="91"/>
      <c r="L506" s="22">
        <v>1200</v>
      </c>
      <c r="M506" s="129"/>
      <c r="N506" s="24"/>
      <c r="U506" s="33"/>
    </row>
    <row r="507" spans="1:21" s="13" customFormat="1" ht="16.5" customHeight="1" x14ac:dyDescent="0.45">
      <c r="A507" s="14">
        <v>506</v>
      </c>
      <c r="B507" s="127">
        <v>7</v>
      </c>
      <c r="C507" s="52">
        <v>1</v>
      </c>
      <c r="D507" s="53">
        <v>7</v>
      </c>
      <c r="E507" s="54">
        <v>4</v>
      </c>
      <c r="F507" s="18" t="s">
        <v>188</v>
      </c>
      <c r="G507" s="19" t="s">
        <v>14</v>
      </c>
      <c r="H507" s="20" t="s">
        <v>413</v>
      </c>
      <c r="I507" s="18" t="s">
        <v>60</v>
      </c>
      <c r="J507" s="21">
        <v>25200</v>
      </c>
      <c r="K507" s="91"/>
      <c r="L507" s="22">
        <v>1200</v>
      </c>
      <c r="M507" s="129"/>
      <c r="N507" s="24"/>
      <c r="U507" s="33"/>
    </row>
    <row r="508" spans="1:21" s="13" customFormat="1" ht="16.5" customHeight="1" x14ac:dyDescent="0.45">
      <c r="A508" s="14">
        <v>507</v>
      </c>
      <c r="B508" s="127">
        <v>8</v>
      </c>
      <c r="C508" s="52">
        <v>1</v>
      </c>
      <c r="D508" s="53">
        <v>7</v>
      </c>
      <c r="E508" s="54">
        <v>5</v>
      </c>
      <c r="F508" s="18" t="s">
        <v>64</v>
      </c>
      <c r="G508" s="19" t="s">
        <v>14</v>
      </c>
      <c r="H508" s="20" t="s">
        <v>413</v>
      </c>
      <c r="I508" s="18" t="s">
        <v>60</v>
      </c>
      <c r="J508" s="21">
        <v>25200</v>
      </c>
      <c r="K508" s="91"/>
      <c r="L508" s="22">
        <v>1200</v>
      </c>
      <c r="M508" s="129"/>
      <c r="N508" s="24"/>
      <c r="U508" s="33"/>
    </row>
    <row r="509" spans="1:21" s="13" customFormat="1" ht="16.5" customHeight="1" x14ac:dyDescent="0.45">
      <c r="A509" s="14">
        <v>508</v>
      </c>
      <c r="B509" s="127">
        <v>9</v>
      </c>
      <c r="C509" s="52">
        <v>1</v>
      </c>
      <c r="D509" s="53">
        <v>7</v>
      </c>
      <c r="E509" s="54">
        <v>11</v>
      </c>
      <c r="F509" s="18" t="s">
        <v>39</v>
      </c>
      <c r="G509" s="19" t="s">
        <v>14</v>
      </c>
      <c r="H509" s="20" t="s">
        <v>415</v>
      </c>
      <c r="I509" s="28" t="s">
        <v>16</v>
      </c>
      <c r="J509" s="29">
        <v>18900</v>
      </c>
      <c r="K509" s="90"/>
      <c r="L509" s="30">
        <v>900</v>
      </c>
      <c r="M509" s="129"/>
      <c r="N509" s="24"/>
      <c r="O509" s="13">
        <v>25200</v>
      </c>
      <c r="P509" s="13">
        <v>1200</v>
      </c>
      <c r="Q509" s="13">
        <v>26400</v>
      </c>
      <c r="U509" s="33"/>
    </row>
    <row r="510" spans="1:21" s="130" customFormat="1" ht="16.5" customHeight="1" x14ac:dyDescent="0.45">
      <c r="A510" s="14">
        <v>509</v>
      </c>
      <c r="B510" s="127">
        <v>10</v>
      </c>
      <c r="C510" s="52">
        <v>1</v>
      </c>
      <c r="D510" s="53">
        <v>8</v>
      </c>
      <c r="E510" s="54">
        <v>10</v>
      </c>
      <c r="F510" s="18" t="s">
        <v>82</v>
      </c>
      <c r="G510" s="19" t="s">
        <v>14</v>
      </c>
      <c r="H510" s="20" t="s">
        <v>413</v>
      </c>
      <c r="I510" s="18" t="s">
        <v>60</v>
      </c>
      <c r="J510" s="21">
        <v>25200</v>
      </c>
      <c r="K510" s="91"/>
      <c r="L510" s="22">
        <v>1200</v>
      </c>
      <c r="M510" s="129"/>
      <c r="N510" s="24"/>
      <c r="O510" s="13">
        <f>O509*34</f>
        <v>856800</v>
      </c>
      <c r="P510" s="13">
        <f t="shared" ref="P510:Q510" si="63">P509*34</f>
        <v>40800</v>
      </c>
      <c r="Q510" s="13">
        <f t="shared" si="63"/>
        <v>897600</v>
      </c>
      <c r="R510" s="13">
        <f t="shared" ref="R510" si="64">SUM(R508:R509)</f>
        <v>0</v>
      </c>
    </row>
    <row r="511" spans="1:21" s="130" customFormat="1" ht="16.5" customHeight="1" x14ac:dyDescent="0.45">
      <c r="A511" s="14">
        <v>510</v>
      </c>
      <c r="B511" s="127">
        <v>11</v>
      </c>
      <c r="C511" s="52">
        <v>1</v>
      </c>
      <c r="D511" s="53">
        <v>8</v>
      </c>
      <c r="E511" s="54">
        <v>12</v>
      </c>
      <c r="F511" s="18" t="s">
        <v>65</v>
      </c>
      <c r="G511" s="19" t="s">
        <v>14</v>
      </c>
      <c r="H511" s="20" t="s">
        <v>413</v>
      </c>
      <c r="I511" s="18" t="s">
        <v>60</v>
      </c>
      <c r="J511" s="21">
        <v>25200</v>
      </c>
      <c r="K511" s="91"/>
      <c r="L511" s="22">
        <v>1200</v>
      </c>
      <c r="M511" s="129"/>
      <c r="N511" s="24"/>
      <c r="O511" s="13">
        <v>-37800</v>
      </c>
      <c r="P511" s="13">
        <v>-1800</v>
      </c>
      <c r="Q511" s="13">
        <v>-39600</v>
      </c>
    </row>
    <row r="512" spans="1:21" s="130" customFormat="1" ht="16.5" customHeight="1" x14ac:dyDescent="0.45">
      <c r="A512" s="14">
        <v>511</v>
      </c>
      <c r="B512" s="127">
        <v>12</v>
      </c>
      <c r="C512" s="52">
        <v>1</v>
      </c>
      <c r="D512" s="53">
        <v>9</v>
      </c>
      <c r="E512" s="54">
        <v>9</v>
      </c>
      <c r="F512" s="18" t="s">
        <v>132</v>
      </c>
      <c r="G512" s="19" t="s">
        <v>14</v>
      </c>
      <c r="H512" s="20" t="s">
        <v>413</v>
      </c>
      <c r="I512" s="18" t="s">
        <v>60</v>
      </c>
      <c r="J512" s="21">
        <v>25200</v>
      </c>
      <c r="K512" s="91"/>
      <c r="L512" s="22">
        <v>1200</v>
      </c>
      <c r="M512" s="129"/>
      <c r="N512" s="24"/>
      <c r="O512" s="13">
        <f>SUM(O510:O511)</f>
        <v>819000</v>
      </c>
      <c r="P512" s="13">
        <f>SUM(P510:P511)</f>
        <v>39000</v>
      </c>
      <c r="Q512" s="13">
        <f>SUM(Q510:Q511)</f>
        <v>858000</v>
      </c>
    </row>
    <row r="513" spans="1:21" s="130" customFormat="1" ht="16.5" customHeight="1" x14ac:dyDescent="0.45">
      <c r="A513" s="14">
        <v>512</v>
      </c>
      <c r="B513" s="127">
        <v>13</v>
      </c>
      <c r="C513" s="52">
        <v>1</v>
      </c>
      <c r="D513" s="53">
        <v>11</v>
      </c>
      <c r="E513" s="54">
        <v>5</v>
      </c>
      <c r="F513" s="18" t="s">
        <v>112</v>
      </c>
      <c r="G513" s="19" t="s">
        <v>14</v>
      </c>
      <c r="H513" s="20" t="s">
        <v>413</v>
      </c>
      <c r="I513" s="28" t="s">
        <v>16</v>
      </c>
      <c r="J513" s="29">
        <v>18900</v>
      </c>
      <c r="K513" s="90"/>
      <c r="L513" s="30">
        <v>900</v>
      </c>
      <c r="M513" s="129"/>
      <c r="N513" s="24"/>
      <c r="O513" s="13"/>
      <c r="P513" s="13"/>
      <c r="Q513" s="13"/>
      <c r="R513" s="13">
        <f t="shared" ref="R513" si="65">R512*33</f>
        <v>0</v>
      </c>
    </row>
    <row r="514" spans="1:21" s="130" customFormat="1" ht="16.5" customHeight="1" x14ac:dyDescent="0.45">
      <c r="A514" s="14">
        <v>513</v>
      </c>
      <c r="B514" s="127">
        <v>14</v>
      </c>
      <c r="C514" s="52">
        <v>1</v>
      </c>
      <c r="D514" s="53">
        <v>11</v>
      </c>
      <c r="E514" s="54">
        <v>11</v>
      </c>
      <c r="F514" s="18" t="s">
        <v>146</v>
      </c>
      <c r="G514" s="19" t="s">
        <v>14</v>
      </c>
      <c r="H514" s="20" t="s">
        <v>413</v>
      </c>
      <c r="I514" s="18" t="s">
        <v>60</v>
      </c>
      <c r="J514" s="21">
        <v>25200</v>
      </c>
      <c r="K514" s="91"/>
      <c r="L514" s="22">
        <v>1200</v>
      </c>
      <c r="M514" s="129"/>
      <c r="N514" s="24"/>
      <c r="O514" s="13">
        <v>25200</v>
      </c>
      <c r="P514" s="13">
        <v>1200</v>
      </c>
      <c r="Q514" s="13">
        <v>26400</v>
      </c>
    </row>
    <row r="515" spans="1:21" s="130" customFormat="1" ht="16.5" customHeight="1" x14ac:dyDescent="0.45">
      <c r="A515" s="14">
        <v>514</v>
      </c>
      <c r="B515" s="127">
        <v>15</v>
      </c>
      <c r="C515" s="92">
        <v>2</v>
      </c>
      <c r="D515" s="93">
        <v>4</v>
      </c>
      <c r="E515" s="94">
        <v>17</v>
      </c>
      <c r="F515" s="81" t="s">
        <v>285</v>
      </c>
      <c r="G515" s="82" t="s">
        <v>174</v>
      </c>
      <c r="H515" s="83" t="s">
        <v>413</v>
      </c>
      <c r="I515" s="18" t="s">
        <v>60</v>
      </c>
      <c r="K515" s="131">
        <v>25200</v>
      </c>
      <c r="L515" s="30">
        <v>1200</v>
      </c>
      <c r="M515" s="129"/>
      <c r="N515" s="24" t="s">
        <v>416</v>
      </c>
      <c r="O515" s="13">
        <f>O514*33</f>
        <v>831600</v>
      </c>
      <c r="P515" s="13">
        <f>P514*33</f>
        <v>39600</v>
      </c>
      <c r="Q515" s="13">
        <f>Q514*33</f>
        <v>871200</v>
      </c>
    </row>
    <row r="516" spans="1:21" s="130" customFormat="1" ht="16.5" customHeight="1" x14ac:dyDescent="0.45">
      <c r="A516" s="14">
        <v>515</v>
      </c>
      <c r="B516" s="127">
        <v>16</v>
      </c>
      <c r="C516" s="52">
        <v>2</v>
      </c>
      <c r="D516" s="53">
        <v>4</v>
      </c>
      <c r="E516" s="54">
        <v>21</v>
      </c>
      <c r="F516" s="18" t="s">
        <v>196</v>
      </c>
      <c r="G516" s="19" t="s">
        <v>14</v>
      </c>
      <c r="H516" s="20" t="s">
        <v>413</v>
      </c>
      <c r="I516" s="18" t="s">
        <v>60</v>
      </c>
      <c r="J516" s="21">
        <v>25200</v>
      </c>
      <c r="K516" s="91"/>
      <c r="L516" s="22">
        <v>1200</v>
      </c>
      <c r="M516" s="129"/>
      <c r="N516" s="24"/>
      <c r="O516" s="13"/>
      <c r="P516" s="13"/>
      <c r="Q516" s="13"/>
    </row>
    <row r="517" spans="1:21" s="130" customFormat="1" ht="16.5" customHeight="1" x14ac:dyDescent="0.45">
      <c r="A517" s="14">
        <v>516</v>
      </c>
      <c r="B517" s="127">
        <v>17</v>
      </c>
      <c r="C517" s="52">
        <v>2</v>
      </c>
      <c r="D517" s="53">
        <v>6</v>
      </c>
      <c r="E517" s="54">
        <v>18</v>
      </c>
      <c r="F517" s="18" t="s">
        <v>164</v>
      </c>
      <c r="G517" s="19" t="s">
        <v>14</v>
      </c>
      <c r="H517" s="20" t="s">
        <v>413</v>
      </c>
      <c r="I517" s="18" t="s">
        <v>60</v>
      </c>
      <c r="J517" s="21">
        <v>25200</v>
      </c>
      <c r="K517" s="91"/>
      <c r="L517" s="22">
        <v>1200</v>
      </c>
      <c r="M517" s="129"/>
      <c r="N517" s="24"/>
      <c r="O517" s="13"/>
      <c r="P517" s="13"/>
      <c r="Q517" s="13"/>
    </row>
    <row r="518" spans="1:21" s="130" customFormat="1" ht="16.5" customHeight="1" x14ac:dyDescent="0.45">
      <c r="A518" s="14">
        <v>517</v>
      </c>
      <c r="B518" s="127">
        <v>18</v>
      </c>
      <c r="C518" s="52">
        <v>2</v>
      </c>
      <c r="D518" s="53">
        <v>7</v>
      </c>
      <c r="E518" s="54">
        <v>14</v>
      </c>
      <c r="F518" s="18" t="s">
        <v>417</v>
      </c>
      <c r="G518" s="19" t="s">
        <v>14</v>
      </c>
      <c r="H518" s="20" t="s">
        <v>413</v>
      </c>
      <c r="I518" s="18" t="s">
        <v>60</v>
      </c>
      <c r="J518" s="21">
        <v>25200</v>
      </c>
      <c r="K518" s="91"/>
      <c r="L518" s="22">
        <v>1200</v>
      </c>
      <c r="M518" s="129"/>
      <c r="N518" s="24"/>
      <c r="O518" s="13"/>
      <c r="P518" s="13"/>
      <c r="Q518" s="13"/>
      <c r="R518" s="13">
        <f t="shared" ref="R518" si="66">R517*33</f>
        <v>0</v>
      </c>
    </row>
    <row r="519" spans="1:21" s="130" customFormat="1" ht="16.5" customHeight="1" x14ac:dyDescent="0.45">
      <c r="A519" s="14">
        <v>518</v>
      </c>
      <c r="B519" s="127">
        <v>19</v>
      </c>
      <c r="C519" s="52">
        <v>2</v>
      </c>
      <c r="D519" s="53">
        <v>9</v>
      </c>
      <c r="E519" s="54">
        <v>6</v>
      </c>
      <c r="F519" s="18" t="s">
        <v>418</v>
      </c>
      <c r="G519" s="19" t="s">
        <v>14</v>
      </c>
      <c r="H519" s="20" t="s">
        <v>413</v>
      </c>
      <c r="I519" s="18" t="s">
        <v>60</v>
      </c>
      <c r="J519" s="21">
        <v>25200</v>
      </c>
      <c r="K519" s="91"/>
      <c r="L519" s="22">
        <v>1200</v>
      </c>
      <c r="M519" s="129"/>
      <c r="N519" s="24"/>
      <c r="O519" s="13">
        <v>18900</v>
      </c>
      <c r="P519" s="13">
        <v>900</v>
      </c>
      <c r="Q519" s="13">
        <v>19800</v>
      </c>
    </row>
    <row r="520" spans="1:21" s="130" customFormat="1" ht="16.5" customHeight="1" x14ac:dyDescent="0.45">
      <c r="A520" s="14">
        <v>519</v>
      </c>
      <c r="B520" s="127">
        <v>20</v>
      </c>
      <c r="C520" s="52">
        <v>2</v>
      </c>
      <c r="D520" s="53">
        <v>11</v>
      </c>
      <c r="E520" s="54">
        <v>16</v>
      </c>
      <c r="F520" s="18" t="s">
        <v>111</v>
      </c>
      <c r="G520" s="19" t="s">
        <v>14</v>
      </c>
      <c r="H520" s="20" t="s">
        <v>413</v>
      </c>
      <c r="I520" s="28" t="s">
        <v>16</v>
      </c>
      <c r="J520" s="29">
        <v>18900</v>
      </c>
      <c r="K520" s="90"/>
      <c r="L520" s="30">
        <v>900</v>
      </c>
      <c r="M520" s="129"/>
      <c r="N520" s="24"/>
      <c r="O520" s="13">
        <f>O519*33</f>
        <v>623700</v>
      </c>
      <c r="P520" s="13">
        <f t="shared" ref="P520:Q520" si="67">P519*33</f>
        <v>29700</v>
      </c>
      <c r="Q520" s="13">
        <f t="shared" si="67"/>
        <v>653400</v>
      </c>
    </row>
    <row r="521" spans="1:21" s="130" customFormat="1" ht="16.5" customHeight="1" x14ac:dyDescent="0.45">
      <c r="A521" s="14">
        <v>520</v>
      </c>
      <c r="B521" s="127">
        <v>21</v>
      </c>
      <c r="C521" s="52">
        <v>3</v>
      </c>
      <c r="D521" s="53">
        <v>1</v>
      </c>
      <c r="E521" s="54">
        <v>24</v>
      </c>
      <c r="F521" s="18" t="s">
        <v>419</v>
      </c>
      <c r="G521" s="19" t="s">
        <v>14</v>
      </c>
      <c r="H521" s="20" t="s">
        <v>420</v>
      </c>
      <c r="I521" s="18" t="s">
        <v>60</v>
      </c>
      <c r="J521" s="21">
        <v>25200</v>
      </c>
      <c r="K521" s="91"/>
      <c r="L521" s="22">
        <v>1200</v>
      </c>
      <c r="M521" s="129"/>
      <c r="N521" s="24"/>
      <c r="O521" s="13"/>
      <c r="P521" s="13"/>
      <c r="Q521" s="13"/>
    </row>
    <row r="522" spans="1:21" s="130" customFormat="1" ht="16.5" customHeight="1" x14ac:dyDescent="0.45">
      <c r="A522" s="14">
        <v>521</v>
      </c>
      <c r="B522" s="127">
        <v>22</v>
      </c>
      <c r="C522" s="52">
        <v>3</v>
      </c>
      <c r="D522" s="53">
        <v>3</v>
      </c>
      <c r="E522" s="54">
        <v>13</v>
      </c>
      <c r="F522" s="18" t="s">
        <v>86</v>
      </c>
      <c r="G522" s="19" t="s">
        <v>14</v>
      </c>
      <c r="H522" s="20" t="s">
        <v>420</v>
      </c>
      <c r="I522" s="18" t="s">
        <v>60</v>
      </c>
      <c r="J522" s="21">
        <v>25200</v>
      </c>
      <c r="K522" s="91"/>
      <c r="L522" s="22">
        <v>1200</v>
      </c>
      <c r="M522" s="129"/>
      <c r="N522" s="24"/>
    </row>
    <row r="523" spans="1:21" s="130" customFormat="1" ht="16.5" customHeight="1" x14ac:dyDescent="0.45">
      <c r="A523" s="14">
        <v>522</v>
      </c>
      <c r="B523" s="127">
        <v>23</v>
      </c>
      <c r="C523" s="52">
        <v>3</v>
      </c>
      <c r="D523" s="53">
        <v>4</v>
      </c>
      <c r="E523" s="54">
        <v>4</v>
      </c>
      <c r="F523" s="18" t="s">
        <v>123</v>
      </c>
      <c r="G523" s="19" t="s">
        <v>14</v>
      </c>
      <c r="H523" s="20" t="s">
        <v>420</v>
      </c>
      <c r="I523" s="18" t="s">
        <v>60</v>
      </c>
      <c r="J523" s="21">
        <v>25200</v>
      </c>
      <c r="K523" s="91"/>
      <c r="L523" s="22">
        <v>1200</v>
      </c>
      <c r="M523" s="129"/>
      <c r="N523" s="24"/>
      <c r="S523" s="132">
        <f>SUM(O512,O515,O520)</f>
        <v>2274300</v>
      </c>
      <c r="T523" s="132">
        <f>SUM(P512,P515,P520)</f>
        <v>108300</v>
      </c>
      <c r="U523" s="132">
        <f>SUM(Q512,Q515,Q520)</f>
        <v>2382600</v>
      </c>
    </row>
    <row r="524" spans="1:21" s="130" customFormat="1" ht="16.5" customHeight="1" x14ac:dyDescent="0.45">
      <c r="A524" s="14">
        <v>523</v>
      </c>
      <c r="B524" s="127">
        <v>24</v>
      </c>
      <c r="C524" s="52">
        <v>3</v>
      </c>
      <c r="D524" s="53">
        <v>6</v>
      </c>
      <c r="E524" s="54">
        <v>12</v>
      </c>
      <c r="F524" s="18" t="s">
        <v>339</v>
      </c>
      <c r="G524" s="19" t="s">
        <v>14</v>
      </c>
      <c r="H524" s="20" t="s">
        <v>420</v>
      </c>
      <c r="I524" s="18" t="s">
        <v>60</v>
      </c>
      <c r="J524" s="21">
        <v>25200</v>
      </c>
      <c r="K524" s="91"/>
      <c r="L524" s="22">
        <v>1200</v>
      </c>
      <c r="M524" s="129"/>
      <c r="N524" s="24"/>
    </row>
    <row r="525" spans="1:21" s="130" customFormat="1" ht="16.5" customHeight="1" x14ac:dyDescent="0.45">
      <c r="A525" s="14">
        <v>524</v>
      </c>
      <c r="B525" s="127">
        <v>25</v>
      </c>
      <c r="C525" s="52">
        <v>3</v>
      </c>
      <c r="D525" s="53">
        <v>7</v>
      </c>
      <c r="E525" s="54">
        <v>8</v>
      </c>
      <c r="F525" s="18" t="s">
        <v>124</v>
      </c>
      <c r="G525" s="19" t="s">
        <v>14</v>
      </c>
      <c r="H525" s="20" t="s">
        <v>420</v>
      </c>
      <c r="I525" s="18" t="s">
        <v>60</v>
      </c>
      <c r="J525" s="21">
        <v>25200</v>
      </c>
      <c r="K525" s="91"/>
      <c r="L525" s="22">
        <v>1200</v>
      </c>
      <c r="M525" s="129"/>
      <c r="N525" s="24"/>
    </row>
    <row r="526" spans="1:21" s="130" customFormat="1" ht="16.5" customHeight="1" x14ac:dyDescent="0.45">
      <c r="A526" s="14">
        <v>525</v>
      </c>
      <c r="B526" s="127">
        <v>26</v>
      </c>
      <c r="C526" s="52">
        <v>3</v>
      </c>
      <c r="D526" s="53">
        <v>8</v>
      </c>
      <c r="E526" s="54">
        <v>8</v>
      </c>
      <c r="F526" s="18" t="s">
        <v>320</v>
      </c>
      <c r="G526" s="19" t="s">
        <v>14</v>
      </c>
      <c r="H526" s="20" t="s">
        <v>420</v>
      </c>
      <c r="I526" s="18" t="s">
        <v>60</v>
      </c>
      <c r="J526" s="21">
        <v>25200</v>
      </c>
      <c r="K526" s="91"/>
      <c r="L526" s="22">
        <v>1200</v>
      </c>
      <c r="M526" s="129"/>
      <c r="N526" s="24"/>
    </row>
    <row r="527" spans="1:21" s="130" customFormat="1" ht="16.5" customHeight="1" x14ac:dyDescent="0.45">
      <c r="A527" s="14">
        <v>526</v>
      </c>
      <c r="B527" s="127">
        <v>27</v>
      </c>
      <c r="C527" s="52">
        <v>3</v>
      </c>
      <c r="D527" s="53">
        <v>8</v>
      </c>
      <c r="E527" s="54">
        <v>18</v>
      </c>
      <c r="F527" s="18" t="s">
        <v>421</v>
      </c>
      <c r="G527" s="19" t="s">
        <v>14</v>
      </c>
      <c r="H527" s="20" t="s">
        <v>420</v>
      </c>
      <c r="I527" s="28" t="s">
        <v>16</v>
      </c>
      <c r="J527" s="29">
        <v>18900</v>
      </c>
      <c r="K527" s="90"/>
      <c r="L527" s="30">
        <v>900</v>
      </c>
      <c r="M527" s="129"/>
      <c r="N527" s="24"/>
    </row>
    <row r="528" spans="1:21" s="130" customFormat="1" ht="16.5" customHeight="1" x14ac:dyDescent="0.45">
      <c r="A528" s="14">
        <v>527</v>
      </c>
      <c r="B528" s="127">
        <v>28</v>
      </c>
      <c r="C528" s="52">
        <v>3</v>
      </c>
      <c r="D528" s="53">
        <v>8</v>
      </c>
      <c r="E528" s="54">
        <v>25</v>
      </c>
      <c r="F528" s="18" t="s">
        <v>383</v>
      </c>
      <c r="G528" s="19" t="s">
        <v>14</v>
      </c>
      <c r="H528" s="20" t="s">
        <v>420</v>
      </c>
      <c r="I528" s="18" t="s">
        <v>60</v>
      </c>
      <c r="J528" s="21">
        <v>25200</v>
      </c>
      <c r="K528" s="91"/>
      <c r="L528" s="22">
        <v>1200</v>
      </c>
      <c r="M528" s="129"/>
      <c r="N528" s="24"/>
    </row>
    <row r="529" spans="1:17" s="130" customFormat="1" ht="16.5" customHeight="1" x14ac:dyDescent="0.45">
      <c r="A529" s="14">
        <v>528</v>
      </c>
      <c r="B529" s="127">
        <v>29</v>
      </c>
      <c r="C529" s="52">
        <v>3</v>
      </c>
      <c r="D529" s="53">
        <v>9</v>
      </c>
      <c r="E529" s="54">
        <v>8</v>
      </c>
      <c r="F529" s="18" t="s">
        <v>90</v>
      </c>
      <c r="G529" s="19" t="s">
        <v>14</v>
      </c>
      <c r="H529" s="20" t="s">
        <v>420</v>
      </c>
      <c r="I529" s="18" t="s">
        <v>60</v>
      </c>
      <c r="J529" s="21">
        <v>25200</v>
      </c>
      <c r="K529" s="91"/>
      <c r="L529" s="22">
        <v>1200</v>
      </c>
      <c r="M529" s="129"/>
      <c r="N529" s="24"/>
    </row>
    <row r="530" spans="1:17" s="130" customFormat="1" ht="16.5" customHeight="1" x14ac:dyDescent="0.45">
      <c r="A530" s="14">
        <v>529</v>
      </c>
      <c r="B530" s="127">
        <v>30</v>
      </c>
      <c r="C530" s="52">
        <v>4</v>
      </c>
      <c r="D530" s="53">
        <v>2</v>
      </c>
      <c r="E530" s="54">
        <v>2</v>
      </c>
      <c r="F530" s="18" t="s">
        <v>422</v>
      </c>
      <c r="G530" s="19" t="s">
        <v>14</v>
      </c>
      <c r="H530" s="20" t="s">
        <v>420</v>
      </c>
      <c r="I530" s="18" t="s">
        <v>60</v>
      </c>
      <c r="J530" s="21">
        <v>25200</v>
      </c>
      <c r="K530" s="91"/>
      <c r="L530" s="22">
        <v>1200</v>
      </c>
      <c r="M530" s="129"/>
      <c r="N530" s="24"/>
    </row>
    <row r="531" spans="1:17" s="130" customFormat="1" ht="16.5" customHeight="1" x14ac:dyDescent="0.45">
      <c r="A531" s="14">
        <v>530</v>
      </c>
      <c r="B531" s="127">
        <v>31</v>
      </c>
      <c r="C531" s="52">
        <v>5</v>
      </c>
      <c r="D531" s="53">
        <v>2</v>
      </c>
      <c r="E531" s="54">
        <v>4</v>
      </c>
      <c r="F531" s="18" t="s">
        <v>94</v>
      </c>
      <c r="G531" s="19" t="s">
        <v>14</v>
      </c>
      <c r="H531" s="20" t="s">
        <v>420</v>
      </c>
      <c r="I531" s="18" t="s">
        <v>60</v>
      </c>
      <c r="J531" s="21">
        <v>25200</v>
      </c>
      <c r="K531" s="91"/>
      <c r="L531" s="22">
        <v>1200</v>
      </c>
      <c r="M531" s="129"/>
      <c r="N531" s="24"/>
    </row>
    <row r="532" spans="1:17" s="130" customFormat="1" ht="16.5" customHeight="1" x14ac:dyDescent="0.45">
      <c r="A532" s="14">
        <v>531</v>
      </c>
      <c r="B532" s="127">
        <v>32</v>
      </c>
      <c r="C532" s="52">
        <v>5</v>
      </c>
      <c r="D532" s="53">
        <v>3</v>
      </c>
      <c r="E532" s="54">
        <v>21</v>
      </c>
      <c r="F532" s="18" t="s">
        <v>423</v>
      </c>
      <c r="G532" s="19" t="s">
        <v>14</v>
      </c>
      <c r="H532" s="20" t="s">
        <v>420</v>
      </c>
      <c r="I532" s="18" t="s">
        <v>60</v>
      </c>
      <c r="J532" s="21">
        <v>25200</v>
      </c>
      <c r="K532" s="91"/>
      <c r="L532" s="22">
        <v>1200</v>
      </c>
      <c r="M532" s="129"/>
      <c r="N532" s="24"/>
    </row>
    <row r="533" spans="1:17" s="130" customFormat="1" ht="16.5" customHeight="1" x14ac:dyDescent="0.45">
      <c r="A533" s="14">
        <v>532</v>
      </c>
      <c r="B533" s="127">
        <v>33</v>
      </c>
      <c r="C533" s="92">
        <v>5</v>
      </c>
      <c r="D533" s="93">
        <v>7</v>
      </c>
      <c r="E533" s="94">
        <v>5</v>
      </c>
      <c r="F533" s="81" t="s">
        <v>211</v>
      </c>
      <c r="G533" s="82" t="s">
        <v>174</v>
      </c>
      <c r="H533" s="83" t="s">
        <v>420</v>
      </c>
      <c r="I533" s="81" t="s">
        <v>16</v>
      </c>
      <c r="J533" s="122"/>
      <c r="K533" s="29">
        <v>18900</v>
      </c>
      <c r="L533" s="30">
        <v>900</v>
      </c>
      <c r="M533" s="129"/>
      <c r="N533" s="24"/>
    </row>
    <row r="534" spans="1:17" s="130" customFormat="1" ht="16.5" customHeight="1" x14ac:dyDescent="0.45">
      <c r="A534" s="14">
        <v>533</v>
      </c>
      <c r="B534" s="127">
        <v>34</v>
      </c>
      <c r="C534" s="52">
        <v>6</v>
      </c>
      <c r="D534" s="53">
        <v>1</v>
      </c>
      <c r="E534" s="54">
        <v>3</v>
      </c>
      <c r="F534" s="18" t="s">
        <v>347</v>
      </c>
      <c r="G534" s="19" t="s">
        <v>14</v>
      </c>
      <c r="H534" s="20" t="s">
        <v>420</v>
      </c>
      <c r="I534" s="18" t="s">
        <v>60</v>
      </c>
      <c r="J534" s="21">
        <v>25200</v>
      </c>
      <c r="K534" s="91"/>
      <c r="L534" s="68">
        <v>1200</v>
      </c>
      <c r="M534" s="129"/>
      <c r="N534" s="24"/>
    </row>
    <row r="535" spans="1:17" s="130" customFormat="1" ht="16.5" customHeight="1" x14ac:dyDescent="0.45">
      <c r="A535" s="14">
        <v>534</v>
      </c>
      <c r="B535" s="35">
        <v>1</v>
      </c>
      <c r="C535" s="49">
        <v>1</v>
      </c>
      <c r="D535" s="50">
        <v>1</v>
      </c>
      <c r="E535" s="51">
        <v>18</v>
      </c>
      <c r="F535" s="87" t="s">
        <v>13</v>
      </c>
      <c r="G535" s="55" t="s">
        <v>14</v>
      </c>
      <c r="H535" s="56" t="s">
        <v>424</v>
      </c>
      <c r="I535" s="39" t="s">
        <v>16</v>
      </c>
      <c r="J535" s="104">
        <v>18900</v>
      </c>
      <c r="K535" s="133"/>
      <c r="L535" s="134">
        <v>900</v>
      </c>
      <c r="M535" s="45">
        <f>SUM(J535:K569)</f>
        <v>661500</v>
      </c>
      <c r="N535" s="24"/>
    </row>
    <row r="536" spans="1:17" s="130" customFormat="1" ht="16.5" customHeight="1" x14ac:dyDescent="0.45">
      <c r="A536" s="14">
        <v>535</v>
      </c>
      <c r="B536" s="14">
        <v>2</v>
      </c>
      <c r="C536" s="52">
        <v>1</v>
      </c>
      <c r="D536" s="53">
        <v>2</v>
      </c>
      <c r="E536" s="54">
        <v>20</v>
      </c>
      <c r="F536" s="18" t="s">
        <v>425</v>
      </c>
      <c r="G536" s="57" t="s">
        <v>14</v>
      </c>
      <c r="H536" s="58" t="s">
        <v>424</v>
      </c>
      <c r="I536" s="18" t="s">
        <v>16</v>
      </c>
      <c r="J536" s="107">
        <v>18900</v>
      </c>
      <c r="K536" s="135"/>
      <c r="L536" s="136">
        <v>900</v>
      </c>
      <c r="M536" s="23"/>
      <c r="N536" s="24"/>
    </row>
    <row r="537" spans="1:17" s="130" customFormat="1" ht="16.5" customHeight="1" x14ac:dyDescent="0.45">
      <c r="A537" s="14">
        <v>536</v>
      </c>
      <c r="B537" s="14">
        <v>3</v>
      </c>
      <c r="C537" s="52">
        <v>1</v>
      </c>
      <c r="D537" s="53">
        <v>3</v>
      </c>
      <c r="E537" s="54">
        <v>7</v>
      </c>
      <c r="F537" s="18" t="s">
        <v>373</v>
      </c>
      <c r="G537" s="57" t="s">
        <v>14</v>
      </c>
      <c r="H537" s="58" t="s">
        <v>424</v>
      </c>
      <c r="I537" s="18" t="s">
        <v>16</v>
      </c>
      <c r="J537" s="107">
        <v>18900</v>
      </c>
      <c r="K537" s="135"/>
      <c r="L537" s="136">
        <v>900</v>
      </c>
      <c r="M537" s="23"/>
      <c r="N537" s="24"/>
      <c r="O537" s="137">
        <f>SUM(J535:K569)</f>
        <v>661500</v>
      </c>
    </row>
    <row r="538" spans="1:17" s="130" customFormat="1" ht="16.5" customHeight="1" x14ac:dyDescent="0.45">
      <c r="A538" s="14">
        <v>537</v>
      </c>
      <c r="B538" s="14">
        <v>4</v>
      </c>
      <c r="C538" s="52">
        <v>1</v>
      </c>
      <c r="D538" s="53">
        <v>10</v>
      </c>
      <c r="E538" s="54">
        <v>3</v>
      </c>
      <c r="F538" s="18" t="s">
        <v>22</v>
      </c>
      <c r="G538" s="57" t="s">
        <v>14</v>
      </c>
      <c r="H538" s="58" t="s">
        <v>424</v>
      </c>
      <c r="I538" s="18" t="s">
        <v>16</v>
      </c>
      <c r="J538" s="107">
        <v>18900</v>
      </c>
      <c r="K538" s="135"/>
      <c r="L538" s="136">
        <v>900</v>
      </c>
      <c r="M538" s="23"/>
      <c r="N538" s="24"/>
      <c r="O538" s="137">
        <f>SUM(L535:L569)</f>
        <v>31500</v>
      </c>
    </row>
    <row r="539" spans="1:17" s="130" customFormat="1" ht="16.5" customHeight="1" x14ac:dyDescent="0.45">
      <c r="A539" s="14">
        <v>538</v>
      </c>
      <c r="B539" s="14">
        <v>5</v>
      </c>
      <c r="C539" s="52">
        <v>1</v>
      </c>
      <c r="D539" s="53">
        <v>11</v>
      </c>
      <c r="E539" s="54">
        <v>1</v>
      </c>
      <c r="F539" s="18" t="s">
        <v>158</v>
      </c>
      <c r="G539" s="57" t="s">
        <v>14</v>
      </c>
      <c r="H539" s="58" t="s">
        <v>424</v>
      </c>
      <c r="I539" s="18" t="s">
        <v>16</v>
      </c>
      <c r="J539" s="107">
        <v>18900</v>
      </c>
      <c r="K539" s="135"/>
      <c r="L539" s="136">
        <v>900</v>
      </c>
      <c r="M539" s="23"/>
      <c r="N539" s="24"/>
      <c r="O539" s="137">
        <f>SUM(O537:O538)</f>
        <v>693000</v>
      </c>
    </row>
    <row r="540" spans="1:17" s="130" customFormat="1" ht="16.5" customHeight="1" x14ac:dyDescent="0.45">
      <c r="A540" s="14">
        <v>539</v>
      </c>
      <c r="B540" s="14">
        <v>6</v>
      </c>
      <c r="C540" s="52">
        <v>2</v>
      </c>
      <c r="D540" s="53">
        <v>3</v>
      </c>
      <c r="E540" s="54">
        <v>9</v>
      </c>
      <c r="F540" s="18" t="s">
        <v>160</v>
      </c>
      <c r="G540" s="57" t="s">
        <v>14</v>
      </c>
      <c r="H540" s="58" t="s">
        <v>424</v>
      </c>
      <c r="I540" s="18" t="s">
        <v>16</v>
      </c>
      <c r="J540" s="107">
        <v>18900</v>
      </c>
      <c r="K540" s="135"/>
      <c r="L540" s="136">
        <v>900</v>
      </c>
      <c r="M540" s="23"/>
      <c r="N540" s="24"/>
    </row>
    <row r="541" spans="1:17" s="130" customFormat="1" ht="16.5" customHeight="1" x14ac:dyDescent="0.45">
      <c r="A541" s="14">
        <v>540</v>
      </c>
      <c r="B541" s="14">
        <v>7</v>
      </c>
      <c r="C541" s="52">
        <v>2</v>
      </c>
      <c r="D541" s="53">
        <v>5</v>
      </c>
      <c r="E541" s="54">
        <v>17</v>
      </c>
      <c r="F541" s="18" t="s">
        <v>426</v>
      </c>
      <c r="G541" s="57" t="s">
        <v>14</v>
      </c>
      <c r="H541" s="58" t="s">
        <v>424</v>
      </c>
      <c r="I541" s="18" t="s">
        <v>16</v>
      </c>
      <c r="J541" s="107">
        <v>18900</v>
      </c>
      <c r="K541" s="135"/>
      <c r="L541" s="136">
        <v>900</v>
      </c>
      <c r="M541" s="23"/>
      <c r="N541" s="24"/>
    </row>
    <row r="542" spans="1:17" s="130" customFormat="1" ht="16.5" customHeight="1" x14ac:dyDescent="0.45">
      <c r="A542" s="14">
        <v>541</v>
      </c>
      <c r="B542" s="14">
        <v>8</v>
      </c>
      <c r="C542" s="52">
        <v>2</v>
      </c>
      <c r="D542" s="53">
        <v>7</v>
      </c>
      <c r="E542" s="54">
        <v>3</v>
      </c>
      <c r="F542" s="18" t="s">
        <v>378</v>
      </c>
      <c r="G542" s="57" t="s">
        <v>14</v>
      </c>
      <c r="H542" s="58" t="s">
        <v>424</v>
      </c>
      <c r="I542" s="18" t="s">
        <v>16</v>
      </c>
      <c r="J542" s="107">
        <v>18900</v>
      </c>
      <c r="K542" s="135"/>
      <c r="L542" s="136">
        <v>900</v>
      </c>
      <c r="M542" s="23"/>
      <c r="N542" s="24"/>
      <c r="O542" s="13">
        <v>18900</v>
      </c>
      <c r="P542" s="13">
        <v>900</v>
      </c>
      <c r="Q542" s="13">
        <v>19800</v>
      </c>
    </row>
    <row r="543" spans="1:17" s="130" customFormat="1" ht="16.5" customHeight="1" x14ac:dyDescent="0.45">
      <c r="A543" s="14">
        <v>542</v>
      </c>
      <c r="B543" s="14">
        <v>9</v>
      </c>
      <c r="C543" s="52">
        <v>2</v>
      </c>
      <c r="D543" s="53">
        <v>9</v>
      </c>
      <c r="E543" s="54">
        <v>1</v>
      </c>
      <c r="F543" s="18" t="s">
        <v>329</v>
      </c>
      <c r="G543" s="57" t="s">
        <v>14</v>
      </c>
      <c r="H543" s="58" t="s">
        <v>424</v>
      </c>
      <c r="I543" s="18" t="s">
        <v>16</v>
      </c>
      <c r="J543" s="107">
        <v>18900</v>
      </c>
      <c r="K543" s="135"/>
      <c r="L543" s="136">
        <v>900</v>
      </c>
      <c r="M543" s="23"/>
      <c r="N543" s="24"/>
      <c r="O543" s="130">
        <f>O542*35</f>
        <v>661500</v>
      </c>
      <c r="P543" s="130">
        <f t="shared" ref="P543:Q543" si="68">P542*35</f>
        <v>31500</v>
      </c>
      <c r="Q543" s="130">
        <f t="shared" si="68"/>
        <v>693000</v>
      </c>
    </row>
    <row r="544" spans="1:17" s="130" customFormat="1" ht="16.5" customHeight="1" x14ac:dyDescent="0.45">
      <c r="A544" s="14">
        <v>543</v>
      </c>
      <c r="B544" s="14">
        <v>10</v>
      </c>
      <c r="C544" s="52">
        <v>2</v>
      </c>
      <c r="D544" s="53">
        <v>9</v>
      </c>
      <c r="E544" s="54">
        <v>13</v>
      </c>
      <c r="F544" s="18" t="s">
        <v>427</v>
      </c>
      <c r="G544" s="57" t="s">
        <v>14</v>
      </c>
      <c r="H544" s="58" t="s">
        <v>424</v>
      </c>
      <c r="I544" s="18" t="s">
        <v>16</v>
      </c>
      <c r="J544" s="107">
        <v>18900</v>
      </c>
      <c r="K544" s="135"/>
      <c r="L544" s="136">
        <v>900</v>
      </c>
      <c r="M544" s="23"/>
      <c r="N544" s="24"/>
    </row>
    <row r="545" spans="1:17" s="130" customFormat="1" ht="16.5" customHeight="1" x14ac:dyDescent="0.45">
      <c r="A545" s="14">
        <v>544</v>
      </c>
      <c r="B545" s="14">
        <v>11</v>
      </c>
      <c r="C545" s="52">
        <v>2</v>
      </c>
      <c r="D545" s="53">
        <v>10</v>
      </c>
      <c r="E545" s="54">
        <v>7</v>
      </c>
      <c r="F545" s="18" t="s">
        <v>428</v>
      </c>
      <c r="G545" s="57" t="s">
        <v>14</v>
      </c>
      <c r="H545" s="58" t="s">
        <v>424</v>
      </c>
      <c r="I545" s="18" t="s">
        <v>16</v>
      </c>
      <c r="J545" s="107">
        <v>18900</v>
      </c>
      <c r="K545" s="135"/>
      <c r="L545" s="136">
        <v>900</v>
      </c>
      <c r="M545" s="23"/>
      <c r="N545" s="24"/>
    </row>
    <row r="546" spans="1:17" s="130" customFormat="1" ht="16.5" customHeight="1" x14ac:dyDescent="0.45">
      <c r="A546" s="14">
        <v>545</v>
      </c>
      <c r="B546" s="14">
        <v>12</v>
      </c>
      <c r="C546" s="52">
        <v>3</v>
      </c>
      <c r="D546" s="53">
        <v>2</v>
      </c>
      <c r="E546" s="54">
        <v>24</v>
      </c>
      <c r="F546" s="18" t="s">
        <v>429</v>
      </c>
      <c r="G546" s="57" t="s">
        <v>14</v>
      </c>
      <c r="H546" s="58" t="s">
        <v>430</v>
      </c>
      <c r="I546" s="18" t="s">
        <v>16</v>
      </c>
      <c r="J546" s="107">
        <v>18900</v>
      </c>
      <c r="K546" s="135"/>
      <c r="L546" s="136">
        <v>900</v>
      </c>
      <c r="M546" s="23"/>
      <c r="N546" s="24"/>
    </row>
    <row r="547" spans="1:17" s="130" customFormat="1" ht="16.5" customHeight="1" x14ac:dyDescent="0.45">
      <c r="A547" s="14">
        <v>546</v>
      </c>
      <c r="B547" s="14">
        <v>13</v>
      </c>
      <c r="C547" s="52">
        <v>3</v>
      </c>
      <c r="D547" s="53">
        <v>3</v>
      </c>
      <c r="E547" s="54">
        <v>11</v>
      </c>
      <c r="F547" s="18" t="s">
        <v>137</v>
      </c>
      <c r="G547" s="57" t="s">
        <v>14</v>
      </c>
      <c r="H547" s="58" t="s">
        <v>424</v>
      </c>
      <c r="I547" s="18" t="s">
        <v>16</v>
      </c>
      <c r="J547" s="107">
        <v>18900</v>
      </c>
      <c r="K547" s="135"/>
      <c r="L547" s="136">
        <v>900</v>
      </c>
      <c r="M547" s="23"/>
      <c r="N547" s="24"/>
    </row>
    <row r="548" spans="1:17" s="130" customFormat="1" ht="16.5" customHeight="1" x14ac:dyDescent="0.45">
      <c r="A548" s="14">
        <v>547</v>
      </c>
      <c r="B548" s="14">
        <v>14</v>
      </c>
      <c r="C548" s="52">
        <v>3</v>
      </c>
      <c r="D548" s="53">
        <v>3</v>
      </c>
      <c r="E548" s="54">
        <v>26</v>
      </c>
      <c r="F548" s="18" t="s">
        <v>431</v>
      </c>
      <c r="G548" s="57" t="s">
        <v>14</v>
      </c>
      <c r="H548" s="58" t="s">
        <v>424</v>
      </c>
      <c r="I548" s="18" t="s">
        <v>16</v>
      </c>
      <c r="J548" s="107">
        <v>18900</v>
      </c>
      <c r="K548" s="135"/>
      <c r="L548" s="136">
        <v>900</v>
      </c>
      <c r="M548" s="23"/>
      <c r="N548" s="24"/>
    </row>
    <row r="549" spans="1:17" s="130" customFormat="1" ht="16.5" customHeight="1" x14ac:dyDescent="0.45">
      <c r="A549" s="14">
        <v>548</v>
      </c>
      <c r="B549" s="14">
        <v>15</v>
      </c>
      <c r="C549" s="52">
        <v>3</v>
      </c>
      <c r="D549" s="53">
        <v>7</v>
      </c>
      <c r="E549" s="54">
        <v>20</v>
      </c>
      <c r="F549" s="18" t="s">
        <v>35</v>
      </c>
      <c r="G549" s="57" t="s">
        <v>14</v>
      </c>
      <c r="H549" s="58" t="s">
        <v>424</v>
      </c>
      <c r="I549" s="18" t="s">
        <v>16</v>
      </c>
      <c r="J549" s="107">
        <v>18900</v>
      </c>
      <c r="K549" s="135"/>
      <c r="L549" s="136">
        <v>900</v>
      </c>
      <c r="M549" s="23"/>
      <c r="N549" s="24"/>
      <c r="O549" s="13">
        <v>25200</v>
      </c>
      <c r="P549" s="13">
        <v>1200</v>
      </c>
      <c r="Q549" s="13">
        <v>26400</v>
      </c>
    </row>
    <row r="550" spans="1:17" s="130" customFormat="1" ht="16.5" customHeight="1" x14ac:dyDescent="0.45">
      <c r="A550" s="14">
        <v>549</v>
      </c>
      <c r="B550" s="14">
        <v>16</v>
      </c>
      <c r="C550" s="52">
        <v>3</v>
      </c>
      <c r="D550" s="53">
        <v>8</v>
      </c>
      <c r="E550" s="54">
        <v>17</v>
      </c>
      <c r="F550" s="18" t="s">
        <v>432</v>
      </c>
      <c r="G550" s="57" t="s">
        <v>14</v>
      </c>
      <c r="H550" s="58" t="s">
        <v>424</v>
      </c>
      <c r="I550" s="18" t="s">
        <v>16</v>
      </c>
      <c r="J550" s="107">
        <v>18900</v>
      </c>
      <c r="K550" s="135"/>
      <c r="L550" s="136">
        <v>900</v>
      </c>
      <c r="M550" s="23"/>
      <c r="N550" s="24"/>
      <c r="O550" s="130">
        <f>O549*36</f>
        <v>907200</v>
      </c>
      <c r="P550" s="130">
        <f t="shared" ref="P550:Q550" si="69">P549*36</f>
        <v>43200</v>
      </c>
      <c r="Q550" s="130">
        <f t="shared" si="69"/>
        <v>950400</v>
      </c>
    </row>
    <row r="551" spans="1:17" s="130" customFormat="1" ht="16.5" customHeight="1" x14ac:dyDescent="0.45">
      <c r="A551" s="14">
        <v>550</v>
      </c>
      <c r="B551" s="14">
        <v>17</v>
      </c>
      <c r="C551" s="52">
        <v>4</v>
      </c>
      <c r="D551" s="53">
        <v>4</v>
      </c>
      <c r="E551" s="54">
        <v>12</v>
      </c>
      <c r="F551" s="18" t="s">
        <v>433</v>
      </c>
      <c r="G551" s="57" t="s">
        <v>14</v>
      </c>
      <c r="H551" s="58" t="s">
        <v>424</v>
      </c>
      <c r="I551" s="18" t="s">
        <v>16</v>
      </c>
      <c r="J551" s="107">
        <v>18900</v>
      </c>
      <c r="K551" s="135"/>
      <c r="L551" s="136">
        <v>900</v>
      </c>
      <c r="M551" s="23"/>
      <c r="N551" s="24"/>
    </row>
    <row r="552" spans="1:17" s="130" customFormat="1" ht="16.5" customHeight="1" x14ac:dyDescent="0.45">
      <c r="A552" s="14">
        <v>551</v>
      </c>
      <c r="B552" s="14">
        <v>18</v>
      </c>
      <c r="C552" s="52">
        <v>4</v>
      </c>
      <c r="D552" s="53">
        <v>6</v>
      </c>
      <c r="E552" s="54">
        <v>14</v>
      </c>
      <c r="F552" s="18" t="s">
        <v>141</v>
      </c>
      <c r="G552" s="57" t="s">
        <v>14</v>
      </c>
      <c r="H552" s="58" t="s">
        <v>424</v>
      </c>
      <c r="I552" s="18" t="s">
        <v>16</v>
      </c>
      <c r="J552" s="107">
        <v>18900</v>
      </c>
      <c r="K552" s="135"/>
      <c r="L552" s="136">
        <v>900</v>
      </c>
      <c r="M552" s="23"/>
      <c r="N552" s="24"/>
    </row>
    <row r="553" spans="1:17" s="130" customFormat="1" ht="16.5" customHeight="1" x14ac:dyDescent="0.45">
      <c r="A553" s="14">
        <v>552</v>
      </c>
      <c r="B553" s="14">
        <v>19</v>
      </c>
      <c r="C553" s="52">
        <v>4</v>
      </c>
      <c r="D553" s="53">
        <v>6</v>
      </c>
      <c r="E553" s="54">
        <v>23</v>
      </c>
      <c r="F553" s="18" t="s">
        <v>434</v>
      </c>
      <c r="G553" s="57" t="s">
        <v>14</v>
      </c>
      <c r="H553" s="58" t="s">
        <v>424</v>
      </c>
      <c r="I553" s="18" t="s">
        <v>16</v>
      </c>
      <c r="J553" s="107">
        <v>18900</v>
      </c>
      <c r="K553" s="135"/>
      <c r="L553" s="136">
        <v>900</v>
      </c>
      <c r="M553" s="23"/>
      <c r="N553" s="24"/>
    </row>
    <row r="554" spans="1:17" s="130" customFormat="1" ht="16.5" customHeight="1" x14ac:dyDescent="0.45">
      <c r="A554" s="14">
        <v>553</v>
      </c>
      <c r="B554" s="14">
        <v>20</v>
      </c>
      <c r="C554" s="52">
        <v>4</v>
      </c>
      <c r="D554" s="53">
        <v>7</v>
      </c>
      <c r="E554" s="54">
        <v>16</v>
      </c>
      <c r="F554" s="18" t="s">
        <v>435</v>
      </c>
      <c r="G554" s="57" t="s">
        <v>14</v>
      </c>
      <c r="H554" s="58" t="s">
        <v>424</v>
      </c>
      <c r="I554" s="18" t="s">
        <v>16</v>
      </c>
      <c r="J554" s="107">
        <v>18900</v>
      </c>
      <c r="K554" s="135"/>
      <c r="L554" s="136">
        <v>900</v>
      </c>
      <c r="M554" s="23"/>
      <c r="N554" s="24"/>
    </row>
    <row r="555" spans="1:17" s="130" customFormat="1" ht="16.5" customHeight="1" x14ac:dyDescent="0.45">
      <c r="A555" s="14">
        <v>554</v>
      </c>
      <c r="B555" s="14">
        <v>21</v>
      </c>
      <c r="C555" s="52">
        <v>1</v>
      </c>
      <c r="D555" s="53">
        <v>10</v>
      </c>
      <c r="E555" s="54">
        <v>12</v>
      </c>
      <c r="F555" s="18" t="s">
        <v>207</v>
      </c>
      <c r="G555" s="57" t="s">
        <v>14</v>
      </c>
      <c r="H555" s="58" t="s">
        <v>436</v>
      </c>
      <c r="I555" s="18" t="s">
        <v>16</v>
      </c>
      <c r="J555" s="107">
        <v>18900</v>
      </c>
      <c r="K555" s="135"/>
      <c r="L555" s="136">
        <v>900</v>
      </c>
      <c r="M555" s="23"/>
      <c r="N555" s="24"/>
    </row>
    <row r="556" spans="1:17" s="130" customFormat="1" ht="16.5" customHeight="1" x14ac:dyDescent="0.45">
      <c r="A556" s="14">
        <v>555</v>
      </c>
      <c r="B556" s="14">
        <v>22</v>
      </c>
      <c r="C556" s="52">
        <v>1</v>
      </c>
      <c r="D556" s="53">
        <v>11</v>
      </c>
      <c r="E556" s="54">
        <v>16</v>
      </c>
      <c r="F556" s="18" t="s">
        <v>437</v>
      </c>
      <c r="G556" s="57" t="s">
        <v>14</v>
      </c>
      <c r="H556" s="58" t="s">
        <v>436</v>
      </c>
      <c r="I556" s="18" t="s">
        <v>16</v>
      </c>
      <c r="J556" s="107">
        <v>18900</v>
      </c>
      <c r="K556" s="135"/>
      <c r="L556" s="136">
        <v>900</v>
      </c>
      <c r="M556" s="23"/>
      <c r="N556" s="24"/>
    </row>
    <row r="557" spans="1:17" s="130" customFormat="1" ht="16.5" customHeight="1" x14ac:dyDescent="0.45">
      <c r="A557" s="14">
        <v>556</v>
      </c>
      <c r="B557" s="14">
        <v>23</v>
      </c>
      <c r="C557" s="52">
        <v>2</v>
      </c>
      <c r="D557" s="53">
        <v>7</v>
      </c>
      <c r="E557" s="54">
        <v>12</v>
      </c>
      <c r="F557" s="18" t="s">
        <v>42</v>
      </c>
      <c r="G557" s="57" t="s">
        <v>14</v>
      </c>
      <c r="H557" s="58" t="s">
        <v>436</v>
      </c>
      <c r="I557" s="18" t="s">
        <v>16</v>
      </c>
      <c r="J557" s="107">
        <v>18900</v>
      </c>
      <c r="K557" s="135"/>
      <c r="L557" s="136">
        <v>900</v>
      </c>
      <c r="M557" s="23"/>
      <c r="N557" s="24"/>
    </row>
    <row r="558" spans="1:17" s="130" customFormat="1" ht="16.5" customHeight="1" x14ac:dyDescent="0.45">
      <c r="A558" s="14">
        <v>557</v>
      </c>
      <c r="B558" s="14">
        <v>24</v>
      </c>
      <c r="C558" s="52">
        <v>2</v>
      </c>
      <c r="D558" s="53">
        <v>10</v>
      </c>
      <c r="E558" s="54">
        <v>23</v>
      </c>
      <c r="F558" s="18" t="s">
        <v>438</v>
      </c>
      <c r="G558" s="57" t="s">
        <v>14</v>
      </c>
      <c r="H558" s="58" t="s">
        <v>436</v>
      </c>
      <c r="I558" s="18" t="s">
        <v>16</v>
      </c>
      <c r="J558" s="107">
        <v>18900</v>
      </c>
      <c r="K558" s="135"/>
      <c r="L558" s="136">
        <v>900</v>
      </c>
      <c r="M558" s="23"/>
      <c r="N558" s="24"/>
      <c r="O558" s="13">
        <v>18900</v>
      </c>
      <c r="P558" s="13">
        <v>900</v>
      </c>
      <c r="Q558" s="13">
        <v>19800</v>
      </c>
    </row>
    <row r="559" spans="1:17" s="130" customFormat="1" ht="16.5" customHeight="1" x14ac:dyDescent="0.45">
      <c r="A559" s="14">
        <v>558</v>
      </c>
      <c r="B559" s="14">
        <v>25</v>
      </c>
      <c r="C559" s="52">
        <v>3</v>
      </c>
      <c r="D559" s="53">
        <v>1</v>
      </c>
      <c r="E559" s="54">
        <v>21</v>
      </c>
      <c r="F559" s="18" t="s">
        <v>127</v>
      </c>
      <c r="G559" s="57" t="s">
        <v>14</v>
      </c>
      <c r="H559" s="58" t="s">
        <v>436</v>
      </c>
      <c r="I559" s="18" t="s">
        <v>16</v>
      </c>
      <c r="J559" s="107">
        <v>18900</v>
      </c>
      <c r="K559" s="135"/>
      <c r="L559" s="136">
        <v>900</v>
      </c>
      <c r="M559" s="23"/>
      <c r="N559" s="24"/>
      <c r="O559" s="130">
        <f>O558*36</f>
        <v>680400</v>
      </c>
      <c r="P559" s="130">
        <f t="shared" ref="P559:Q559" si="70">P558*36</f>
        <v>32400</v>
      </c>
      <c r="Q559" s="130">
        <f t="shared" si="70"/>
        <v>712800</v>
      </c>
    </row>
    <row r="560" spans="1:17" s="130" customFormat="1" ht="16.5" customHeight="1" x14ac:dyDescent="0.45">
      <c r="A560" s="14">
        <v>559</v>
      </c>
      <c r="B560" s="14">
        <v>26</v>
      </c>
      <c r="C560" s="52">
        <v>3</v>
      </c>
      <c r="D560" s="53">
        <v>4</v>
      </c>
      <c r="E560" s="54">
        <v>8</v>
      </c>
      <c r="F560" s="18" t="s">
        <v>439</v>
      </c>
      <c r="G560" s="57" t="s">
        <v>14</v>
      </c>
      <c r="H560" s="58" t="s">
        <v>436</v>
      </c>
      <c r="I560" s="18" t="s">
        <v>16</v>
      </c>
      <c r="J560" s="107">
        <v>18900</v>
      </c>
      <c r="K560" s="135"/>
      <c r="L560" s="136">
        <v>900</v>
      </c>
      <c r="M560" s="23"/>
      <c r="N560" s="24"/>
    </row>
    <row r="561" spans="1:21" s="130" customFormat="1" ht="16.5" customHeight="1" x14ac:dyDescent="0.45">
      <c r="A561" s="14">
        <v>560</v>
      </c>
      <c r="B561" s="14">
        <v>27</v>
      </c>
      <c r="C561" s="52">
        <v>3</v>
      </c>
      <c r="D561" s="53">
        <v>6</v>
      </c>
      <c r="E561" s="54">
        <v>11</v>
      </c>
      <c r="F561" s="18" t="s">
        <v>88</v>
      </c>
      <c r="G561" s="57" t="s">
        <v>14</v>
      </c>
      <c r="H561" s="58" t="s">
        <v>436</v>
      </c>
      <c r="I561" s="18" t="s">
        <v>16</v>
      </c>
      <c r="J561" s="107">
        <v>18900</v>
      </c>
      <c r="K561" s="135"/>
      <c r="L561" s="136">
        <v>900</v>
      </c>
      <c r="M561" s="23"/>
      <c r="N561" s="24"/>
    </row>
    <row r="562" spans="1:21" s="130" customFormat="1" ht="16.5" customHeight="1" x14ac:dyDescent="0.45">
      <c r="A562" s="14">
        <v>561</v>
      </c>
      <c r="B562" s="14">
        <v>28</v>
      </c>
      <c r="C562" s="52">
        <v>3</v>
      </c>
      <c r="D562" s="53">
        <v>6</v>
      </c>
      <c r="E562" s="54">
        <v>21</v>
      </c>
      <c r="F562" s="18" t="s">
        <v>440</v>
      </c>
      <c r="G562" s="57" t="s">
        <v>14</v>
      </c>
      <c r="H562" s="58" t="s">
        <v>436</v>
      </c>
      <c r="I562" s="18" t="s">
        <v>16</v>
      </c>
      <c r="J562" s="107">
        <v>18900</v>
      </c>
      <c r="K562" s="135"/>
      <c r="L562" s="136">
        <v>900</v>
      </c>
      <c r="M562" s="23"/>
      <c r="N562" s="24"/>
      <c r="S562" s="132">
        <f>SUM(O543,O550,O559)</f>
        <v>2249100</v>
      </c>
      <c r="T562" s="132">
        <f>SUM(P543,P550,P559)</f>
        <v>107100</v>
      </c>
      <c r="U562" s="132">
        <f>SUM(Q543,Q550,Q559)</f>
        <v>2356200</v>
      </c>
    </row>
    <row r="563" spans="1:21" s="130" customFormat="1" ht="16.5" customHeight="1" x14ac:dyDescent="0.45">
      <c r="A563" s="14">
        <v>562</v>
      </c>
      <c r="B563" s="14">
        <v>29</v>
      </c>
      <c r="C563" s="52">
        <v>3</v>
      </c>
      <c r="D563" s="53">
        <v>9</v>
      </c>
      <c r="E563" s="54">
        <v>21</v>
      </c>
      <c r="F563" s="18" t="s">
        <v>48</v>
      </c>
      <c r="G563" s="57" t="s">
        <v>14</v>
      </c>
      <c r="H563" s="58" t="s">
        <v>436</v>
      </c>
      <c r="I563" s="18" t="s">
        <v>16</v>
      </c>
      <c r="J563" s="107">
        <v>18900</v>
      </c>
      <c r="K563" s="135"/>
      <c r="L563" s="136">
        <v>900</v>
      </c>
      <c r="M563" s="23"/>
      <c r="N563" s="24"/>
    </row>
    <row r="564" spans="1:21" s="130" customFormat="1" ht="16.5" customHeight="1" x14ac:dyDescent="0.45">
      <c r="A564" s="14">
        <v>563</v>
      </c>
      <c r="B564" s="14">
        <v>30</v>
      </c>
      <c r="C564" s="52">
        <v>3</v>
      </c>
      <c r="D564" s="53">
        <v>9</v>
      </c>
      <c r="E564" s="54">
        <v>24</v>
      </c>
      <c r="F564" s="18" t="s">
        <v>441</v>
      </c>
      <c r="G564" s="57" t="s">
        <v>14</v>
      </c>
      <c r="H564" s="58" t="s">
        <v>436</v>
      </c>
      <c r="I564" s="18" t="s">
        <v>16</v>
      </c>
      <c r="J564" s="107">
        <v>18900</v>
      </c>
      <c r="K564" s="135"/>
      <c r="L564" s="136">
        <v>900</v>
      </c>
      <c r="M564" s="23"/>
      <c r="N564" s="24"/>
    </row>
    <row r="565" spans="1:21" s="130" customFormat="1" ht="16.5" customHeight="1" x14ac:dyDescent="0.45">
      <c r="A565" s="14">
        <v>564</v>
      </c>
      <c r="B565" s="14">
        <v>31</v>
      </c>
      <c r="C565" s="52">
        <v>4</v>
      </c>
      <c r="D565" s="53">
        <v>6</v>
      </c>
      <c r="E565" s="54">
        <v>8</v>
      </c>
      <c r="F565" s="18" t="s">
        <v>388</v>
      </c>
      <c r="G565" s="57" t="s">
        <v>14</v>
      </c>
      <c r="H565" s="58" t="s">
        <v>436</v>
      </c>
      <c r="I565" s="18" t="s">
        <v>16</v>
      </c>
      <c r="J565" s="107">
        <v>18900</v>
      </c>
      <c r="K565" s="135"/>
      <c r="L565" s="136">
        <v>900</v>
      </c>
      <c r="M565" s="23"/>
      <c r="N565" s="24"/>
    </row>
    <row r="566" spans="1:21" s="130" customFormat="1" ht="16.5" customHeight="1" x14ac:dyDescent="0.45">
      <c r="A566" s="14">
        <v>565</v>
      </c>
      <c r="B566" s="14">
        <v>32</v>
      </c>
      <c r="C566" s="52">
        <v>5</v>
      </c>
      <c r="D566" s="53">
        <v>1</v>
      </c>
      <c r="E566" s="54">
        <v>11</v>
      </c>
      <c r="F566" s="89" t="s">
        <v>442</v>
      </c>
      <c r="G566" s="57" t="s">
        <v>14</v>
      </c>
      <c r="H566" s="58" t="s">
        <v>436</v>
      </c>
      <c r="I566" s="18" t="s">
        <v>16</v>
      </c>
      <c r="J566" s="107">
        <v>18900</v>
      </c>
      <c r="K566" s="135"/>
      <c r="L566" s="136">
        <v>900</v>
      </c>
      <c r="M566" s="23"/>
      <c r="N566" s="24"/>
    </row>
    <row r="567" spans="1:21" s="130" customFormat="1" ht="16.5" customHeight="1" x14ac:dyDescent="0.45">
      <c r="A567" s="14">
        <v>566</v>
      </c>
      <c r="B567" s="14">
        <v>33</v>
      </c>
      <c r="C567" s="52">
        <v>5</v>
      </c>
      <c r="D567" s="53">
        <v>2</v>
      </c>
      <c r="E567" s="54">
        <v>18</v>
      </c>
      <c r="F567" s="89" t="s">
        <v>443</v>
      </c>
      <c r="G567" s="57" t="s">
        <v>14</v>
      </c>
      <c r="H567" s="58" t="s">
        <v>436</v>
      </c>
      <c r="I567" s="18" t="s">
        <v>16</v>
      </c>
      <c r="J567" s="107">
        <v>18900</v>
      </c>
      <c r="K567" s="135"/>
      <c r="L567" s="136">
        <v>900</v>
      </c>
      <c r="M567" s="23"/>
      <c r="N567" s="24"/>
    </row>
    <row r="568" spans="1:21" s="130" customFormat="1" ht="16.5" customHeight="1" x14ac:dyDescent="0.45">
      <c r="A568" s="14">
        <v>567</v>
      </c>
      <c r="B568" s="14">
        <v>34</v>
      </c>
      <c r="C568" s="52">
        <v>5</v>
      </c>
      <c r="D568" s="53">
        <v>5</v>
      </c>
      <c r="E568" s="54">
        <v>24</v>
      </c>
      <c r="F568" s="89" t="s">
        <v>444</v>
      </c>
      <c r="G568" s="57" t="s">
        <v>14</v>
      </c>
      <c r="H568" s="58" t="s">
        <v>436</v>
      </c>
      <c r="I568" s="18" t="s">
        <v>16</v>
      </c>
      <c r="J568" s="107">
        <v>18900</v>
      </c>
      <c r="K568" s="135"/>
      <c r="L568" s="136">
        <v>900</v>
      </c>
      <c r="M568" s="23"/>
      <c r="N568" s="24"/>
    </row>
    <row r="569" spans="1:21" s="130" customFormat="1" ht="16.5" customHeight="1" x14ac:dyDescent="0.45">
      <c r="A569" s="14">
        <v>568</v>
      </c>
      <c r="B569" s="14">
        <v>35</v>
      </c>
      <c r="C569" s="92">
        <v>5</v>
      </c>
      <c r="D569" s="93">
        <v>7</v>
      </c>
      <c r="E569" s="94">
        <v>19</v>
      </c>
      <c r="F569" s="95" t="s">
        <v>234</v>
      </c>
      <c r="G569" s="96" t="s">
        <v>174</v>
      </c>
      <c r="H569" s="97" t="s">
        <v>436</v>
      </c>
      <c r="I569" s="138" t="s">
        <v>16</v>
      </c>
      <c r="J569" s="139"/>
      <c r="K569" s="140">
        <v>18900</v>
      </c>
      <c r="L569" s="100">
        <v>900</v>
      </c>
      <c r="M569" s="69"/>
      <c r="N569" s="24"/>
    </row>
    <row r="570" spans="1:21" s="130" customFormat="1" ht="16.5" customHeight="1" x14ac:dyDescent="0.45">
      <c r="A570" s="14">
        <v>569</v>
      </c>
      <c r="B570" s="35">
        <v>1</v>
      </c>
      <c r="C570" s="49">
        <v>1</v>
      </c>
      <c r="D570" s="50">
        <v>1</v>
      </c>
      <c r="E570" s="51">
        <v>14</v>
      </c>
      <c r="F570" s="39" t="s">
        <v>445</v>
      </c>
      <c r="G570" s="40" t="s">
        <v>14</v>
      </c>
      <c r="H570" s="41" t="s">
        <v>446</v>
      </c>
      <c r="I570" s="28" t="s">
        <v>16</v>
      </c>
      <c r="J570" s="29">
        <v>18900</v>
      </c>
      <c r="K570" s="141"/>
      <c r="L570" s="30">
        <v>900</v>
      </c>
      <c r="M570" s="23">
        <f>SUM(J570:K611)</f>
        <v>945000</v>
      </c>
      <c r="N570" s="24"/>
    </row>
    <row r="571" spans="1:21" s="130" customFormat="1" ht="16.5" customHeight="1" x14ac:dyDescent="0.45">
      <c r="A571" s="14">
        <v>570</v>
      </c>
      <c r="B571" s="14">
        <v>2</v>
      </c>
      <c r="C571" s="52">
        <v>1</v>
      </c>
      <c r="D571" s="53">
        <v>1</v>
      </c>
      <c r="E571" s="54">
        <v>17</v>
      </c>
      <c r="F571" s="18" t="s">
        <v>371</v>
      </c>
      <c r="G571" s="19" t="s">
        <v>14</v>
      </c>
      <c r="H571" s="20" t="s">
        <v>446</v>
      </c>
      <c r="I571" s="18" t="s">
        <v>60</v>
      </c>
      <c r="J571" s="21">
        <v>25200</v>
      </c>
      <c r="K571" s="76"/>
      <c r="L571" s="22">
        <v>1200</v>
      </c>
      <c r="M571" s="23"/>
      <c r="N571" s="24"/>
    </row>
    <row r="572" spans="1:21" s="130" customFormat="1" ht="16.5" customHeight="1" x14ac:dyDescent="0.45">
      <c r="A572" s="14">
        <v>571</v>
      </c>
      <c r="B572" s="14">
        <v>3</v>
      </c>
      <c r="C572" s="52">
        <v>1</v>
      </c>
      <c r="D572" s="53">
        <v>2</v>
      </c>
      <c r="E572" s="54">
        <v>5</v>
      </c>
      <c r="F572" s="18" t="s">
        <v>447</v>
      </c>
      <c r="G572" s="19" t="s">
        <v>14</v>
      </c>
      <c r="H572" s="20" t="s">
        <v>446</v>
      </c>
      <c r="I572" s="28" t="s">
        <v>16</v>
      </c>
      <c r="J572" s="29">
        <v>18900</v>
      </c>
      <c r="K572" s="142"/>
      <c r="L572" s="30">
        <v>900</v>
      </c>
      <c r="M572" s="23"/>
      <c r="N572" s="24"/>
      <c r="O572" s="137">
        <f>SUM(J570:K611)</f>
        <v>945000</v>
      </c>
    </row>
    <row r="573" spans="1:21" s="130" customFormat="1" ht="16.5" customHeight="1" x14ac:dyDescent="0.45">
      <c r="A573" s="14">
        <v>572</v>
      </c>
      <c r="B573" s="14">
        <v>4</v>
      </c>
      <c r="C573" s="52">
        <v>1</v>
      </c>
      <c r="D573" s="53">
        <v>3</v>
      </c>
      <c r="E573" s="54">
        <v>14</v>
      </c>
      <c r="F573" s="18" t="s">
        <v>154</v>
      </c>
      <c r="G573" s="19" t="s">
        <v>14</v>
      </c>
      <c r="H573" s="20" t="s">
        <v>446</v>
      </c>
      <c r="I573" s="28" t="s">
        <v>16</v>
      </c>
      <c r="J573" s="29">
        <v>18900</v>
      </c>
      <c r="K573" s="142"/>
      <c r="L573" s="30">
        <v>900</v>
      </c>
      <c r="M573" s="23"/>
      <c r="N573" s="24"/>
      <c r="O573" s="137">
        <f>SUM(L570:L611)</f>
        <v>45000</v>
      </c>
    </row>
    <row r="574" spans="1:21" s="130" customFormat="1" ht="16.5" customHeight="1" x14ac:dyDescent="0.45">
      <c r="A574" s="14">
        <v>573</v>
      </c>
      <c r="B574" s="14">
        <v>5</v>
      </c>
      <c r="C574" s="52">
        <v>1</v>
      </c>
      <c r="D574" s="53">
        <v>4</v>
      </c>
      <c r="E574" s="54">
        <v>11</v>
      </c>
      <c r="F574" s="18" t="s">
        <v>448</v>
      </c>
      <c r="G574" s="19" t="s">
        <v>14</v>
      </c>
      <c r="H574" s="20" t="s">
        <v>446</v>
      </c>
      <c r="I574" s="18" t="s">
        <v>60</v>
      </c>
      <c r="J574" s="21">
        <v>25200</v>
      </c>
      <c r="K574" s="76"/>
      <c r="L574" s="22">
        <v>1200</v>
      </c>
      <c r="M574" s="23"/>
      <c r="N574" s="24"/>
      <c r="O574" s="137">
        <f>SUM(O572:O573)</f>
        <v>990000</v>
      </c>
    </row>
    <row r="575" spans="1:21" s="130" customFormat="1" ht="16.5" customHeight="1" x14ac:dyDescent="0.45">
      <c r="A575" s="14">
        <v>574</v>
      </c>
      <c r="B575" s="14">
        <v>6</v>
      </c>
      <c r="C575" s="52">
        <v>1</v>
      </c>
      <c r="D575" s="53">
        <v>5</v>
      </c>
      <c r="E575" s="54">
        <v>1</v>
      </c>
      <c r="F575" s="18" t="s">
        <v>449</v>
      </c>
      <c r="G575" s="19" t="s">
        <v>14</v>
      </c>
      <c r="H575" s="20" t="s">
        <v>446</v>
      </c>
      <c r="I575" s="28" t="s">
        <v>16</v>
      </c>
      <c r="J575" s="29">
        <v>18900</v>
      </c>
      <c r="K575" s="142"/>
      <c r="L575" s="30">
        <v>900</v>
      </c>
      <c r="M575" s="23"/>
      <c r="N575" s="24"/>
    </row>
    <row r="576" spans="1:21" s="130" customFormat="1" ht="16.5" customHeight="1" x14ac:dyDescent="0.45">
      <c r="A576" s="14">
        <v>575</v>
      </c>
      <c r="B576" s="14">
        <v>7</v>
      </c>
      <c r="C576" s="52">
        <v>1</v>
      </c>
      <c r="D576" s="53">
        <v>5</v>
      </c>
      <c r="E576" s="54">
        <v>3</v>
      </c>
      <c r="F576" s="18" t="s">
        <v>201</v>
      </c>
      <c r="G576" s="19" t="s">
        <v>14</v>
      </c>
      <c r="H576" s="20" t="s">
        <v>446</v>
      </c>
      <c r="I576" s="18" t="s">
        <v>60</v>
      </c>
      <c r="J576" s="21">
        <v>25200</v>
      </c>
      <c r="K576" s="76"/>
      <c r="L576" s="22">
        <v>1200</v>
      </c>
      <c r="M576" s="23"/>
      <c r="N576" s="24"/>
    </row>
    <row r="577" spans="1:18" s="130" customFormat="1" ht="16.5" customHeight="1" x14ac:dyDescent="0.45">
      <c r="A577" s="14">
        <v>576</v>
      </c>
      <c r="B577" s="14">
        <v>8</v>
      </c>
      <c r="C577" s="52">
        <v>1</v>
      </c>
      <c r="D577" s="53">
        <v>6</v>
      </c>
      <c r="E577" s="54">
        <v>2</v>
      </c>
      <c r="F577" s="18" t="s">
        <v>19</v>
      </c>
      <c r="G577" s="19" t="s">
        <v>14</v>
      </c>
      <c r="H577" s="20" t="s">
        <v>446</v>
      </c>
      <c r="I577" s="18" t="s">
        <v>60</v>
      </c>
      <c r="J577" s="21">
        <v>25200</v>
      </c>
      <c r="K577" s="76"/>
      <c r="L577" s="22">
        <v>1200</v>
      </c>
      <c r="M577" s="23"/>
      <c r="N577" s="24"/>
    </row>
    <row r="578" spans="1:18" s="130" customFormat="1" ht="16.5" customHeight="1" x14ac:dyDescent="0.45">
      <c r="A578" s="14">
        <v>577</v>
      </c>
      <c r="B578" s="14">
        <v>9</v>
      </c>
      <c r="C578" s="52">
        <v>1</v>
      </c>
      <c r="D578" s="53">
        <v>6</v>
      </c>
      <c r="E578" s="54">
        <v>4</v>
      </c>
      <c r="F578" s="18" t="s">
        <v>187</v>
      </c>
      <c r="G578" s="19" t="s">
        <v>14</v>
      </c>
      <c r="H578" s="20" t="s">
        <v>450</v>
      </c>
      <c r="I578" s="18" t="s">
        <v>60</v>
      </c>
      <c r="J578" s="21">
        <v>25200</v>
      </c>
      <c r="K578" s="76"/>
      <c r="L578" s="22">
        <v>1200</v>
      </c>
      <c r="M578" s="23"/>
      <c r="N578" s="24"/>
    </row>
    <row r="579" spans="1:18" s="130" customFormat="1" ht="16.5" customHeight="1" x14ac:dyDescent="0.45">
      <c r="A579" s="14">
        <v>578</v>
      </c>
      <c r="B579" s="14">
        <v>10</v>
      </c>
      <c r="C579" s="52">
        <v>1</v>
      </c>
      <c r="D579" s="53">
        <v>6</v>
      </c>
      <c r="E579" s="54">
        <v>16</v>
      </c>
      <c r="F579" s="18" t="s">
        <v>451</v>
      </c>
      <c r="G579" s="19" t="s">
        <v>14</v>
      </c>
      <c r="H579" s="20" t="s">
        <v>446</v>
      </c>
      <c r="I579" s="28" t="s">
        <v>16</v>
      </c>
      <c r="J579" s="29">
        <v>18900</v>
      </c>
      <c r="K579" s="142"/>
      <c r="L579" s="30">
        <v>900</v>
      </c>
      <c r="M579" s="23"/>
      <c r="N579" s="24"/>
      <c r="O579" s="13">
        <v>25200</v>
      </c>
      <c r="P579" s="13">
        <v>1200</v>
      </c>
      <c r="Q579" s="13">
        <v>26400</v>
      </c>
    </row>
    <row r="580" spans="1:18" s="130" customFormat="1" ht="16.5" customHeight="1" x14ac:dyDescent="0.45">
      <c r="A580" s="14">
        <v>579</v>
      </c>
      <c r="B580" s="14">
        <v>11</v>
      </c>
      <c r="C580" s="52">
        <v>1</v>
      </c>
      <c r="D580" s="53">
        <v>6</v>
      </c>
      <c r="E580" s="54">
        <v>17</v>
      </c>
      <c r="F580" s="18" t="s">
        <v>452</v>
      </c>
      <c r="G580" s="19" t="s">
        <v>14</v>
      </c>
      <c r="H580" s="20" t="s">
        <v>446</v>
      </c>
      <c r="I580" s="28" t="s">
        <v>16</v>
      </c>
      <c r="J580" s="29">
        <v>18900</v>
      </c>
      <c r="K580" s="142"/>
      <c r="L580" s="30">
        <v>900</v>
      </c>
      <c r="M580" s="23"/>
      <c r="N580" s="24"/>
      <c r="O580" s="130">
        <f>O579*42</f>
        <v>1058400</v>
      </c>
      <c r="P580" s="130">
        <f t="shared" ref="P580:Q580" si="71">P579*42</f>
        <v>50400</v>
      </c>
      <c r="Q580" s="130">
        <f t="shared" si="71"/>
        <v>1108800</v>
      </c>
    </row>
    <row r="581" spans="1:18" s="130" customFormat="1" ht="16.5" customHeight="1" x14ac:dyDescent="0.45">
      <c r="A581" s="14">
        <v>580</v>
      </c>
      <c r="B581" s="14">
        <v>12</v>
      </c>
      <c r="C581" s="52">
        <v>1</v>
      </c>
      <c r="D581" s="53">
        <v>7</v>
      </c>
      <c r="E581" s="54">
        <v>8</v>
      </c>
      <c r="F581" s="18" t="s">
        <v>453</v>
      </c>
      <c r="G581" s="19" t="s">
        <v>14</v>
      </c>
      <c r="H581" s="20" t="s">
        <v>446</v>
      </c>
      <c r="I581" s="18" t="s">
        <v>60</v>
      </c>
      <c r="J581" s="21">
        <v>25200</v>
      </c>
      <c r="K581" s="76"/>
      <c r="L581" s="22">
        <v>1200</v>
      </c>
      <c r="M581" s="23"/>
      <c r="N581" s="24"/>
      <c r="O581" s="130">
        <v>-113400</v>
      </c>
      <c r="P581" s="130">
        <v>-5400</v>
      </c>
      <c r="Q581" s="130">
        <v>-118800</v>
      </c>
    </row>
    <row r="582" spans="1:18" s="130" customFormat="1" ht="16.5" customHeight="1" x14ac:dyDescent="0.45">
      <c r="A582" s="14">
        <v>581</v>
      </c>
      <c r="B582" s="14">
        <v>13</v>
      </c>
      <c r="C582" s="52">
        <v>1</v>
      </c>
      <c r="D582" s="53">
        <v>7</v>
      </c>
      <c r="E582" s="54">
        <v>9</v>
      </c>
      <c r="F582" s="18" t="s">
        <v>454</v>
      </c>
      <c r="G582" s="19" t="s">
        <v>14</v>
      </c>
      <c r="H582" s="20" t="s">
        <v>446</v>
      </c>
      <c r="I582" s="18" t="s">
        <v>60</v>
      </c>
      <c r="J582" s="21">
        <v>25200</v>
      </c>
      <c r="K582" s="76"/>
      <c r="L582" s="22">
        <v>1200</v>
      </c>
      <c r="M582" s="23"/>
      <c r="N582" s="24"/>
      <c r="O582" s="130">
        <f>SUM(O580:O581)</f>
        <v>945000</v>
      </c>
      <c r="P582" s="130">
        <f t="shared" ref="P582:Q582" si="72">SUM(P580:P581)</f>
        <v>45000</v>
      </c>
      <c r="Q582" s="130">
        <f t="shared" si="72"/>
        <v>990000</v>
      </c>
    </row>
    <row r="583" spans="1:18" s="130" customFormat="1" ht="16.5" customHeight="1" x14ac:dyDescent="0.45">
      <c r="A583" s="14">
        <v>582</v>
      </c>
      <c r="B583" s="14">
        <v>14</v>
      </c>
      <c r="C583" s="52">
        <v>1</v>
      </c>
      <c r="D583" s="53">
        <v>7</v>
      </c>
      <c r="E583" s="54">
        <v>19</v>
      </c>
      <c r="F583" s="18" t="s">
        <v>455</v>
      </c>
      <c r="G583" s="19" t="s">
        <v>14</v>
      </c>
      <c r="H583" s="20" t="s">
        <v>446</v>
      </c>
      <c r="I583" s="18" t="s">
        <v>60</v>
      </c>
      <c r="J583" s="21">
        <v>25200</v>
      </c>
      <c r="K583" s="76"/>
      <c r="L583" s="22">
        <v>1200</v>
      </c>
      <c r="M583" s="23"/>
      <c r="N583" s="24"/>
    </row>
    <row r="584" spans="1:18" s="130" customFormat="1" ht="16.5" customHeight="1" x14ac:dyDescent="0.45">
      <c r="A584" s="14">
        <v>583</v>
      </c>
      <c r="B584" s="14">
        <v>15</v>
      </c>
      <c r="C584" s="52">
        <v>1</v>
      </c>
      <c r="D584" s="53">
        <v>8</v>
      </c>
      <c r="E584" s="54">
        <v>4</v>
      </c>
      <c r="F584" s="18" t="s">
        <v>107</v>
      </c>
      <c r="G584" s="19" t="s">
        <v>14</v>
      </c>
      <c r="H584" s="20" t="s">
        <v>446</v>
      </c>
      <c r="I584" s="28" t="s">
        <v>16</v>
      </c>
      <c r="J584" s="29">
        <v>18900</v>
      </c>
      <c r="K584" s="142"/>
      <c r="L584" s="30">
        <v>900</v>
      </c>
      <c r="M584" s="23"/>
      <c r="N584" s="24"/>
    </row>
    <row r="585" spans="1:18" s="130" customFormat="1" ht="16.5" customHeight="1" x14ac:dyDescent="0.45">
      <c r="A585" s="14">
        <v>584</v>
      </c>
      <c r="B585" s="14">
        <v>16</v>
      </c>
      <c r="C585" s="52">
        <v>1</v>
      </c>
      <c r="D585" s="53">
        <v>8</v>
      </c>
      <c r="E585" s="54">
        <v>6</v>
      </c>
      <c r="F585" s="18" t="s">
        <v>130</v>
      </c>
      <c r="G585" s="19" t="s">
        <v>14</v>
      </c>
      <c r="H585" s="20" t="s">
        <v>446</v>
      </c>
      <c r="I585" s="18" t="s">
        <v>60</v>
      </c>
      <c r="J585" s="21">
        <v>25200</v>
      </c>
      <c r="K585" s="76"/>
      <c r="L585" s="22">
        <v>1200</v>
      </c>
      <c r="M585" s="23"/>
      <c r="N585" s="24"/>
      <c r="O585" s="13">
        <v>25200</v>
      </c>
      <c r="P585" s="13">
        <v>1200</v>
      </c>
      <c r="Q585" s="13">
        <v>26400</v>
      </c>
    </row>
    <row r="586" spans="1:18" s="130" customFormat="1" ht="16.5" customHeight="1" x14ac:dyDescent="0.45">
      <c r="A586" s="14">
        <v>585</v>
      </c>
      <c r="B586" s="14">
        <v>17</v>
      </c>
      <c r="C586" s="52">
        <v>1</v>
      </c>
      <c r="D586" s="53">
        <v>8</v>
      </c>
      <c r="E586" s="54">
        <v>7</v>
      </c>
      <c r="F586" s="18" t="s">
        <v>456</v>
      </c>
      <c r="G586" s="19" t="s">
        <v>14</v>
      </c>
      <c r="H586" s="20" t="s">
        <v>446</v>
      </c>
      <c r="I586" s="28" t="s">
        <v>16</v>
      </c>
      <c r="J586" s="29">
        <v>18900</v>
      </c>
      <c r="K586" s="142"/>
      <c r="L586" s="30">
        <v>900</v>
      </c>
      <c r="M586" s="23"/>
      <c r="N586" s="24"/>
      <c r="O586" s="130">
        <f>O585*41</f>
        <v>1033200</v>
      </c>
      <c r="P586" s="130">
        <f t="shared" ref="P586:R586" si="73">P585*41</f>
        <v>49200</v>
      </c>
      <c r="Q586" s="130">
        <f t="shared" si="73"/>
        <v>1082400</v>
      </c>
      <c r="R586" s="130">
        <f t="shared" si="73"/>
        <v>0</v>
      </c>
    </row>
    <row r="587" spans="1:18" s="130" customFormat="1" ht="16.5" customHeight="1" x14ac:dyDescent="0.45">
      <c r="A587" s="14">
        <v>586</v>
      </c>
      <c r="B587" s="14">
        <v>18</v>
      </c>
      <c r="C587" s="52">
        <v>1</v>
      </c>
      <c r="D587" s="53">
        <v>8</v>
      </c>
      <c r="E587" s="54">
        <v>16</v>
      </c>
      <c r="F587" s="18" t="s">
        <v>66</v>
      </c>
      <c r="G587" s="19" t="s">
        <v>14</v>
      </c>
      <c r="H587" s="20" t="s">
        <v>446</v>
      </c>
      <c r="I587" s="18" t="s">
        <v>60</v>
      </c>
      <c r="J587" s="21">
        <v>25200</v>
      </c>
      <c r="K587" s="76"/>
      <c r="L587" s="22">
        <v>1200</v>
      </c>
      <c r="M587" s="23"/>
      <c r="N587" s="24"/>
    </row>
    <row r="588" spans="1:18" s="130" customFormat="1" ht="16.5" customHeight="1" x14ac:dyDescent="0.45">
      <c r="A588" s="14">
        <v>587</v>
      </c>
      <c r="B588" s="14">
        <v>19</v>
      </c>
      <c r="C588" s="52">
        <v>1</v>
      </c>
      <c r="D588" s="53">
        <v>10</v>
      </c>
      <c r="E588" s="54">
        <v>11</v>
      </c>
      <c r="F588" s="18" t="s">
        <v>457</v>
      </c>
      <c r="G588" s="19" t="s">
        <v>14</v>
      </c>
      <c r="H588" s="20" t="s">
        <v>446</v>
      </c>
      <c r="I588" s="28" t="s">
        <v>16</v>
      </c>
      <c r="J588" s="29">
        <v>18900</v>
      </c>
      <c r="K588" s="142"/>
      <c r="L588" s="30">
        <v>900</v>
      </c>
      <c r="M588" s="23"/>
      <c r="N588" s="24"/>
    </row>
    <row r="589" spans="1:18" s="130" customFormat="1" ht="16.5" customHeight="1" x14ac:dyDescent="0.45">
      <c r="A589" s="14">
        <v>588</v>
      </c>
      <c r="B589" s="14">
        <v>20</v>
      </c>
      <c r="C589" s="52">
        <v>1</v>
      </c>
      <c r="D589" s="53">
        <v>12</v>
      </c>
      <c r="E589" s="54">
        <v>7</v>
      </c>
      <c r="F589" s="18" t="s">
        <v>193</v>
      </c>
      <c r="G589" s="19" t="s">
        <v>14</v>
      </c>
      <c r="H589" s="20" t="s">
        <v>446</v>
      </c>
      <c r="I589" s="18" t="s">
        <v>60</v>
      </c>
      <c r="J589" s="21">
        <v>25200</v>
      </c>
      <c r="K589" s="76"/>
      <c r="L589" s="22">
        <v>1200</v>
      </c>
      <c r="M589" s="23"/>
      <c r="N589" s="24"/>
    </row>
    <row r="590" spans="1:18" s="130" customFormat="1" ht="16.5" customHeight="1" x14ac:dyDescent="0.45">
      <c r="A590" s="14">
        <v>589</v>
      </c>
      <c r="B590" s="14">
        <v>21</v>
      </c>
      <c r="C590" s="52">
        <v>1</v>
      </c>
      <c r="D590" s="53">
        <v>12</v>
      </c>
      <c r="E590" s="54">
        <v>11</v>
      </c>
      <c r="F590" s="18" t="s">
        <v>458</v>
      </c>
      <c r="G590" s="19" t="s">
        <v>14</v>
      </c>
      <c r="H590" s="20" t="s">
        <v>446</v>
      </c>
      <c r="I590" s="18" t="s">
        <v>60</v>
      </c>
      <c r="J590" s="21">
        <v>25200</v>
      </c>
      <c r="K590" s="76"/>
      <c r="L590" s="22">
        <v>1200</v>
      </c>
      <c r="M590" s="23"/>
      <c r="N590" s="24"/>
      <c r="O590" s="13">
        <v>18900</v>
      </c>
      <c r="P590" s="13">
        <v>900</v>
      </c>
      <c r="Q590" s="13">
        <v>19800</v>
      </c>
    </row>
    <row r="591" spans="1:18" s="130" customFormat="1" ht="16.5" customHeight="1" x14ac:dyDescent="0.45">
      <c r="A591" s="14">
        <v>590</v>
      </c>
      <c r="B591" s="14">
        <v>22</v>
      </c>
      <c r="C591" s="52">
        <v>2</v>
      </c>
      <c r="D591" s="53">
        <v>3</v>
      </c>
      <c r="E591" s="54">
        <v>5</v>
      </c>
      <c r="F591" s="18" t="s">
        <v>459</v>
      </c>
      <c r="G591" s="19" t="s">
        <v>14</v>
      </c>
      <c r="H591" s="20" t="s">
        <v>446</v>
      </c>
      <c r="I591" s="18" t="s">
        <v>60</v>
      </c>
      <c r="J591" s="21">
        <v>25200</v>
      </c>
      <c r="K591" s="76"/>
      <c r="L591" s="22">
        <v>1200</v>
      </c>
      <c r="M591" s="23"/>
      <c r="N591" s="24"/>
      <c r="O591" s="130">
        <f>O590*41</f>
        <v>774900</v>
      </c>
      <c r="P591" s="130">
        <f t="shared" ref="P591:Q591" si="74">P590*41</f>
        <v>36900</v>
      </c>
      <c r="Q591" s="130">
        <f t="shared" si="74"/>
        <v>811800</v>
      </c>
    </row>
    <row r="592" spans="1:18" s="130" customFormat="1" ht="16.5" customHeight="1" x14ac:dyDescent="0.45">
      <c r="A592" s="14">
        <v>591</v>
      </c>
      <c r="B592" s="14">
        <v>23</v>
      </c>
      <c r="C592" s="52">
        <v>2</v>
      </c>
      <c r="D592" s="53">
        <v>1</v>
      </c>
      <c r="E592" s="54">
        <v>7</v>
      </c>
      <c r="F592" s="18" t="s">
        <v>312</v>
      </c>
      <c r="G592" s="19" t="s">
        <v>14</v>
      </c>
      <c r="H592" s="20" t="s">
        <v>460</v>
      </c>
      <c r="I592" s="18" t="s">
        <v>60</v>
      </c>
      <c r="J592" s="21">
        <v>25200</v>
      </c>
      <c r="K592" s="76"/>
      <c r="L592" s="22">
        <v>1200</v>
      </c>
      <c r="M592" s="23"/>
      <c r="N592" s="24"/>
    </row>
    <row r="593" spans="1:21" s="130" customFormat="1" ht="16.5" customHeight="1" x14ac:dyDescent="0.45">
      <c r="A593" s="14">
        <v>592</v>
      </c>
      <c r="B593" s="14">
        <v>24</v>
      </c>
      <c r="C593" s="52">
        <v>2</v>
      </c>
      <c r="D593" s="53">
        <v>2</v>
      </c>
      <c r="E593" s="54">
        <v>2</v>
      </c>
      <c r="F593" s="18" t="s">
        <v>461</v>
      </c>
      <c r="G593" s="19" t="s">
        <v>14</v>
      </c>
      <c r="H593" s="20" t="s">
        <v>460</v>
      </c>
      <c r="I593" s="28" t="s">
        <v>16</v>
      </c>
      <c r="J593" s="29">
        <v>18900</v>
      </c>
      <c r="K593" s="142"/>
      <c r="L593" s="30">
        <v>900</v>
      </c>
      <c r="M593" s="23"/>
      <c r="N593" s="24"/>
    </row>
    <row r="594" spans="1:21" s="130" customFormat="1" ht="16.5" customHeight="1" x14ac:dyDescent="0.45">
      <c r="A594" s="14">
        <v>593</v>
      </c>
      <c r="B594" s="14">
        <v>25</v>
      </c>
      <c r="C594" s="52">
        <v>2</v>
      </c>
      <c r="D594" s="53">
        <v>2</v>
      </c>
      <c r="E594" s="54">
        <v>13</v>
      </c>
      <c r="F594" s="18" t="s">
        <v>244</v>
      </c>
      <c r="G594" s="19" t="s">
        <v>14</v>
      </c>
      <c r="H594" s="20" t="s">
        <v>460</v>
      </c>
      <c r="I594" s="28" t="s">
        <v>16</v>
      </c>
      <c r="J594" s="29">
        <v>18900</v>
      </c>
      <c r="K594" s="142"/>
      <c r="L594" s="30">
        <v>900</v>
      </c>
      <c r="M594" s="23"/>
      <c r="N594" s="24"/>
    </row>
    <row r="595" spans="1:21" s="130" customFormat="1" ht="16.5" customHeight="1" x14ac:dyDescent="0.45">
      <c r="A595" s="14">
        <v>594</v>
      </c>
      <c r="B595" s="14">
        <v>26</v>
      </c>
      <c r="C595" s="52">
        <v>2</v>
      </c>
      <c r="D595" s="53">
        <v>7</v>
      </c>
      <c r="E595" s="54">
        <v>6</v>
      </c>
      <c r="F595" s="18" t="s">
        <v>462</v>
      </c>
      <c r="G595" s="19" t="s">
        <v>14</v>
      </c>
      <c r="H595" s="20" t="s">
        <v>460</v>
      </c>
      <c r="I595" s="28" t="s">
        <v>16</v>
      </c>
      <c r="J595" s="29">
        <v>18900</v>
      </c>
      <c r="K595" s="142"/>
      <c r="L595" s="30">
        <v>900</v>
      </c>
      <c r="M595" s="23"/>
      <c r="N595" s="24"/>
      <c r="R595" s="130">
        <f t="shared" ref="R595" si="75">SUM(R582,R586,R591)</f>
        <v>0</v>
      </c>
      <c r="S595" s="132">
        <f>SUM(O582,O586,O591)</f>
        <v>2753100</v>
      </c>
      <c r="T595" s="132">
        <f>SUM(P582,P586,P591)</f>
        <v>131100</v>
      </c>
      <c r="U595" s="132">
        <f>SUM(Q582,Q586,Q591)</f>
        <v>2884200</v>
      </c>
    </row>
    <row r="596" spans="1:21" s="130" customFormat="1" ht="16.5" customHeight="1" x14ac:dyDescent="0.45">
      <c r="A596" s="14">
        <v>595</v>
      </c>
      <c r="B596" s="14">
        <v>27</v>
      </c>
      <c r="C596" s="52">
        <v>2</v>
      </c>
      <c r="D596" s="53">
        <v>8</v>
      </c>
      <c r="E596" s="54">
        <v>1</v>
      </c>
      <c r="F596" s="18" t="s">
        <v>123</v>
      </c>
      <c r="G596" s="19" t="s">
        <v>14</v>
      </c>
      <c r="H596" s="20" t="s">
        <v>460</v>
      </c>
      <c r="I596" s="18" t="s">
        <v>60</v>
      </c>
      <c r="J596" s="21">
        <v>25200</v>
      </c>
      <c r="K596" s="76"/>
      <c r="L596" s="22">
        <v>1200</v>
      </c>
      <c r="M596" s="23"/>
      <c r="N596" s="24"/>
    </row>
    <row r="597" spans="1:21" s="130" customFormat="1" ht="16.5" customHeight="1" x14ac:dyDescent="0.45">
      <c r="A597" s="14">
        <v>596</v>
      </c>
      <c r="B597" s="14">
        <v>28</v>
      </c>
      <c r="C597" s="52">
        <v>2</v>
      </c>
      <c r="D597" s="53">
        <v>9</v>
      </c>
      <c r="E597" s="54">
        <v>21</v>
      </c>
      <c r="F597" s="18" t="s">
        <v>71</v>
      </c>
      <c r="G597" s="19" t="s">
        <v>14</v>
      </c>
      <c r="H597" s="20" t="s">
        <v>460</v>
      </c>
      <c r="I597" s="18" t="s">
        <v>60</v>
      </c>
      <c r="J597" s="21">
        <v>25200</v>
      </c>
      <c r="K597" s="76"/>
      <c r="L597" s="22">
        <v>1200</v>
      </c>
      <c r="M597" s="23"/>
      <c r="N597" s="24"/>
    </row>
    <row r="598" spans="1:21" s="130" customFormat="1" ht="16.5" customHeight="1" x14ac:dyDescent="0.45">
      <c r="A598" s="14">
        <v>597</v>
      </c>
      <c r="B598" s="14">
        <v>29</v>
      </c>
      <c r="C598" s="52">
        <v>2</v>
      </c>
      <c r="D598" s="53">
        <v>10</v>
      </c>
      <c r="E598" s="54">
        <v>19</v>
      </c>
      <c r="F598" s="18" t="s">
        <v>44</v>
      </c>
      <c r="G598" s="19" t="s">
        <v>14</v>
      </c>
      <c r="H598" s="20" t="s">
        <v>460</v>
      </c>
      <c r="I598" s="28" t="s">
        <v>16</v>
      </c>
      <c r="J598" s="29">
        <v>18900</v>
      </c>
      <c r="K598" s="142"/>
      <c r="L598" s="30">
        <v>900</v>
      </c>
      <c r="M598" s="23"/>
      <c r="N598" s="24"/>
    </row>
    <row r="599" spans="1:21" s="130" customFormat="1" ht="16.5" customHeight="1" x14ac:dyDescent="0.45">
      <c r="A599" s="14">
        <v>598</v>
      </c>
      <c r="B599" s="14">
        <v>30</v>
      </c>
      <c r="C599" s="52">
        <v>3</v>
      </c>
      <c r="D599" s="53">
        <v>6</v>
      </c>
      <c r="E599" s="54">
        <v>18</v>
      </c>
      <c r="F599" s="18" t="s">
        <v>45</v>
      </c>
      <c r="G599" s="19" t="s">
        <v>14</v>
      </c>
      <c r="H599" s="20" t="s">
        <v>460</v>
      </c>
      <c r="I599" s="28" t="s">
        <v>16</v>
      </c>
      <c r="J599" s="29">
        <v>18900</v>
      </c>
      <c r="K599" s="142"/>
      <c r="L599" s="30">
        <v>900</v>
      </c>
      <c r="M599" s="23"/>
      <c r="N599" s="24"/>
    </row>
    <row r="600" spans="1:21" s="130" customFormat="1" ht="16.5" customHeight="1" x14ac:dyDescent="0.45">
      <c r="A600" s="14">
        <v>599</v>
      </c>
      <c r="B600" s="14">
        <v>31</v>
      </c>
      <c r="C600" s="52">
        <v>3</v>
      </c>
      <c r="D600" s="53">
        <v>7</v>
      </c>
      <c r="E600" s="54">
        <v>18</v>
      </c>
      <c r="F600" s="18" t="s">
        <v>463</v>
      </c>
      <c r="G600" s="19" t="s">
        <v>14</v>
      </c>
      <c r="H600" s="20" t="s">
        <v>460</v>
      </c>
      <c r="I600" s="18" t="s">
        <v>60</v>
      </c>
      <c r="J600" s="21">
        <v>25200</v>
      </c>
      <c r="K600" s="76"/>
      <c r="L600" s="22">
        <v>1200</v>
      </c>
      <c r="M600" s="23"/>
      <c r="N600" s="24"/>
    </row>
    <row r="601" spans="1:21" s="130" customFormat="1" ht="16.5" customHeight="1" x14ac:dyDescent="0.45">
      <c r="A601" s="14">
        <v>600</v>
      </c>
      <c r="B601" s="14">
        <v>32</v>
      </c>
      <c r="C601" s="52">
        <v>3</v>
      </c>
      <c r="D601" s="53">
        <v>7</v>
      </c>
      <c r="E601" s="54">
        <v>22</v>
      </c>
      <c r="F601" s="18" t="s">
        <v>89</v>
      </c>
      <c r="G601" s="19" t="s">
        <v>14</v>
      </c>
      <c r="H601" s="20" t="s">
        <v>460</v>
      </c>
      <c r="I601" s="28" t="s">
        <v>16</v>
      </c>
      <c r="J601" s="29">
        <v>18900</v>
      </c>
      <c r="K601" s="142"/>
      <c r="L601" s="30">
        <v>900</v>
      </c>
      <c r="M601" s="23"/>
      <c r="N601" s="24"/>
    </row>
    <row r="602" spans="1:21" s="130" customFormat="1" ht="16.5" customHeight="1" x14ac:dyDescent="0.45">
      <c r="A602" s="14">
        <v>601</v>
      </c>
      <c r="B602" s="14">
        <v>33</v>
      </c>
      <c r="C602" s="52">
        <v>3</v>
      </c>
      <c r="D602" s="53">
        <v>8</v>
      </c>
      <c r="E602" s="54">
        <v>19</v>
      </c>
      <c r="F602" s="18" t="s">
        <v>178</v>
      </c>
      <c r="G602" s="19" t="s">
        <v>14</v>
      </c>
      <c r="H602" s="20" t="s">
        <v>460</v>
      </c>
      <c r="I602" s="28" t="s">
        <v>16</v>
      </c>
      <c r="J602" s="29">
        <v>18900</v>
      </c>
      <c r="K602" s="142"/>
      <c r="L602" s="30">
        <v>900</v>
      </c>
      <c r="M602" s="23"/>
      <c r="N602" s="24"/>
    </row>
    <row r="603" spans="1:21" s="130" customFormat="1" ht="16.5" customHeight="1" x14ac:dyDescent="0.45">
      <c r="A603" s="14">
        <v>602</v>
      </c>
      <c r="B603" s="14">
        <v>34</v>
      </c>
      <c r="C603" s="52">
        <v>3</v>
      </c>
      <c r="D603" s="53">
        <v>8</v>
      </c>
      <c r="E603" s="54">
        <v>21</v>
      </c>
      <c r="F603" s="18" t="s">
        <v>464</v>
      </c>
      <c r="G603" s="19" t="s">
        <v>14</v>
      </c>
      <c r="H603" s="20" t="s">
        <v>460</v>
      </c>
      <c r="I603" s="18" t="s">
        <v>60</v>
      </c>
      <c r="J603" s="21">
        <v>25200</v>
      </c>
      <c r="K603" s="76"/>
      <c r="L603" s="22">
        <v>1200</v>
      </c>
      <c r="M603" s="23"/>
      <c r="N603" s="24"/>
    </row>
    <row r="604" spans="1:21" s="130" customFormat="1" ht="16.5" customHeight="1" x14ac:dyDescent="0.45">
      <c r="A604" s="14">
        <v>603</v>
      </c>
      <c r="B604" s="14">
        <v>35</v>
      </c>
      <c r="C604" s="52">
        <v>4</v>
      </c>
      <c r="D604" s="53">
        <v>1</v>
      </c>
      <c r="E604" s="54">
        <v>3</v>
      </c>
      <c r="F604" s="18" t="s">
        <v>49</v>
      </c>
      <c r="G604" s="19" t="s">
        <v>14</v>
      </c>
      <c r="H604" s="20" t="s">
        <v>460</v>
      </c>
      <c r="I604" s="18" t="s">
        <v>60</v>
      </c>
      <c r="J604" s="21">
        <v>25200</v>
      </c>
      <c r="K604" s="76"/>
      <c r="L604" s="22">
        <v>1200</v>
      </c>
      <c r="M604" s="23"/>
      <c r="N604" s="24"/>
    </row>
    <row r="605" spans="1:21" s="130" customFormat="1" ht="16.5" customHeight="1" x14ac:dyDescent="0.45">
      <c r="A605" s="14">
        <v>604</v>
      </c>
      <c r="B605" s="14">
        <v>36</v>
      </c>
      <c r="C605" s="52">
        <v>4</v>
      </c>
      <c r="D605" s="53">
        <v>5</v>
      </c>
      <c r="E605" s="54">
        <v>14</v>
      </c>
      <c r="F605" s="18" t="s">
        <v>465</v>
      </c>
      <c r="G605" s="19" t="s">
        <v>14</v>
      </c>
      <c r="H605" s="20" t="s">
        <v>460</v>
      </c>
      <c r="I605" s="18" t="s">
        <v>60</v>
      </c>
      <c r="J605" s="21">
        <v>25200</v>
      </c>
      <c r="K605" s="76"/>
      <c r="L605" s="22">
        <v>1200</v>
      </c>
      <c r="M605" s="23"/>
      <c r="N605" s="24"/>
    </row>
    <row r="606" spans="1:21" s="130" customFormat="1" ht="16.5" customHeight="1" x14ac:dyDescent="0.45">
      <c r="A606" s="14">
        <v>605</v>
      </c>
      <c r="B606" s="14">
        <v>37</v>
      </c>
      <c r="C606" s="52">
        <v>5</v>
      </c>
      <c r="D606" s="53">
        <v>3</v>
      </c>
      <c r="E606" s="54">
        <v>9</v>
      </c>
      <c r="F606" s="18" t="s">
        <v>466</v>
      </c>
      <c r="G606" s="19" t="s">
        <v>14</v>
      </c>
      <c r="H606" s="20" t="s">
        <v>460</v>
      </c>
      <c r="I606" s="18" t="s">
        <v>60</v>
      </c>
      <c r="J606" s="21">
        <v>25200</v>
      </c>
      <c r="K606" s="76"/>
      <c r="L606" s="22">
        <v>1200</v>
      </c>
      <c r="M606" s="23"/>
      <c r="N606" s="24"/>
    </row>
    <row r="607" spans="1:21" s="130" customFormat="1" ht="16.5" customHeight="1" x14ac:dyDescent="0.45">
      <c r="A607" s="14">
        <v>606</v>
      </c>
      <c r="B607" s="14">
        <v>38</v>
      </c>
      <c r="C607" s="52">
        <v>5</v>
      </c>
      <c r="D607" s="53">
        <v>4</v>
      </c>
      <c r="E607" s="54">
        <v>1</v>
      </c>
      <c r="F607" s="18" t="s">
        <v>125</v>
      </c>
      <c r="G607" s="19" t="s">
        <v>14</v>
      </c>
      <c r="H607" s="20" t="s">
        <v>460</v>
      </c>
      <c r="I607" s="18" t="s">
        <v>60</v>
      </c>
      <c r="J607" s="21">
        <v>25200</v>
      </c>
      <c r="K607" s="76"/>
      <c r="L607" s="22">
        <v>1200</v>
      </c>
      <c r="M607" s="23"/>
      <c r="N607" s="24"/>
    </row>
    <row r="608" spans="1:21" s="13" customFormat="1" ht="16.5" customHeight="1" x14ac:dyDescent="0.45">
      <c r="A608" s="14">
        <v>607</v>
      </c>
      <c r="B608" s="14">
        <v>39</v>
      </c>
      <c r="C608" s="52">
        <v>5</v>
      </c>
      <c r="D608" s="53">
        <v>6</v>
      </c>
      <c r="E608" s="54">
        <v>12</v>
      </c>
      <c r="F608" s="18" t="s">
        <v>467</v>
      </c>
      <c r="G608" s="19" t="s">
        <v>14</v>
      </c>
      <c r="H608" s="20" t="s">
        <v>460</v>
      </c>
      <c r="I608" s="18" t="s">
        <v>60</v>
      </c>
      <c r="J608" s="21">
        <v>25200</v>
      </c>
      <c r="K608" s="76"/>
      <c r="L608" s="22">
        <v>1200</v>
      </c>
      <c r="M608" s="23"/>
      <c r="N608" s="24"/>
      <c r="U608" s="33"/>
    </row>
    <row r="609" spans="1:21" s="13" customFormat="1" ht="16.5" customHeight="1" x14ac:dyDescent="0.45">
      <c r="A609" s="14">
        <v>608</v>
      </c>
      <c r="B609" s="14">
        <v>40</v>
      </c>
      <c r="C609" s="52">
        <v>5</v>
      </c>
      <c r="D609" s="53">
        <v>6</v>
      </c>
      <c r="E609" s="54">
        <v>22</v>
      </c>
      <c r="F609" s="18" t="s">
        <v>258</v>
      </c>
      <c r="G609" s="19" t="s">
        <v>14</v>
      </c>
      <c r="H609" s="20" t="s">
        <v>460</v>
      </c>
      <c r="I609" s="18" t="s">
        <v>60</v>
      </c>
      <c r="J609" s="21">
        <v>25200</v>
      </c>
      <c r="K609" s="76"/>
      <c r="L609" s="22">
        <v>1200</v>
      </c>
      <c r="M609" s="23"/>
      <c r="N609" s="24"/>
      <c r="U609" s="33"/>
    </row>
    <row r="610" spans="1:21" s="13" customFormat="1" ht="16.5" customHeight="1" x14ac:dyDescent="0.45">
      <c r="A610" s="14">
        <v>609</v>
      </c>
      <c r="B610" s="14">
        <v>41</v>
      </c>
      <c r="C610" s="52">
        <v>6</v>
      </c>
      <c r="D610" s="53">
        <v>6</v>
      </c>
      <c r="E610" s="54">
        <v>10</v>
      </c>
      <c r="F610" s="18" t="s">
        <v>468</v>
      </c>
      <c r="G610" s="19" t="s">
        <v>14</v>
      </c>
      <c r="H610" s="20" t="s">
        <v>460</v>
      </c>
      <c r="I610" s="28" t="s">
        <v>16</v>
      </c>
      <c r="J610" s="29">
        <v>18900</v>
      </c>
      <c r="K610" s="143"/>
      <c r="L610" s="30">
        <v>900</v>
      </c>
      <c r="M610" s="23"/>
      <c r="N610" s="24"/>
      <c r="U610" s="33"/>
    </row>
    <row r="611" spans="1:21" s="13" customFormat="1" ht="16.5" customHeight="1" x14ac:dyDescent="0.45">
      <c r="A611" s="14">
        <v>610</v>
      </c>
      <c r="B611" s="14">
        <v>42</v>
      </c>
      <c r="C611" s="52">
        <v>6</v>
      </c>
      <c r="D611" s="53">
        <v>7</v>
      </c>
      <c r="E611" s="54">
        <v>4</v>
      </c>
      <c r="F611" s="18" t="s">
        <v>469</v>
      </c>
      <c r="G611" s="19" t="s">
        <v>14</v>
      </c>
      <c r="H611" s="20" t="s">
        <v>460</v>
      </c>
      <c r="I611" s="28" t="s">
        <v>16</v>
      </c>
      <c r="J611" s="29">
        <v>18900</v>
      </c>
      <c r="K611" s="143"/>
      <c r="L611" s="30">
        <v>900</v>
      </c>
      <c r="M611" s="23"/>
      <c r="N611" s="24"/>
      <c r="U611" s="33"/>
    </row>
    <row r="612" spans="1:21" s="13" customFormat="1" ht="16.5" customHeight="1" x14ac:dyDescent="0.45">
      <c r="A612" s="14">
        <v>611</v>
      </c>
      <c r="B612" s="35">
        <v>1</v>
      </c>
      <c r="C612" s="49">
        <v>1</v>
      </c>
      <c r="D612" s="50">
        <v>1</v>
      </c>
      <c r="E612" s="51">
        <v>6</v>
      </c>
      <c r="F612" s="39" t="s">
        <v>58</v>
      </c>
      <c r="G612" s="40" t="s">
        <v>14</v>
      </c>
      <c r="H612" s="41" t="s">
        <v>470</v>
      </c>
      <c r="I612" s="39" t="s">
        <v>60</v>
      </c>
      <c r="J612" s="43">
        <v>25200</v>
      </c>
      <c r="K612" s="70"/>
      <c r="L612" s="44">
        <v>1200</v>
      </c>
      <c r="M612" s="45">
        <f>SUM(J612:K639)</f>
        <v>642600</v>
      </c>
      <c r="N612" s="24"/>
      <c r="U612" s="33"/>
    </row>
    <row r="613" spans="1:21" s="13" customFormat="1" ht="16.5" customHeight="1" x14ac:dyDescent="0.45">
      <c r="A613" s="14">
        <v>612</v>
      </c>
      <c r="B613" s="14">
        <v>2</v>
      </c>
      <c r="C613" s="52">
        <v>1</v>
      </c>
      <c r="D613" s="53">
        <v>2</v>
      </c>
      <c r="E613" s="54">
        <v>18</v>
      </c>
      <c r="F613" s="18" t="s">
        <v>214</v>
      </c>
      <c r="G613" s="19" t="s">
        <v>14</v>
      </c>
      <c r="H613" s="20" t="s">
        <v>470</v>
      </c>
      <c r="I613" s="18" t="s">
        <v>21</v>
      </c>
      <c r="J613" s="21">
        <v>12600</v>
      </c>
      <c r="K613" s="76"/>
      <c r="L613" s="22">
        <v>600</v>
      </c>
      <c r="M613" s="23"/>
      <c r="N613" s="24"/>
      <c r="U613" s="33"/>
    </row>
    <row r="614" spans="1:21" s="13" customFormat="1" ht="16.5" customHeight="1" x14ac:dyDescent="0.45">
      <c r="A614" s="14">
        <v>613</v>
      </c>
      <c r="B614" s="14">
        <v>3</v>
      </c>
      <c r="C614" s="52">
        <v>1</v>
      </c>
      <c r="D614" s="53">
        <v>5</v>
      </c>
      <c r="E614" s="54">
        <v>13</v>
      </c>
      <c r="F614" s="18" t="s">
        <v>103</v>
      </c>
      <c r="G614" s="19" t="s">
        <v>14</v>
      </c>
      <c r="H614" s="20" t="s">
        <v>470</v>
      </c>
      <c r="I614" s="28" t="s">
        <v>16</v>
      </c>
      <c r="J614" s="29">
        <v>18900</v>
      </c>
      <c r="K614" s="143"/>
      <c r="L614" s="30">
        <v>900</v>
      </c>
      <c r="M614" s="23"/>
      <c r="N614" s="24"/>
      <c r="O614" s="27">
        <f>SUM(J612:K639)</f>
        <v>642600</v>
      </c>
      <c r="U614" s="33"/>
    </row>
    <row r="615" spans="1:21" s="13" customFormat="1" ht="16.5" customHeight="1" x14ac:dyDescent="0.45">
      <c r="A615" s="14">
        <v>614</v>
      </c>
      <c r="B615" s="14">
        <v>4</v>
      </c>
      <c r="C615" s="52">
        <v>1</v>
      </c>
      <c r="D615" s="53">
        <v>5</v>
      </c>
      <c r="E615" s="54">
        <v>19</v>
      </c>
      <c r="F615" s="18" t="s">
        <v>306</v>
      </c>
      <c r="G615" s="19" t="s">
        <v>14</v>
      </c>
      <c r="H615" s="20" t="s">
        <v>470</v>
      </c>
      <c r="I615" s="28" t="s">
        <v>16</v>
      </c>
      <c r="J615" s="29">
        <v>18900</v>
      </c>
      <c r="K615" s="143"/>
      <c r="L615" s="30">
        <v>900</v>
      </c>
      <c r="M615" s="23"/>
      <c r="N615" s="24"/>
      <c r="O615" s="27">
        <f>SUM(L612:L639)</f>
        <v>30600</v>
      </c>
      <c r="U615" s="33"/>
    </row>
    <row r="616" spans="1:21" s="13" customFormat="1" ht="16.5" customHeight="1" x14ac:dyDescent="0.45">
      <c r="A616" s="14">
        <v>615</v>
      </c>
      <c r="B616" s="14">
        <v>5</v>
      </c>
      <c r="C616" s="52">
        <v>1</v>
      </c>
      <c r="D616" s="53">
        <v>8</v>
      </c>
      <c r="E616" s="54">
        <v>11</v>
      </c>
      <c r="F616" s="18" t="s">
        <v>237</v>
      </c>
      <c r="G616" s="19" t="s">
        <v>14</v>
      </c>
      <c r="H616" s="20" t="s">
        <v>470</v>
      </c>
      <c r="I616" s="18" t="s">
        <v>60</v>
      </c>
      <c r="J616" s="21">
        <v>25200</v>
      </c>
      <c r="K616" s="76"/>
      <c r="L616" s="22">
        <v>1200</v>
      </c>
      <c r="M616" s="23"/>
      <c r="N616" s="24"/>
      <c r="O616" s="27">
        <f>SUM(O614:O615)</f>
        <v>673200</v>
      </c>
      <c r="U616" s="33"/>
    </row>
    <row r="617" spans="1:21" s="13" customFormat="1" ht="16.5" customHeight="1" x14ac:dyDescent="0.45">
      <c r="A617" s="14">
        <v>616</v>
      </c>
      <c r="B617" s="14">
        <v>6</v>
      </c>
      <c r="C617" s="52">
        <v>1</v>
      </c>
      <c r="D617" s="53">
        <v>8</v>
      </c>
      <c r="E617" s="54">
        <v>20</v>
      </c>
      <c r="F617" s="18" t="s">
        <v>471</v>
      </c>
      <c r="G617" s="19" t="s">
        <v>14</v>
      </c>
      <c r="H617" s="20" t="s">
        <v>472</v>
      </c>
      <c r="I617" s="18" t="s">
        <v>60</v>
      </c>
      <c r="J617" s="21">
        <v>25200</v>
      </c>
      <c r="K617" s="76"/>
      <c r="L617" s="22">
        <v>1200</v>
      </c>
      <c r="M617" s="23"/>
      <c r="N617" s="24"/>
      <c r="U617" s="33"/>
    </row>
    <row r="618" spans="1:21" s="13" customFormat="1" ht="16.5" customHeight="1" x14ac:dyDescent="0.45">
      <c r="A618" s="14">
        <v>617</v>
      </c>
      <c r="B618" s="14">
        <v>7</v>
      </c>
      <c r="C618" s="52">
        <v>1</v>
      </c>
      <c r="D618" s="53">
        <v>10</v>
      </c>
      <c r="E618" s="54">
        <v>5</v>
      </c>
      <c r="F618" s="18" t="s">
        <v>109</v>
      </c>
      <c r="G618" s="19" t="s">
        <v>14</v>
      </c>
      <c r="H618" s="20" t="s">
        <v>470</v>
      </c>
      <c r="I618" s="28" t="s">
        <v>16</v>
      </c>
      <c r="J618" s="29">
        <v>18900</v>
      </c>
      <c r="K618" s="143"/>
      <c r="L618" s="30">
        <v>900</v>
      </c>
      <c r="M618" s="23"/>
      <c r="N618" s="24"/>
      <c r="U618" s="33"/>
    </row>
    <row r="619" spans="1:21" s="13" customFormat="1" ht="16.5" customHeight="1" x14ac:dyDescent="0.45">
      <c r="A619" s="14">
        <v>618</v>
      </c>
      <c r="B619" s="14">
        <v>8</v>
      </c>
      <c r="C619" s="52">
        <v>2</v>
      </c>
      <c r="D619" s="53">
        <v>1</v>
      </c>
      <c r="E619" s="54">
        <v>17</v>
      </c>
      <c r="F619" s="18" t="s">
        <v>242</v>
      </c>
      <c r="G619" s="19" t="s">
        <v>14</v>
      </c>
      <c r="H619" s="20" t="s">
        <v>470</v>
      </c>
      <c r="I619" s="18" t="s">
        <v>60</v>
      </c>
      <c r="J619" s="21">
        <v>25200</v>
      </c>
      <c r="K619" s="76"/>
      <c r="L619" s="22">
        <v>1200</v>
      </c>
      <c r="M619" s="23"/>
      <c r="N619" s="24"/>
      <c r="U619" s="33"/>
    </row>
    <row r="620" spans="1:21" s="13" customFormat="1" ht="16.5" customHeight="1" x14ac:dyDescent="0.45">
      <c r="A620" s="14">
        <v>619</v>
      </c>
      <c r="B620" s="14">
        <v>9</v>
      </c>
      <c r="C620" s="52">
        <v>2</v>
      </c>
      <c r="D620" s="53">
        <v>2</v>
      </c>
      <c r="E620" s="54">
        <v>11</v>
      </c>
      <c r="F620" s="18" t="s">
        <v>243</v>
      </c>
      <c r="G620" s="19" t="s">
        <v>14</v>
      </c>
      <c r="H620" s="20" t="s">
        <v>470</v>
      </c>
      <c r="I620" s="18" t="s">
        <v>60</v>
      </c>
      <c r="J620" s="21">
        <v>25200</v>
      </c>
      <c r="K620" s="76"/>
      <c r="L620" s="22">
        <v>1200</v>
      </c>
      <c r="M620" s="23"/>
      <c r="N620" s="24"/>
      <c r="U620" s="33"/>
    </row>
    <row r="621" spans="1:21" s="13" customFormat="1" ht="16.5" customHeight="1" x14ac:dyDescent="0.45">
      <c r="A621" s="14">
        <v>620</v>
      </c>
      <c r="B621" s="14">
        <v>10</v>
      </c>
      <c r="C621" s="52">
        <v>2</v>
      </c>
      <c r="D621" s="53">
        <v>5</v>
      </c>
      <c r="E621" s="54">
        <v>22</v>
      </c>
      <c r="F621" s="18" t="s">
        <v>162</v>
      </c>
      <c r="G621" s="19" t="s">
        <v>14</v>
      </c>
      <c r="H621" s="20" t="s">
        <v>470</v>
      </c>
      <c r="I621" s="18" t="s">
        <v>60</v>
      </c>
      <c r="J621" s="21">
        <v>25200</v>
      </c>
      <c r="K621" s="76"/>
      <c r="L621" s="22">
        <v>1200</v>
      </c>
      <c r="M621" s="23"/>
      <c r="N621" s="24"/>
      <c r="O621" s="13">
        <v>25200</v>
      </c>
      <c r="P621" s="13">
        <v>1200</v>
      </c>
      <c r="Q621" s="13">
        <v>26400</v>
      </c>
      <c r="U621" s="33"/>
    </row>
    <row r="622" spans="1:21" s="13" customFormat="1" ht="16.5" customHeight="1" x14ac:dyDescent="0.45">
      <c r="A622" s="14">
        <v>621</v>
      </c>
      <c r="B622" s="14">
        <v>11</v>
      </c>
      <c r="C622" s="52">
        <v>2</v>
      </c>
      <c r="D622" s="53">
        <v>8</v>
      </c>
      <c r="E622" s="54">
        <v>9</v>
      </c>
      <c r="F622" s="18" t="s">
        <v>473</v>
      </c>
      <c r="G622" s="19" t="s">
        <v>14</v>
      </c>
      <c r="H622" s="20" t="s">
        <v>470</v>
      </c>
      <c r="I622" s="18" t="s">
        <v>60</v>
      </c>
      <c r="J622" s="21">
        <v>25200</v>
      </c>
      <c r="K622" s="76"/>
      <c r="L622" s="22">
        <v>1200</v>
      </c>
      <c r="M622" s="23"/>
      <c r="N622" s="24"/>
      <c r="O622" s="13">
        <f>O621*28</f>
        <v>705600</v>
      </c>
      <c r="P622" s="13">
        <f t="shared" ref="P622:Q622" si="76">P621*28</f>
        <v>33600</v>
      </c>
      <c r="Q622" s="13">
        <f t="shared" si="76"/>
        <v>739200</v>
      </c>
      <c r="U622" s="33"/>
    </row>
    <row r="623" spans="1:21" s="13" customFormat="1" ht="16.5" customHeight="1" x14ac:dyDescent="0.45">
      <c r="A623" s="14">
        <v>622</v>
      </c>
      <c r="B623" s="14">
        <v>12</v>
      </c>
      <c r="C623" s="52">
        <v>2</v>
      </c>
      <c r="D623" s="53">
        <v>9</v>
      </c>
      <c r="E623" s="54">
        <v>22</v>
      </c>
      <c r="F623" s="18" t="s">
        <v>474</v>
      </c>
      <c r="G623" s="19" t="s">
        <v>14</v>
      </c>
      <c r="H623" s="20" t="s">
        <v>470</v>
      </c>
      <c r="I623" s="18" t="s">
        <v>60</v>
      </c>
      <c r="J623" s="21">
        <v>25200</v>
      </c>
      <c r="K623" s="76"/>
      <c r="L623" s="22">
        <v>1200</v>
      </c>
      <c r="M623" s="23"/>
      <c r="N623" s="24"/>
      <c r="O623" s="13">
        <v>-63000</v>
      </c>
      <c r="P623" s="13">
        <v>-3000</v>
      </c>
      <c r="Q623" s="13">
        <v>-66000</v>
      </c>
      <c r="U623" s="33"/>
    </row>
    <row r="624" spans="1:21" s="13" customFormat="1" ht="16.5" customHeight="1" x14ac:dyDescent="0.45">
      <c r="A624" s="14">
        <v>623</v>
      </c>
      <c r="B624" s="14">
        <v>13</v>
      </c>
      <c r="C624" s="52">
        <v>2</v>
      </c>
      <c r="D624" s="53">
        <v>10</v>
      </c>
      <c r="E624" s="54">
        <v>21</v>
      </c>
      <c r="F624" s="18" t="s">
        <v>149</v>
      </c>
      <c r="G624" s="19" t="s">
        <v>14</v>
      </c>
      <c r="H624" s="20" t="s">
        <v>470</v>
      </c>
      <c r="I624" s="18" t="s">
        <v>60</v>
      </c>
      <c r="J624" s="21">
        <v>25200</v>
      </c>
      <c r="K624" s="76"/>
      <c r="L624" s="22">
        <v>1200</v>
      </c>
      <c r="M624" s="23"/>
      <c r="N624" s="24"/>
      <c r="O624" s="13">
        <f>SUM(O622:O623)</f>
        <v>642600</v>
      </c>
      <c r="P624" s="13">
        <f t="shared" ref="P624:Q624" si="77">SUM(P622:P623)</f>
        <v>30600</v>
      </c>
      <c r="Q624" s="13">
        <f t="shared" si="77"/>
        <v>673200</v>
      </c>
      <c r="U624" s="33"/>
    </row>
    <row r="625" spans="1:21" s="13" customFormat="1" ht="16.5" customHeight="1" x14ac:dyDescent="0.45">
      <c r="A625" s="14">
        <v>624</v>
      </c>
      <c r="B625" s="14">
        <v>14</v>
      </c>
      <c r="C625" s="52">
        <v>2</v>
      </c>
      <c r="D625" s="53">
        <v>11</v>
      </c>
      <c r="E625" s="54">
        <v>19</v>
      </c>
      <c r="F625" s="18" t="s">
        <v>362</v>
      </c>
      <c r="G625" s="19" t="s">
        <v>14</v>
      </c>
      <c r="H625" s="20" t="s">
        <v>470</v>
      </c>
      <c r="I625" s="18" t="s">
        <v>60</v>
      </c>
      <c r="J625" s="21">
        <v>25200</v>
      </c>
      <c r="K625" s="76"/>
      <c r="L625" s="22">
        <v>1200</v>
      </c>
      <c r="M625" s="23"/>
      <c r="N625" s="24"/>
      <c r="U625" s="33"/>
    </row>
    <row r="626" spans="1:21" s="13" customFormat="1" ht="16.5" customHeight="1" x14ac:dyDescent="0.45">
      <c r="A626" s="14">
        <v>625</v>
      </c>
      <c r="B626" s="14">
        <v>15</v>
      </c>
      <c r="C626" s="52">
        <v>3</v>
      </c>
      <c r="D626" s="53">
        <v>4</v>
      </c>
      <c r="E626" s="54">
        <v>1</v>
      </c>
      <c r="F626" s="18" t="s">
        <v>74</v>
      </c>
      <c r="G626" s="19" t="s">
        <v>14</v>
      </c>
      <c r="H626" s="20" t="s">
        <v>470</v>
      </c>
      <c r="I626" s="18" t="s">
        <v>60</v>
      </c>
      <c r="J626" s="21">
        <v>25200</v>
      </c>
      <c r="K626" s="76"/>
      <c r="L626" s="22">
        <v>1200</v>
      </c>
      <c r="M626" s="23"/>
      <c r="N626" s="24"/>
      <c r="O626" s="13">
        <v>25200</v>
      </c>
      <c r="P626" s="13">
        <v>1200</v>
      </c>
      <c r="Q626" s="13">
        <v>26400</v>
      </c>
      <c r="U626" s="33"/>
    </row>
    <row r="627" spans="1:21" s="13" customFormat="1" ht="16.5" customHeight="1" x14ac:dyDescent="0.45">
      <c r="A627" s="14">
        <v>626</v>
      </c>
      <c r="B627" s="14">
        <v>16</v>
      </c>
      <c r="C627" s="52">
        <v>3</v>
      </c>
      <c r="D627" s="53">
        <v>6</v>
      </c>
      <c r="E627" s="54">
        <v>6</v>
      </c>
      <c r="F627" s="18" t="s">
        <v>366</v>
      </c>
      <c r="G627" s="19" t="s">
        <v>14</v>
      </c>
      <c r="H627" s="20" t="s">
        <v>472</v>
      </c>
      <c r="I627" s="28" t="s">
        <v>16</v>
      </c>
      <c r="J627" s="29">
        <v>18900</v>
      </c>
      <c r="K627" s="143"/>
      <c r="L627" s="30">
        <v>900</v>
      </c>
      <c r="M627" s="23"/>
      <c r="N627" s="24"/>
      <c r="O627" s="13">
        <f>O626*28</f>
        <v>705600</v>
      </c>
      <c r="P627" s="13">
        <f t="shared" ref="P627:Q627" si="78">P626*28</f>
        <v>33600</v>
      </c>
      <c r="Q627" s="13">
        <f t="shared" si="78"/>
        <v>739200</v>
      </c>
      <c r="U627" s="33"/>
    </row>
    <row r="628" spans="1:21" s="13" customFormat="1" ht="16.5" customHeight="1" x14ac:dyDescent="0.45">
      <c r="A628" s="14">
        <v>627</v>
      </c>
      <c r="B628" s="14">
        <v>17</v>
      </c>
      <c r="C628" s="52">
        <v>3</v>
      </c>
      <c r="D628" s="53">
        <v>6</v>
      </c>
      <c r="E628" s="54">
        <v>21</v>
      </c>
      <c r="F628" s="18" t="s">
        <v>440</v>
      </c>
      <c r="G628" s="19" t="s">
        <v>14</v>
      </c>
      <c r="H628" s="20" t="s">
        <v>470</v>
      </c>
      <c r="I628" s="18" t="s">
        <v>60</v>
      </c>
      <c r="J628" s="21">
        <v>25200</v>
      </c>
      <c r="K628" s="76"/>
      <c r="L628" s="22">
        <v>1200</v>
      </c>
      <c r="M628" s="23"/>
      <c r="N628" s="24"/>
      <c r="U628" s="33"/>
    </row>
    <row r="629" spans="1:21" s="13" customFormat="1" ht="16.5" customHeight="1" x14ac:dyDescent="0.45">
      <c r="A629" s="14">
        <v>628</v>
      </c>
      <c r="B629" s="14">
        <v>18</v>
      </c>
      <c r="C629" s="52">
        <v>3</v>
      </c>
      <c r="D629" s="53">
        <v>7</v>
      </c>
      <c r="E629" s="54">
        <v>16</v>
      </c>
      <c r="F629" s="18" t="s">
        <v>293</v>
      </c>
      <c r="G629" s="19" t="s">
        <v>14</v>
      </c>
      <c r="H629" s="20" t="s">
        <v>470</v>
      </c>
      <c r="I629" s="18" t="s">
        <v>60</v>
      </c>
      <c r="J629" s="21">
        <v>25200</v>
      </c>
      <c r="K629" s="76"/>
      <c r="L629" s="22">
        <v>1200</v>
      </c>
      <c r="M629" s="23"/>
      <c r="N629" s="24"/>
      <c r="O629" s="13">
        <v>18900</v>
      </c>
      <c r="P629" s="13">
        <v>900</v>
      </c>
      <c r="Q629" s="13">
        <v>19800</v>
      </c>
      <c r="U629" s="33"/>
    </row>
    <row r="630" spans="1:21" s="13" customFormat="1" ht="16.5" customHeight="1" x14ac:dyDescent="0.45">
      <c r="A630" s="14">
        <v>629</v>
      </c>
      <c r="B630" s="14">
        <v>19</v>
      </c>
      <c r="C630" s="52">
        <v>3</v>
      </c>
      <c r="D630" s="53">
        <v>8</v>
      </c>
      <c r="E630" s="54">
        <v>21</v>
      </c>
      <c r="F630" s="18" t="s">
        <v>464</v>
      </c>
      <c r="G630" s="19" t="s">
        <v>14</v>
      </c>
      <c r="H630" s="20" t="s">
        <v>470</v>
      </c>
      <c r="I630" s="18" t="s">
        <v>60</v>
      </c>
      <c r="J630" s="21">
        <v>25200</v>
      </c>
      <c r="K630" s="76"/>
      <c r="L630" s="22">
        <v>1200</v>
      </c>
      <c r="M630" s="23"/>
      <c r="N630" s="24"/>
      <c r="O630" s="13">
        <f>O629*28</f>
        <v>529200</v>
      </c>
      <c r="P630" s="13">
        <f t="shared" ref="P630:Q630" si="79">P629*28</f>
        <v>25200</v>
      </c>
      <c r="Q630" s="13">
        <f t="shared" si="79"/>
        <v>554400</v>
      </c>
      <c r="U630" s="33"/>
    </row>
    <row r="631" spans="1:21" s="13" customFormat="1" ht="16.5" customHeight="1" x14ac:dyDescent="0.45">
      <c r="A631" s="14">
        <v>630</v>
      </c>
      <c r="B631" s="14">
        <v>20</v>
      </c>
      <c r="C631" s="52">
        <v>3</v>
      </c>
      <c r="D631" s="53">
        <v>9</v>
      </c>
      <c r="E631" s="54">
        <v>3</v>
      </c>
      <c r="F631" s="18" t="s">
        <v>475</v>
      </c>
      <c r="G631" s="19" t="s">
        <v>14</v>
      </c>
      <c r="H631" s="20" t="s">
        <v>470</v>
      </c>
      <c r="I631" s="18" t="s">
        <v>60</v>
      </c>
      <c r="J631" s="21">
        <v>25200</v>
      </c>
      <c r="K631" s="76"/>
      <c r="L631" s="22">
        <v>1200</v>
      </c>
      <c r="M631" s="23"/>
      <c r="N631" s="24"/>
      <c r="U631" s="33"/>
    </row>
    <row r="632" spans="1:21" s="13" customFormat="1" ht="16.5" customHeight="1" x14ac:dyDescent="0.45">
      <c r="A632" s="14">
        <v>631</v>
      </c>
      <c r="B632" s="14">
        <v>21</v>
      </c>
      <c r="C632" s="52">
        <v>1</v>
      </c>
      <c r="D632" s="53">
        <v>3</v>
      </c>
      <c r="E632" s="54">
        <v>10</v>
      </c>
      <c r="F632" s="18" t="s">
        <v>169</v>
      </c>
      <c r="G632" s="19" t="s">
        <v>14</v>
      </c>
      <c r="H632" s="20" t="s">
        <v>476</v>
      </c>
      <c r="I632" s="28" t="s">
        <v>16</v>
      </c>
      <c r="J632" s="29">
        <v>18900</v>
      </c>
      <c r="K632" s="143"/>
      <c r="L632" s="30">
        <v>900</v>
      </c>
      <c r="M632" s="23"/>
      <c r="N632" s="24"/>
      <c r="U632" s="33"/>
    </row>
    <row r="633" spans="1:21" s="13" customFormat="1" ht="16.5" customHeight="1" x14ac:dyDescent="0.45">
      <c r="A633" s="14">
        <v>632</v>
      </c>
      <c r="B633" s="14">
        <v>22</v>
      </c>
      <c r="C633" s="52">
        <v>1</v>
      </c>
      <c r="D633" s="53">
        <v>3</v>
      </c>
      <c r="E633" s="54">
        <v>12</v>
      </c>
      <c r="F633" s="18" t="s">
        <v>200</v>
      </c>
      <c r="G633" s="19" t="s">
        <v>14</v>
      </c>
      <c r="H633" s="20" t="s">
        <v>476</v>
      </c>
      <c r="I633" s="28" t="s">
        <v>16</v>
      </c>
      <c r="J633" s="29">
        <v>18900</v>
      </c>
      <c r="K633" s="143"/>
      <c r="L633" s="30">
        <v>900</v>
      </c>
      <c r="M633" s="23"/>
      <c r="N633" s="24"/>
      <c r="O633" s="13">
        <f>SUM(O624,O627,O630)</f>
        <v>1877400</v>
      </c>
      <c r="P633" s="13">
        <f t="shared" ref="P633:Q633" si="80">SUM(P624,P627,P630)</f>
        <v>89400</v>
      </c>
      <c r="Q633" s="13">
        <f t="shared" si="80"/>
        <v>1966800</v>
      </c>
      <c r="U633" s="33"/>
    </row>
    <row r="634" spans="1:21" s="13" customFormat="1" ht="16.5" customHeight="1" x14ac:dyDescent="0.45">
      <c r="A634" s="14">
        <v>633</v>
      </c>
      <c r="B634" s="14">
        <v>23</v>
      </c>
      <c r="C634" s="52">
        <v>1</v>
      </c>
      <c r="D634" s="53">
        <v>8</v>
      </c>
      <c r="E634" s="54">
        <v>10</v>
      </c>
      <c r="F634" s="18" t="s">
        <v>82</v>
      </c>
      <c r="G634" s="19" t="s">
        <v>14</v>
      </c>
      <c r="H634" s="20" t="s">
        <v>476</v>
      </c>
      <c r="I634" s="18" t="s">
        <v>60</v>
      </c>
      <c r="J634" s="21">
        <v>25200</v>
      </c>
      <c r="K634" s="76"/>
      <c r="L634" s="22">
        <v>1200</v>
      </c>
      <c r="M634" s="23"/>
      <c r="N634" s="24"/>
      <c r="U634" s="33"/>
    </row>
    <row r="635" spans="1:21" s="13" customFormat="1" ht="16.5" customHeight="1" x14ac:dyDescent="0.45">
      <c r="A635" s="14">
        <v>634</v>
      </c>
      <c r="B635" s="14">
        <v>24</v>
      </c>
      <c r="C635" s="52">
        <v>2</v>
      </c>
      <c r="D635" s="53">
        <v>7</v>
      </c>
      <c r="E635" s="54">
        <v>4</v>
      </c>
      <c r="F635" s="18" t="s">
        <v>121</v>
      </c>
      <c r="G635" s="19" t="s">
        <v>14</v>
      </c>
      <c r="H635" s="20" t="s">
        <v>476</v>
      </c>
      <c r="I635" s="18" t="s">
        <v>60</v>
      </c>
      <c r="J635" s="21">
        <v>25200</v>
      </c>
      <c r="K635" s="76"/>
      <c r="L635" s="22">
        <v>1200</v>
      </c>
      <c r="M635" s="23"/>
      <c r="N635" s="24"/>
      <c r="S635" s="34">
        <f>SUM(O624,O627,O630)</f>
        <v>1877400</v>
      </c>
      <c r="T635" s="34">
        <f>SUM(P624,P627,P630)</f>
        <v>89400</v>
      </c>
      <c r="U635" s="34">
        <f>SUM(Q624,Q627,Q630)</f>
        <v>1966800</v>
      </c>
    </row>
    <row r="636" spans="1:21" s="13" customFormat="1" ht="16.5" customHeight="1" x14ac:dyDescent="0.45">
      <c r="A636" s="14">
        <v>635</v>
      </c>
      <c r="B636" s="14">
        <v>25</v>
      </c>
      <c r="C636" s="52">
        <v>3</v>
      </c>
      <c r="D636" s="53">
        <v>3</v>
      </c>
      <c r="E636" s="54">
        <v>26</v>
      </c>
      <c r="F636" s="18" t="s">
        <v>431</v>
      </c>
      <c r="G636" s="19" t="s">
        <v>14</v>
      </c>
      <c r="H636" s="20" t="s">
        <v>476</v>
      </c>
      <c r="I636" s="28" t="s">
        <v>16</v>
      </c>
      <c r="J636" s="29">
        <v>18900</v>
      </c>
      <c r="K636" s="143"/>
      <c r="L636" s="30">
        <v>900</v>
      </c>
      <c r="M636" s="23"/>
      <c r="N636" s="24"/>
      <c r="U636" s="33"/>
    </row>
    <row r="637" spans="1:21" s="13" customFormat="1" ht="16.5" customHeight="1" x14ac:dyDescent="0.45">
      <c r="A637" s="14">
        <v>636</v>
      </c>
      <c r="B637" s="14">
        <v>26</v>
      </c>
      <c r="C637" s="52">
        <v>4</v>
      </c>
      <c r="D637" s="53">
        <v>7</v>
      </c>
      <c r="E637" s="54">
        <v>15</v>
      </c>
      <c r="F637" s="18" t="s">
        <v>477</v>
      </c>
      <c r="G637" s="19" t="s">
        <v>14</v>
      </c>
      <c r="H637" s="20" t="s">
        <v>476</v>
      </c>
      <c r="I637" s="28" t="s">
        <v>16</v>
      </c>
      <c r="J637" s="29">
        <v>18900</v>
      </c>
      <c r="K637" s="143"/>
      <c r="L637" s="30">
        <v>900</v>
      </c>
      <c r="M637" s="23"/>
      <c r="N637" s="24"/>
      <c r="U637" s="33"/>
    </row>
    <row r="638" spans="1:21" s="13" customFormat="1" ht="16.5" customHeight="1" x14ac:dyDescent="0.45">
      <c r="A638" s="14">
        <v>637</v>
      </c>
      <c r="B638" s="14">
        <v>27</v>
      </c>
      <c r="C638" s="52">
        <v>5</v>
      </c>
      <c r="D638" s="53">
        <v>4</v>
      </c>
      <c r="E638" s="54">
        <v>5</v>
      </c>
      <c r="F638" s="89" t="s">
        <v>254</v>
      </c>
      <c r="G638" s="57" t="s">
        <v>14</v>
      </c>
      <c r="H638" s="58" t="s">
        <v>476</v>
      </c>
      <c r="I638" s="18" t="s">
        <v>60</v>
      </c>
      <c r="J638" s="21">
        <v>25200</v>
      </c>
      <c r="K638" s="76"/>
      <c r="L638" s="22">
        <v>1200</v>
      </c>
      <c r="M638" s="23"/>
      <c r="N638" s="24"/>
      <c r="U638" s="33"/>
    </row>
    <row r="639" spans="1:21" s="13" customFormat="1" ht="16.5" customHeight="1" x14ac:dyDescent="0.45">
      <c r="A639" s="14">
        <v>638</v>
      </c>
      <c r="B639" s="14">
        <v>28</v>
      </c>
      <c r="C639" s="52">
        <v>5</v>
      </c>
      <c r="D639" s="53">
        <v>7</v>
      </c>
      <c r="E639" s="54">
        <v>9</v>
      </c>
      <c r="F639" s="89" t="s">
        <v>233</v>
      </c>
      <c r="G639" s="57" t="s">
        <v>14</v>
      </c>
      <c r="H639" s="58" t="s">
        <v>476</v>
      </c>
      <c r="I639" s="18" t="s">
        <v>60</v>
      </c>
      <c r="J639" s="21">
        <v>25200</v>
      </c>
      <c r="K639" s="144"/>
      <c r="L639" s="22">
        <v>1200</v>
      </c>
      <c r="M639" s="23"/>
      <c r="N639" s="24"/>
      <c r="U639" s="33"/>
    </row>
    <row r="640" spans="1:21" s="13" customFormat="1" ht="16.5" customHeight="1" x14ac:dyDescent="0.45">
      <c r="A640" s="14">
        <v>639</v>
      </c>
      <c r="B640" s="35">
        <v>1</v>
      </c>
      <c r="C640" s="49">
        <v>1</v>
      </c>
      <c r="D640" s="50">
        <v>1</v>
      </c>
      <c r="E640" s="51">
        <v>2</v>
      </c>
      <c r="F640" s="87" t="s">
        <v>478</v>
      </c>
      <c r="G640" s="55" t="s">
        <v>14</v>
      </c>
      <c r="H640" s="56" t="s">
        <v>479</v>
      </c>
      <c r="I640" s="39" t="s">
        <v>60</v>
      </c>
      <c r="J640" s="44">
        <v>25200</v>
      </c>
      <c r="K640" s="145"/>
      <c r="L640" s="44">
        <v>1200</v>
      </c>
      <c r="M640" s="45">
        <f>SUM(J640:K679)</f>
        <v>869400</v>
      </c>
      <c r="N640" s="24"/>
      <c r="U640" s="33"/>
    </row>
    <row r="641" spans="1:21" s="13" customFormat="1" ht="16.5" customHeight="1" x14ac:dyDescent="0.45">
      <c r="A641" s="14">
        <v>640</v>
      </c>
      <c r="B641" s="14">
        <v>2</v>
      </c>
      <c r="C641" s="52">
        <v>1</v>
      </c>
      <c r="D641" s="53">
        <v>1</v>
      </c>
      <c r="E641" s="54">
        <v>12</v>
      </c>
      <c r="F641" s="89" t="s">
        <v>235</v>
      </c>
      <c r="G641" s="57" t="s">
        <v>14</v>
      </c>
      <c r="H641" s="58" t="s">
        <v>479</v>
      </c>
      <c r="I641" s="18" t="s">
        <v>60</v>
      </c>
      <c r="J641" s="22">
        <v>25200</v>
      </c>
      <c r="K641" s="146"/>
      <c r="L641" s="22">
        <v>1200</v>
      </c>
      <c r="M641" s="23"/>
      <c r="N641" s="24"/>
      <c r="U641" s="33"/>
    </row>
    <row r="642" spans="1:21" s="13" customFormat="1" ht="16.5" customHeight="1" x14ac:dyDescent="0.45">
      <c r="A642" s="14">
        <v>641</v>
      </c>
      <c r="B642" s="14">
        <v>3</v>
      </c>
      <c r="C642" s="52">
        <v>1</v>
      </c>
      <c r="D642" s="53">
        <v>6</v>
      </c>
      <c r="E642" s="54">
        <v>15</v>
      </c>
      <c r="F642" s="18" t="s">
        <v>217</v>
      </c>
      <c r="G642" s="19" t="s">
        <v>14</v>
      </c>
      <c r="H642" s="20" t="s">
        <v>479</v>
      </c>
      <c r="I642" s="18" t="s">
        <v>60</v>
      </c>
      <c r="J642" s="22">
        <v>25200</v>
      </c>
      <c r="K642" s="146"/>
      <c r="L642" s="22">
        <v>1200</v>
      </c>
      <c r="M642" s="23"/>
      <c r="N642" s="24"/>
      <c r="U642" s="33"/>
    </row>
    <row r="643" spans="1:21" s="13" customFormat="1" ht="16.5" customHeight="1" x14ac:dyDescent="0.45">
      <c r="A643" s="14">
        <v>642</v>
      </c>
      <c r="B643" s="14">
        <v>4</v>
      </c>
      <c r="C643" s="52">
        <v>1</v>
      </c>
      <c r="D643" s="53">
        <v>6</v>
      </c>
      <c r="E643" s="54">
        <v>19</v>
      </c>
      <c r="F643" s="18" t="s">
        <v>20</v>
      </c>
      <c r="G643" s="19" t="s">
        <v>14</v>
      </c>
      <c r="H643" s="20" t="s">
        <v>479</v>
      </c>
      <c r="I643" s="28" t="s">
        <v>296</v>
      </c>
      <c r="J643" s="30">
        <v>6300</v>
      </c>
      <c r="K643" s="147"/>
      <c r="L643" s="30">
        <v>300</v>
      </c>
      <c r="M643" s="23"/>
      <c r="N643" s="24"/>
      <c r="O643" s="27">
        <f>SUM(J640:K679)</f>
        <v>869400</v>
      </c>
      <c r="U643" s="33"/>
    </row>
    <row r="644" spans="1:21" s="13" customFormat="1" ht="16.5" customHeight="1" x14ac:dyDescent="0.45">
      <c r="A644" s="14">
        <v>643</v>
      </c>
      <c r="B644" s="14">
        <v>5</v>
      </c>
      <c r="C644" s="52">
        <v>1</v>
      </c>
      <c r="D644" s="53">
        <v>9</v>
      </c>
      <c r="E644" s="54">
        <v>14</v>
      </c>
      <c r="F644" s="18" t="s">
        <v>374</v>
      </c>
      <c r="G644" s="19" t="s">
        <v>14</v>
      </c>
      <c r="H644" s="20" t="s">
        <v>479</v>
      </c>
      <c r="I644" s="28" t="s">
        <v>16</v>
      </c>
      <c r="J644" s="30">
        <v>18900</v>
      </c>
      <c r="K644" s="148"/>
      <c r="L644" s="30">
        <v>900</v>
      </c>
      <c r="M644" s="23"/>
      <c r="N644" s="24"/>
      <c r="O644" s="27">
        <f>SUM(L640:L679)</f>
        <v>41400</v>
      </c>
      <c r="U644" s="33"/>
    </row>
    <row r="645" spans="1:21" s="13" customFormat="1" ht="16.5" customHeight="1" x14ac:dyDescent="0.45">
      <c r="A645" s="14">
        <v>644</v>
      </c>
      <c r="B645" s="14">
        <v>6</v>
      </c>
      <c r="C645" s="52">
        <v>1</v>
      </c>
      <c r="D645" s="53">
        <v>11</v>
      </c>
      <c r="E645" s="54">
        <v>2</v>
      </c>
      <c r="F645" s="18" t="s">
        <v>309</v>
      </c>
      <c r="G645" s="19" t="s">
        <v>14</v>
      </c>
      <c r="H645" s="20" t="s">
        <v>479</v>
      </c>
      <c r="I645" s="28" t="s">
        <v>16</v>
      </c>
      <c r="J645" s="30">
        <v>18900</v>
      </c>
      <c r="K645" s="148"/>
      <c r="L645" s="30">
        <v>900</v>
      </c>
      <c r="M645" s="23"/>
      <c r="N645" s="24"/>
      <c r="O645" s="27">
        <f>SUM(O643:O644)</f>
        <v>910800</v>
      </c>
      <c r="U645" s="33"/>
    </row>
    <row r="646" spans="1:21" s="13" customFormat="1" ht="16.5" customHeight="1" x14ac:dyDescent="0.45">
      <c r="A646" s="14">
        <v>645</v>
      </c>
      <c r="B646" s="14">
        <v>7</v>
      </c>
      <c r="C646" s="52">
        <v>1</v>
      </c>
      <c r="D646" s="53">
        <v>11</v>
      </c>
      <c r="E646" s="54">
        <v>18</v>
      </c>
      <c r="F646" s="18" t="s">
        <v>191</v>
      </c>
      <c r="G646" s="19" t="s">
        <v>14</v>
      </c>
      <c r="H646" s="20" t="s">
        <v>480</v>
      </c>
      <c r="I646" s="18" t="s">
        <v>60</v>
      </c>
      <c r="J646" s="22">
        <v>25200</v>
      </c>
      <c r="K646" s="146"/>
      <c r="L646" s="22">
        <v>1200</v>
      </c>
      <c r="M646" s="23"/>
      <c r="N646" s="24"/>
      <c r="U646" s="33"/>
    </row>
    <row r="647" spans="1:21" s="13" customFormat="1" ht="16.5" customHeight="1" x14ac:dyDescent="0.45">
      <c r="A647" s="14">
        <v>646</v>
      </c>
      <c r="B647" s="14">
        <v>8</v>
      </c>
      <c r="C647" s="52">
        <v>1</v>
      </c>
      <c r="D647" s="53">
        <v>11</v>
      </c>
      <c r="E647" s="54">
        <v>19</v>
      </c>
      <c r="F647" s="18" t="s">
        <v>115</v>
      </c>
      <c r="G647" s="19" t="s">
        <v>14</v>
      </c>
      <c r="H647" s="20" t="s">
        <v>479</v>
      </c>
      <c r="I647" s="18" t="s">
        <v>60</v>
      </c>
      <c r="J647" s="22">
        <v>25200</v>
      </c>
      <c r="K647" s="146"/>
      <c r="L647" s="22">
        <v>1200</v>
      </c>
      <c r="M647" s="23"/>
      <c r="N647" s="24"/>
      <c r="U647" s="33"/>
    </row>
    <row r="648" spans="1:21" s="13" customFormat="1" ht="16.5" customHeight="1" x14ac:dyDescent="0.45">
      <c r="A648" s="14">
        <v>647</v>
      </c>
      <c r="B648" s="14">
        <v>9</v>
      </c>
      <c r="C648" s="52">
        <v>2</v>
      </c>
      <c r="D648" s="53">
        <v>4</v>
      </c>
      <c r="E648" s="54">
        <v>5</v>
      </c>
      <c r="F648" s="18" t="s">
        <v>284</v>
      </c>
      <c r="G648" s="19" t="s">
        <v>14</v>
      </c>
      <c r="H648" s="20" t="s">
        <v>479</v>
      </c>
      <c r="I648" s="18" t="s">
        <v>60</v>
      </c>
      <c r="J648" s="22">
        <v>25200</v>
      </c>
      <c r="K648" s="146"/>
      <c r="L648" s="22">
        <v>1200</v>
      </c>
      <c r="M648" s="23"/>
      <c r="N648" s="24"/>
      <c r="U648" s="33"/>
    </row>
    <row r="649" spans="1:21" s="13" customFormat="1" ht="16.5" customHeight="1" x14ac:dyDescent="0.45">
      <c r="A649" s="14">
        <v>648</v>
      </c>
      <c r="B649" s="14">
        <v>10</v>
      </c>
      <c r="C649" s="52">
        <v>2</v>
      </c>
      <c r="D649" s="53">
        <v>9</v>
      </c>
      <c r="E649" s="54">
        <v>2</v>
      </c>
      <c r="F649" s="18" t="s">
        <v>29</v>
      </c>
      <c r="G649" s="19" t="s">
        <v>14</v>
      </c>
      <c r="H649" s="20" t="s">
        <v>479</v>
      </c>
      <c r="I649" s="18" t="s">
        <v>60</v>
      </c>
      <c r="J649" s="22">
        <v>25200</v>
      </c>
      <c r="K649" s="146"/>
      <c r="L649" s="22">
        <v>1200</v>
      </c>
      <c r="M649" s="23"/>
      <c r="N649" s="24"/>
      <c r="O649" s="13">
        <v>25200</v>
      </c>
      <c r="P649" s="13">
        <v>1200</v>
      </c>
      <c r="Q649" s="13">
        <v>26400</v>
      </c>
      <c r="U649" s="33"/>
    </row>
    <row r="650" spans="1:21" s="13" customFormat="1" ht="16.5" customHeight="1" x14ac:dyDescent="0.45">
      <c r="A650" s="14">
        <v>649</v>
      </c>
      <c r="B650" s="14">
        <v>11</v>
      </c>
      <c r="C650" s="52">
        <v>2</v>
      </c>
      <c r="D650" s="53">
        <v>9</v>
      </c>
      <c r="E650" s="54">
        <v>11</v>
      </c>
      <c r="F650" s="18" t="s">
        <v>247</v>
      </c>
      <c r="G650" s="19" t="s">
        <v>14</v>
      </c>
      <c r="H650" s="20" t="s">
        <v>479</v>
      </c>
      <c r="I650" s="18" t="s">
        <v>60</v>
      </c>
      <c r="J650" s="22">
        <v>25200</v>
      </c>
      <c r="K650" s="146"/>
      <c r="L650" s="22">
        <v>1200</v>
      </c>
      <c r="M650" s="23"/>
      <c r="N650" s="24"/>
      <c r="O650" s="13">
        <f>O649*40</f>
        <v>1008000</v>
      </c>
      <c r="P650" s="13">
        <f t="shared" ref="P650:Q650" si="81">P649*40</f>
        <v>48000</v>
      </c>
      <c r="Q650" s="13">
        <f t="shared" si="81"/>
        <v>1056000</v>
      </c>
      <c r="U650" s="33"/>
    </row>
    <row r="651" spans="1:21" s="13" customFormat="1" ht="16.5" customHeight="1" x14ac:dyDescent="0.45">
      <c r="A651" s="14">
        <v>650</v>
      </c>
      <c r="B651" s="14">
        <v>12</v>
      </c>
      <c r="C651" s="52">
        <v>3</v>
      </c>
      <c r="D651" s="53">
        <v>4</v>
      </c>
      <c r="E651" s="54">
        <v>24</v>
      </c>
      <c r="F651" s="18" t="s">
        <v>381</v>
      </c>
      <c r="G651" s="19" t="s">
        <v>14</v>
      </c>
      <c r="H651" s="20" t="s">
        <v>479</v>
      </c>
      <c r="I651" s="18" t="s">
        <v>60</v>
      </c>
      <c r="J651" s="22">
        <v>25200</v>
      </c>
      <c r="K651" s="146"/>
      <c r="L651" s="22">
        <v>1200</v>
      </c>
      <c r="M651" s="23"/>
      <c r="N651" s="24"/>
      <c r="O651" s="13">
        <v>-138600</v>
      </c>
      <c r="P651" s="13">
        <v>-6600</v>
      </c>
      <c r="Q651" s="13">
        <v>-145200</v>
      </c>
      <c r="U651" s="33"/>
    </row>
    <row r="652" spans="1:21" s="13" customFormat="1" ht="16.5" customHeight="1" x14ac:dyDescent="0.45">
      <c r="A652" s="14">
        <v>651</v>
      </c>
      <c r="B652" s="14">
        <v>13</v>
      </c>
      <c r="C652" s="52">
        <v>3</v>
      </c>
      <c r="D652" s="53">
        <v>5</v>
      </c>
      <c r="E652" s="54">
        <v>1</v>
      </c>
      <c r="F652" s="18" t="s">
        <v>336</v>
      </c>
      <c r="G652" s="19" t="s">
        <v>14</v>
      </c>
      <c r="H652" s="20" t="s">
        <v>479</v>
      </c>
      <c r="I652" s="18" t="s">
        <v>60</v>
      </c>
      <c r="J652" s="22">
        <v>25200</v>
      </c>
      <c r="K652" s="146"/>
      <c r="L652" s="22">
        <v>1200</v>
      </c>
      <c r="M652" s="23"/>
      <c r="N652" s="24"/>
      <c r="O652" s="13">
        <f>SUM(O650:O651)</f>
        <v>869400</v>
      </c>
      <c r="P652" s="13">
        <f t="shared" ref="P652:Q652" si="82">SUM(P650:P651)</f>
        <v>41400</v>
      </c>
      <c r="Q652" s="13">
        <f t="shared" si="82"/>
        <v>910800</v>
      </c>
      <c r="U652" s="33"/>
    </row>
    <row r="653" spans="1:21" s="13" customFormat="1" ht="16.5" customHeight="1" x14ac:dyDescent="0.45">
      <c r="A653" s="14">
        <v>652</v>
      </c>
      <c r="B653" s="14">
        <v>14</v>
      </c>
      <c r="C653" s="52">
        <v>3</v>
      </c>
      <c r="D653" s="53">
        <v>9</v>
      </c>
      <c r="E653" s="54">
        <v>5</v>
      </c>
      <c r="F653" s="18" t="s">
        <v>36</v>
      </c>
      <c r="G653" s="19" t="s">
        <v>14</v>
      </c>
      <c r="H653" s="20" t="s">
        <v>479</v>
      </c>
      <c r="I653" s="18" t="s">
        <v>60</v>
      </c>
      <c r="J653" s="22">
        <v>25200</v>
      </c>
      <c r="K653" s="146"/>
      <c r="L653" s="22">
        <v>1200</v>
      </c>
      <c r="M653" s="23"/>
      <c r="N653" s="24"/>
      <c r="U653" s="33"/>
    </row>
    <row r="654" spans="1:21" s="13" customFormat="1" ht="16.5" customHeight="1" x14ac:dyDescent="0.45">
      <c r="A654" s="14">
        <v>653</v>
      </c>
      <c r="B654" s="14">
        <v>15</v>
      </c>
      <c r="C654" s="52">
        <v>4</v>
      </c>
      <c r="D654" s="53">
        <v>1</v>
      </c>
      <c r="E654" s="54">
        <v>13</v>
      </c>
      <c r="F654" s="18" t="s">
        <v>481</v>
      </c>
      <c r="G654" s="19" t="s">
        <v>14</v>
      </c>
      <c r="H654" s="20" t="s">
        <v>479</v>
      </c>
      <c r="I654" s="28" t="s">
        <v>16</v>
      </c>
      <c r="J654" s="30">
        <v>18900</v>
      </c>
      <c r="K654" s="148"/>
      <c r="L654" s="30">
        <v>900</v>
      </c>
      <c r="M654" s="23"/>
      <c r="N654" s="24"/>
      <c r="O654" s="13">
        <v>25200</v>
      </c>
      <c r="P654" s="13">
        <v>1200</v>
      </c>
      <c r="Q654" s="13">
        <v>26400</v>
      </c>
      <c r="U654" s="33"/>
    </row>
    <row r="655" spans="1:21" s="13" customFormat="1" ht="16.5" customHeight="1" x14ac:dyDescent="0.45">
      <c r="A655" s="14">
        <v>654</v>
      </c>
      <c r="B655" s="14">
        <v>16</v>
      </c>
      <c r="C655" s="52">
        <v>4</v>
      </c>
      <c r="D655" s="53">
        <v>1</v>
      </c>
      <c r="E655" s="54">
        <v>14</v>
      </c>
      <c r="F655" s="18" t="s">
        <v>385</v>
      </c>
      <c r="G655" s="19" t="s">
        <v>14</v>
      </c>
      <c r="H655" s="20" t="s">
        <v>479</v>
      </c>
      <c r="I655" s="28" t="s">
        <v>16</v>
      </c>
      <c r="J655" s="30">
        <v>18900</v>
      </c>
      <c r="K655" s="148"/>
      <c r="L655" s="30">
        <v>900</v>
      </c>
      <c r="M655" s="23"/>
      <c r="N655" s="24"/>
      <c r="O655" s="13">
        <f>O654*40</f>
        <v>1008000</v>
      </c>
      <c r="P655" s="13">
        <f t="shared" ref="P655:Q655" si="83">P654*40</f>
        <v>48000</v>
      </c>
      <c r="Q655" s="13">
        <f t="shared" si="83"/>
        <v>1056000</v>
      </c>
      <c r="U655" s="33"/>
    </row>
    <row r="656" spans="1:21" s="13" customFormat="1" ht="16.5" customHeight="1" x14ac:dyDescent="0.45">
      <c r="A656" s="14">
        <v>655</v>
      </c>
      <c r="B656" s="14">
        <v>17</v>
      </c>
      <c r="C656" s="52">
        <v>4</v>
      </c>
      <c r="D656" s="53">
        <v>3</v>
      </c>
      <c r="E656" s="54">
        <v>15</v>
      </c>
      <c r="F656" s="18" t="s">
        <v>482</v>
      </c>
      <c r="G656" s="19" t="s">
        <v>14</v>
      </c>
      <c r="H656" s="20" t="s">
        <v>479</v>
      </c>
      <c r="I656" s="28" t="s">
        <v>16</v>
      </c>
      <c r="J656" s="30">
        <v>18900</v>
      </c>
      <c r="K656" s="148"/>
      <c r="L656" s="30">
        <v>900</v>
      </c>
      <c r="M656" s="23"/>
      <c r="N656" s="24"/>
      <c r="U656" s="33"/>
    </row>
    <row r="657" spans="1:21" s="13" customFormat="1" ht="16.5" customHeight="1" x14ac:dyDescent="0.45">
      <c r="A657" s="14">
        <v>656</v>
      </c>
      <c r="B657" s="14">
        <v>18</v>
      </c>
      <c r="C657" s="52">
        <v>4</v>
      </c>
      <c r="D657" s="53">
        <v>5</v>
      </c>
      <c r="E657" s="54">
        <v>2</v>
      </c>
      <c r="F657" s="18" t="s">
        <v>367</v>
      </c>
      <c r="G657" s="19" t="s">
        <v>14</v>
      </c>
      <c r="H657" s="20" t="s">
        <v>479</v>
      </c>
      <c r="I657" s="18" t="s">
        <v>60</v>
      </c>
      <c r="J657" s="22">
        <v>25200</v>
      </c>
      <c r="K657" s="146"/>
      <c r="L657" s="22">
        <v>1200</v>
      </c>
      <c r="M657" s="23"/>
      <c r="N657" s="24"/>
      <c r="O657" s="13">
        <v>18900</v>
      </c>
      <c r="P657" s="13">
        <v>900</v>
      </c>
      <c r="Q657" s="13">
        <v>19800</v>
      </c>
      <c r="U657" s="33"/>
    </row>
    <row r="658" spans="1:21" s="13" customFormat="1" ht="16.5" customHeight="1" x14ac:dyDescent="0.45">
      <c r="A658" s="14">
        <v>657</v>
      </c>
      <c r="B658" s="14">
        <v>19</v>
      </c>
      <c r="C658" s="52">
        <v>4</v>
      </c>
      <c r="D658" s="53">
        <v>5</v>
      </c>
      <c r="E658" s="54">
        <v>10</v>
      </c>
      <c r="F658" s="18" t="s">
        <v>483</v>
      </c>
      <c r="G658" s="19" t="s">
        <v>14</v>
      </c>
      <c r="H658" s="20" t="s">
        <v>479</v>
      </c>
      <c r="I658" s="28" t="s">
        <v>16</v>
      </c>
      <c r="J658" s="30">
        <v>18900</v>
      </c>
      <c r="K658" s="148"/>
      <c r="L658" s="30">
        <v>900</v>
      </c>
      <c r="M658" s="23"/>
      <c r="N658" s="24"/>
      <c r="O658" s="13">
        <f>O657*40</f>
        <v>756000</v>
      </c>
      <c r="P658" s="13">
        <f t="shared" ref="P658:Q658" si="84">P657*40</f>
        <v>36000</v>
      </c>
      <c r="Q658" s="13">
        <f t="shared" si="84"/>
        <v>792000</v>
      </c>
      <c r="U658" s="33"/>
    </row>
    <row r="659" spans="1:21" s="13" customFormat="1" ht="16.5" customHeight="1" x14ac:dyDescent="0.45">
      <c r="A659" s="14">
        <v>658</v>
      </c>
      <c r="B659" s="14">
        <v>20</v>
      </c>
      <c r="C659" s="52">
        <v>4</v>
      </c>
      <c r="D659" s="53">
        <v>8</v>
      </c>
      <c r="E659" s="54">
        <v>14</v>
      </c>
      <c r="F659" s="18" t="s">
        <v>344</v>
      </c>
      <c r="G659" s="19" t="s">
        <v>14</v>
      </c>
      <c r="H659" s="20" t="s">
        <v>479</v>
      </c>
      <c r="I659" s="18" t="s">
        <v>60</v>
      </c>
      <c r="J659" s="22">
        <v>25200</v>
      </c>
      <c r="K659" s="146"/>
      <c r="L659" s="22">
        <v>1200</v>
      </c>
      <c r="M659" s="23"/>
      <c r="N659" s="24"/>
      <c r="U659" s="33"/>
    </row>
    <row r="660" spans="1:21" s="13" customFormat="1" ht="16.5" customHeight="1" x14ac:dyDescent="0.45">
      <c r="A660" s="14">
        <v>659</v>
      </c>
      <c r="B660" s="14">
        <v>21</v>
      </c>
      <c r="C660" s="52">
        <v>2</v>
      </c>
      <c r="D660" s="53">
        <v>4</v>
      </c>
      <c r="E660" s="54">
        <v>4</v>
      </c>
      <c r="F660" s="18" t="s">
        <v>484</v>
      </c>
      <c r="G660" s="19" t="s">
        <v>14</v>
      </c>
      <c r="H660" s="20" t="s">
        <v>485</v>
      </c>
      <c r="I660" s="28" t="s">
        <v>16</v>
      </c>
      <c r="J660" s="30">
        <v>18900</v>
      </c>
      <c r="K660" s="148"/>
      <c r="L660" s="30">
        <v>900</v>
      </c>
      <c r="M660" s="23"/>
      <c r="N660" s="24"/>
      <c r="S660" s="34">
        <f>SUM(O652,O655,O658)</f>
        <v>2633400</v>
      </c>
      <c r="T660" s="34">
        <f>SUM(P652,P655,P658)</f>
        <v>125400</v>
      </c>
      <c r="U660" s="34">
        <f>SUM(Q652,Q655,Q658)</f>
        <v>2758800</v>
      </c>
    </row>
    <row r="661" spans="1:21" s="13" customFormat="1" ht="16.5" customHeight="1" x14ac:dyDescent="0.45">
      <c r="A661" s="14">
        <v>660</v>
      </c>
      <c r="B661" s="14">
        <v>22</v>
      </c>
      <c r="C661" s="52">
        <v>3</v>
      </c>
      <c r="D661" s="53">
        <v>1</v>
      </c>
      <c r="E661" s="54">
        <v>6</v>
      </c>
      <c r="F661" s="18" t="s">
        <v>486</v>
      </c>
      <c r="G661" s="19" t="s">
        <v>14</v>
      </c>
      <c r="H661" s="20" t="s">
        <v>485</v>
      </c>
      <c r="I661" s="28" t="s">
        <v>16</v>
      </c>
      <c r="J661" s="30">
        <v>18900</v>
      </c>
      <c r="K661" s="148"/>
      <c r="L661" s="30">
        <v>900</v>
      </c>
      <c r="M661" s="23"/>
      <c r="N661" s="24"/>
      <c r="U661" s="33"/>
    </row>
    <row r="662" spans="1:21" s="13" customFormat="1" ht="16.5" customHeight="1" x14ac:dyDescent="0.45">
      <c r="A662" s="14">
        <v>661</v>
      </c>
      <c r="B662" s="14">
        <v>23</v>
      </c>
      <c r="C662" s="52">
        <v>3</v>
      </c>
      <c r="D662" s="53">
        <v>2</v>
      </c>
      <c r="E662" s="54">
        <v>24</v>
      </c>
      <c r="F662" s="18" t="s">
        <v>429</v>
      </c>
      <c r="G662" s="19" t="s">
        <v>14</v>
      </c>
      <c r="H662" s="20" t="s">
        <v>485</v>
      </c>
      <c r="I662" s="18" t="s">
        <v>60</v>
      </c>
      <c r="J662" s="22">
        <v>25200</v>
      </c>
      <c r="K662" s="146"/>
      <c r="L662" s="22">
        <v>1200</v>
      </c>
      <c r="M662" s="23"/>
      <c r="N662" s="24"/>
      <c r="U662" s="33"/>
    </row>
    <row r="663" spans="1:21" s="13" customFormat="1" ht="16.5" customHeight="1" x14ac:dyDescent="0.45">
      <c r="A663" s="14">
        <v>662</v>
      </c>
      <c r="B663" s="14">
        <v>24</v>
      </c>
      <c r="C663" s="52">
        <v>3</v>
      </c>
      <c r="D663" s="53">
        <v>6</v>
      </c>
      <c r="E663" s="54">
        <v>16</v>
      </c>
      <c r="F663" s="18" t="s">
        <v>487</v>
      </c>
      <c r="G663" s="19" t="s">
        <v>14</v>
      </c>
      <c r="H663" s="20" t="s">
        <v>485</v>
      </c>
      <c r="I663" s="28" t="s">
        <v>16</v>
      </c>
      <c r="J663" s="30">
        <v>18900</v>
      </c>
      <c r="K663" s="148"/>
      <c r="L663" s="30">
        <v>900</v>
      </c>
      <c r="M663" s="23"/>
      <c r="N663" s="24"/>
      <c r="U663" s="33"/>
    </row>
    <row r="664" spans="1:21" s="13" customFormat="1" ht="16.5" customHeight="1" x14ac:dyDescent="0.45">
      <c r="A664" s="14">
        <v>663</v>
      </c>
      <c r="B664" s="14">
        <v>25</v>
      </c>
      <c r="C664" s="52">
        <v>3</v>
      </c>
      <c r="D664" s="53">
        <v>7</v>
      </c>
      <c r="E664" s="54">
        <v>15</v>
      </c>
      <c r="F664" s="18" t="s">
        <v>488</v>
      </c>
      <c r="G664" s="19" t="s">
        <v>14</v>
      </c>
      <c r="H664" s="20" t="s">
        <v>485</v>
      </c>
      <c r="I664" s="28" t="s">
        <v>16</v>
      </c>
      <c r="J664" s="30">
        <v>18900</v>
      </c>
      <c r="K664" s="149"/>
      <c r="L664" s="30">
        <v>900</v>
      </c>
      <c r="M664" s="23"/>
      <c r="N664" s="24"/>
      <c r="U664" s="33"/>
    </row>
    <row r="665" spans="1:21" s="13" customFormat="1" ht="16.5" customHeight="1" x14ac:dyDescent="0.45">
      <c r="A665" s="14">
        <v>664</v>
      </c>
      <c r="B665" s="14">
        <v>26</v>
      </c>
      <c r="C665" s="52">
        <v>4</v>
      </c>
      <c r="D665" s="53">
        <v>1</v>
      </c>
      <c r="E665" s="54">
        <v>6</v>
      </c>
      <c r="F665" s="18" t="s">
        <v>231</v>
      </c>
      <c r="G665" s="19" t="s">
        <v>14</v>
      </c>
      <c r="H665" s="20" t="s">
        <v>485</v>
      </c>
      <c r="I665" s="28" t="s">
        <v>21</v>
      </c>
      <c r="J665" s="30">
        <v>12600</v>
      </c>
      <c r="K665" s="90"/>
      <c r="L665" s="30">
        <v>600</v>
      </c>
      <c r="M665" s="23"/>
      <c r="N665" s="24"/>
      <c r="U665" s="33"/>
    </row>
    <row r="666" spans="1:21" s="13" customFormat="1" ht="16.5" customHeight="1" x14ac:dyDescent="0.45">
      <c r="A666" s="14">
        <v>665</v>
      </c>
      <c r="B666" s="14">
        <v>27</v>
      </c>
      <c r="C666" s="52">
        <v>4</v>
      </c>
      <c r="D666" s="53">
        <v>8</v>
      </c>
      <c r="E666" s="54">
        <v>1</v>
      </c>
      <c r="F666" s="18" t="s">
        <v>138</v>
      </c>
      <c r="G666" s="19" t="s">
        <v>14</v>
      </c>
      <c r="H666" s="20" t="s">
        <v>485</v>
      </c>
      <c r="I666" s="18" t="s">
        <v>60</v>
      </c>
      <c r="J666" s="22">
        <v>25200</v>
      </c>
      <c r="K666" s="146"/>
      <c r="L666" s="22">
        <v>1200</v>
      </c>
      <c r="M666" s="23"/>
      <c r="N666" s="24"/>
      <c r="U666" s="33"/>
    </row>
    <row r="667" spans="1:21" s="13" customFormat="1" ht="16.5" customHeight="1" x14ac:dyDescent="0.45">
      <c r="A667" s="14">
        <v>666</v>
      </c>
      <c r="B667" s="14">
        <v>28</v>
      </c>
      <c r="C667" s="52">
        <v>4</v>
      </c>
      <c r="D667" s="53">
        <v>8</v>
      </c>
      <c r="E667" s="54">
        <v>13</v>
      </c>
      <c r="F667" s="18" t="s">
        <v>489</v>
      </c>
      <c r="G667" s="19" t="s">
        <v>14</v>
      </c>
      <c r="H667" s="20" t="s">
        <v>485</v>
      </c>
      <c r="I667" s="28" t="s">
        <v>16</v>
      </c>
      <c r="J667" s="30">
        <v>18900</v>
      </c>
      <c r="K667" s="148"/>
      <c r="L667" s="30">
        <v>900</v>
      </c>
      <c r="M667" s="23"/>
      <c r="N667" s="24"/>
      <c r="U667" s="33"/>
    </row>
    <row r="668" spans="1:21" s="13" customFormat="1" ht="16.5" customHeight="1" x14ac:dyDescent="0.45">
      <c r="A668" s="14">
        <v>667</v>
      </c>
      <c r="B668" s="14">
        <v>29</v>
      </c>
      <c r="C668" s="52">
        <v>4</v>
      </c>
      <c r="D668" s="53">
        <v>8</v>
      </c>
      <c r="E668" s="54">
        <v>22</v>
      </c>
      <c r="F668" s="18" t="s">
        <v>490</v>
      </c>
      <c r="G668" s="19" t="s">
        <v>14</v>
      </c>
      <c r="H668" s="20" t="s">
        <v>485</v>
      </c>
      <c r="I668" s="18" t="s">
        <v>60</v>
      </c>
      <c r="J668" s="22">
        <v>25200</v>
      </c>
      <c r="K668" s="146"/>
      <c r="L668" s="22">
        <v>1200</v>
      </c>
      <c r="M668" s="23"/>
      <c r="N668" s="24"/>
      <c r="U668" s="33"/>
    </row>
    <row r="669" spans="1:21" s="13" customFormat="1" ht="16.5" customHeight="1" x14ac:dyDescent="0.45">
      <c r="A669" s="14">
        <v>668</v>
      </c>
      <c r="B669" s="14">
        <v>30</v>
      </c>
      <c r="C669" s="52">
        <v>5</v>
      </c>
      <c r="D669" s="53">
        <v>2</v>
      </c>
      <c r="E669" s="54">
        <v>7</v>
      </c>
      <c r="F669" s="18" t="s">
        <v>491</v>
      </c>
      <c r="G669" s="19" t="s">
        <v>14</v>
      </c>
      <c r="H669" s="20" t="s">
        <v>485</v>
      </c>
      <c r="I669" s="28" t="s">
        <v>16</v>
      </c>
      <c r="J669" s="30">
        <v>18900</v>
      </c>
      <c r="K669" s="148"/>
      <c r="L669" s="30">
        <v>900</v>
      </c>
      <c r="M669" s="23"/>
      <c r="N669" s="24"/>
      <c r="U669" s="33"/>
    </row>
    <row r="670" spans="1:21" s="13" customFormat="1" ht="16.5" customHeight="1" x14ac:dyDescent="0.45">
      <c r="A670" s="14">
        <v>669</v>
      </c>
      <c r="B670" s="14">
        <v>31</v>
      </c>
      <c r="C670" s="52">
        <v>5</v>
      </c>
      <c r="D670" s="53">
        <v>3</v>
      </c>
      <c r="E670" s="54">
        <v>5</v>
      </c>
      <c r="F670" s="18" t="s">
        <v>255</v>
      </c>
      <c r="G670" s="19" t="s">
        <v>14</v>
      </c>
      <c r="H670" s="20" t="s">
        <v>485</v>
      </c>
      <c r="I670" s="28" t="s">
        <v>16</v>
      </c>
      <c r="J670" s="30">
        <v>18900</v>
      </c>
      <c r="K670" s="148"/>
      <c r="L670" s="30">
        <v>900</v>
      </c>
      <c r="M670" s="23"/>
      <c r="N670" s="24"/>
      <c r="U670" s="33"/>
    </row>
    <row r="671" spans="1:21" s="13" customFormat="1" ht="16.5" customHeight="1" x14ac:dyDescent="0.45">
      <c r="A671" s="14">
        <v>670</v>
      </c>
      <c r="B671" s="14">
        <v>32</v>
      </c>
      <c r="C671" s="52">
        <v>5</v>
      </c>
      <c r="D671" s="53">
        <v>3</v>
      </c>
      <c r="E671" s="54">
        <v>18</v>
      </c>
      <c r="F671" s="18" t="s">
        <v>492</v>
      </c>
      <c r="G671" s="19" t="s">
        <v>14</v>
      </c>
      <c r="H671" s="20" t="s">
        <v>485</v>
      </c>
      <c r="I671" s="18" t="s">
        <v>60</v>
      </c>
      <c r="J671" s="22">
        <v>25200</v>
      </c>
      <c r="K671" s="146"/>
      <c r="L671" s="22">
        <v>1200</v>
      </c>
      <c r="M671" s="23"/>
      <c r="N671" s="24"/>
      <c r="U671" s="33"/>
    </row>
    <row r="672" spans="1:21" s="13" customFormat="1" ht="16.5" customHeight="1" x14ac:dyDescent="0.45">
      <c r="A672" s="14">
        <v>671</v>
      </c>
      <c r="B672" s="14">
        <v>33</v>
      </c>
      <c r="C672" s="52">
        <v>5</v>
      </c>
      <c r="D672" s="53">
        <v>5</v>
      </c>
      <c r="E672" s="54">
        <v>26</v>
      </c>
      <c r="F672" s="18" t="s">
        <v>181</v>
      </c>
      <c r="G672" s="19" t="s">
        <v>14</v>
      </c>
      <c r="H672" s="20" t="s">
        <v>485</v>
      </c>
      <c r="I672" s="18" t="s">
        <v>60</v>
      </c>
      <c r="J672" s="22">
        <v>25200</v>
      </c>
      <c r="K672" s="146"/>
      <c r="L672" s="22">
        <v>1200</v>
      </c>
      <c r="M672" s="23"/>
      <c r="N672" s="24"/>
      <c r="U672" s="33"/>
    </row>
    <row r="673" spans="1:21" s="13" customFormat="1" ht="16.5" customHeight="1" x14ac:dyDescent="0.45">
      <c r="A673" s="14">
        <v>672</v>
      </c>
      <c r="B673" s="14">
        <v>34</v>
      </c>
      <c r="C673" s="52">
        <v>5</v>
      </c>
      <c r="D673" s="53">
        <v>5</v>
      </c>
      <c r="E673" s="54">
        <v>27</v>
      </c>
      <c r="F673" s="18" t="s">
        <v>301</v>
      </c>
      <c r="G673" s="19" t="s">
        <v>14</v>
      </c>
      <c r="H673" s="20" t="s">
        <v>485</v>
      </c>
      <c r="I673" s="18" t="s">
        <v>60</v>
      </c>
      <c r="J673" s="22">
        <v>25200</v>
      </c>
      <c r="K673" s="146"/>
      <c r="L673" s="22">
        <v>1200</v>
      </c>
      <c r="M673" s="23"/>
      <c r="N673" s="24"/>
      <c r="U673" s="33"/>
    </row>
    <row r="674" spans="1:21" s="13" customFormat="1" ht="16.5" customHeight="1" x14ac:dyDescent="0.45">
      <c r="A674" s="14">
        <v>673</v>
      </c>
      <c r="B674" s="14">
        <v>35</v>
      </c>
      <c r="C674" s="52">
        <v>5</v>
      </c>
      <c r="D674" s="53">
        <v>6</v>
      </c>
      <c r="E674" s="54">
        <v>25</v>
      </c>
      <c r="F674" s="18" t="s">
        <v>493</v>
      </c>
      <c r="G674" s="19" t="s">
        <v>14</v>
      </c>
      <c r="H674" s="20" t="s">
        <v>485</v>
      </c>
      <c r="I674" s="18" t="s">
        <v>60</v>
      </c>
      <c r="J674" s="22">
        <v>25200</v>
      </c>
      <c r="K674" s="146"/>
      <c r="L674" s="22">
        <v>1200</v>
      </c>
      <c r="M674" s="23"/>
      <c r="N674" s="24"/>
      <c r="U674" s="33"/>
    </row>
    <row r="675" spans="1:21" s="13" customFormat="1" ht="16.5" customHeight="1" x14ac:dyDescent="0.45">
      <c r="A675" s="14">
        <v>674</v>
      </c>
      <c r="B675" s="14">
        <v>36</v>
      </c>
      <c r="C675" s="52">
        <v>6</v>
      </c>
      <c r="D675" s="53">
        <v>1</v>
      </c>
      <c r="E675" s="54">
        <v>9</v>
      </c>
      <c r="F675" s="18" t="s">
        <v>494</v>
      </c>
      <c r="G675" s="19" t="s">
        <v>14</v>
      </c>
      <c r="H675" s="20" t="s">
        <v>485</v>
      </c>
      <c r="I675" s="28" t="s">
        <v>16</v>
      </c>
      <c r="J675" s="30">
        <v>18900</v>
      </c>
      <c r="K675" s="148"/>
      <c r="L675" s="30">
        <v>900</v>
      </c>
      <c r="M675" s="23"/>
      <c r="N675" s="24"/>
      <c r="U675" s="33"/>
    </row>
    <row r="676" spans="1:21" s="13" customFormat="1" ht="16.5" customHeight="1" x14ac:dyDescent="0.45">
      <c r="A676" s="14">
        <v>675</v>
      </c>
      <c r="B676" s="14">
        <v>37</v>
      </c>
      <c r="C676" s="52">
        <v>6</v>
      </c>
      <c r="D676" s="53">
        <v>1</v>
      </c>
      <c r="E676" s="54">
        <v>13</v>
      </c>
      <c r="F676" s="18" t="s">
        <v>393</v>
      </c>
      <c r="G676" s="19" t="s">
        <v>14</v>
      </c>
      <c r="H676" s="20" t="s">
        <v>485</v>
      </c>
      <c r="I676" s="18" t="s">
        <v>60</v>
      </c>
      <c r="J676" s="22">
        <v>25200</v>
      </c>
      <c r="K676" s="146"/>
      <c r="L676" s="22">
        <v>1200</v>
      </c>
      <c r="M676" s="23"/>
      <c r="N676" s="24"/>
      <c r="U676" s="33"/>
    </row>
    <row r="677" spans="1:21" s="13" customFormat="1" ht="16.5" customHeight="1" x14ac:dyDescent="0.45">
      <c r="A677" s="14">
        <v>676</v>
      </c>
      <c r="B677" s="14">
        <v>38</v>
      </c>
      <c r="C677" s="52">
        <v>6</v>
      </c>
      <c r="D677" s="53">
        <v>5</v>
      </c>
      <c r="E677" s="54">
        <v>17</v>
      </c>
      <c r="F677" s="18" t="s">
        <v>495</v>
      </c>
      <c r="G677" s="19" t="s">
        <v>14</v>
      </c>
      <c r="H677" s="20" t="s">
        <v>485</v>
      </c>
      <c r="I677" s="28" t="s">
        <v>16</v>
      </c>
      <c r="J677" s="30">
        <v>18900</v>
      </c>
      <c r="K677" s="148"/>
      <c r="L677" s="30">
        <v>900</v>
      </c>
      <c r="M677" s="23"/>
      <c r="N677" s="24"/>
      <c r="U677" s="33"/>
    </row>
    <row r="678" spans="1:21" s="13" customFormat="1" ht="16.5" customHeight="1" x14ac:dyDescent="0.45">
      <c r="A678" s="14">
        <v>677</v>
      </c>
      <c r="B678" s="14">
        <v>39</v>
      </c>
      <c r="C678" s="52">
        <v>6</v>
      </c>
      <c r="D678" s="53">
        <v>5</v>
      </c>
      <c r="E678" s="54">
        <v>26</v>
      </c>
      <c r="F678" s="18" t="s">
        <v>496</v>
      </c>
      <c r="G678" s="19" t="s">
        <v>14</v>
      </c>
      <c r="H678" s="20" t="s">
        <v>485</v>
      </c>
      <c r="I678" s="28" t="s">
        <v>16</v>
      </c>
      <c r="J678" s="30">
        <v>18900</v>
      </c>
      <c r="K678" s="148"/>
      <c r="L678" s="30">
        <v>900</v>
      </c>
      <c r="M678" s="23"/>
      <c r="N678" s="24"/>
      <c r="U678" s="33"/>
    </row>
    <row r="679" spans="1:21" s="13" customFormat="1" ht="16.5" customHeight="1" x14ac:dyDescent="0.45">
      <c r="A679" s="14">
        <v>678</v>
      </c>
      <c r="B679" s="14">
        <v>40</v>
      </c>
      <c r="C679" s="52">
        <v>6</v>
      </c>
      <c r="D679" s="53">
        <v>7</v>
      </c>
      <c r="E679" s="54">
        <v>24</v>
      </c>
      <c r="F679" s="18" t="s">
        <v>497</v>
      </c>
      <c r="G679" s="19" t="s">
        <v>14</v>
      </c>
      <c r="H679" s="20" t="s">
        <v>485</v>
      </c>
      <c r="I679" s="28" t="s">
        <v>16</v>
      </c>
      <c r="J679" s="30">
        <v>18900</v>
      </c>
      <c r="K679" s="148"/>
      <c r="L679" s="30">
        <v>900</v>
      </c>
      <c r="M679" s="23"/>
      <c r="N679" s="24"/>
      <c r="U679" s="33"/>
    </row>
    <row r="680" spans="1:21" s="13" customFormat="1" ht="16.5" customHeight="1" x14ac:dyDescent="0.45">
      <c r="A680" s="14">
        <v>679</v>
      </c>
      <c r="B680" s="35">
        <v>1</v>
      </c>
      <c r="C680" s="49">
        <v>2</v>
      </c>
      <c r="D680" s="50">
        <v>3</v>
      </c>
      <c r="E680" s="51">
        <v>8</v>
      </c>
      <c r="F680" s="87" t="s">
        <v>313</v>
      </c>
      <c r="G680" s="55" t="s">
        <v>14</v>
      </c>
      <c r="H680" s="56" t="s">
        <v>498</v>
      </c>
      <c r="I680" s="150" t="s">
        <v>16</v>
      </c>
      <c r="J680" s="151">
        <v>24600</v>
      </c>
      <c r="K680" s="152"/>
      <c r="L680" s="151">
        <v>1200</v>
      </c>
      <c r="M680" s="101">
        <f>SUM(J680:K701)</f>
        <v>680600</v>
      </c>
      <c r="N680" s="24"/>
      <c r="U680" s="33"/>
    </row>
    <row r="681" spans="1:21" s="13" customFormat="1" ht="16.5" customHeight="1" x14ac:dyDescent="0.45">
      <c r="A681" s="14">
        <v>680</v>
      </c>
      <c r="B681" s="14">
        <v>2</v>
      </c>
      <c r="C681" s="52">
        <v>2</v>
      </c>
      <c r="D681" s="53">
        <v>3</v>
      </c>
      <c r="E681" s="54">
        <v>10</v>
      </c>
      <c r="F681" s="89" t="s">
        <v>499</v>
      </c>
      <c r="G681" s="57" t="s">
        <v>14</v>
      </c>
      <c r="H681" s="58" t="s">
        <v>498</v>
      </c>
      <c r="I681" s="153" t="s">
        <v>60</v>
      </c>
      <c r="J681" s="22">
        <v>32800</v>
      </c>
      <c r="K681" s="146"/>
      <c r="L681" s="22">
        <v>1600</v>
      </c>
      <c r="M681" s="102"/>
      <c r="N681" s="24"/>
      <c r="U681" s="33"/>
    </row>
    <row r="682" spans="1:21" s="13" customFormat="1" ht="16.5" customHeight="1" x14ac:dyDescent="0.45">
      <c r="A682" s="14">
        <v>681</v>
      </c>
      <c r="B682" s="14">
        <v>3</v>
      </c>
      <c r="C682" s="52">
        <v>2</v>
      </c>
      <c r="D682" s="53">
        <v>7</v>
      </c>
      <c r="E682" s="54">
        <v>23</v>
      </c>
      <c r="F682" s="89" t="s">
        <v>314</v>
      </c>
      <c r="G682" s="57" t="s">
        <v>14</v>
      </c>
      <c r="H682" s="58" t="s">
        <v>498</v>
      </c>
      <c r="I682" s="153" t="s">
        <v>60</v>
      </c>
      <c r="J682" s="22">
        <v>32800</v>
      </c>
      <c r="K682" s="146"/>
      <c r="L682" s="22">
        <v>1600</v>
      </c>
      <c r="M682" s="102"/>
      <c r="N682" s="24"/>
      <c r="O682" s="27">
        <f>SUM(J680:K701)</f>
        <v>680600</v>
      </c>
      <c r="U682" s="33"/>
    </row>
    <row r="683" spans="1:21" s="13" customFormat="1" ht="16.5" customHeight="1" x14ac:dyDescent="0.45">
      <c r="A683" s="14">
        <v>682</v>
      </c>
      <c r="B683" s="14">
        <v>4</v>
      </c>
      <c r="C683" s="52">
        <v>3</v>
      </c>
      <c r="D683" s="53">
        <v>2</v>
      </c>
      <c r="E683" s="54">
        <v>14</v>
      </c>
      <c r="F683" s="89" t="s">
        <v>500</v>
      </c>
      <c r="G683" s="57" t="s">
        <v>14</v>
      </c>
      <c r="H683" s="58" t="s">
        <v>498</v>
      </c>
      <c r="I683" s="153" t="s">
        <v>60</v>
      </c>
      <c r="J683" s="22">
        <v>32800</v>
      </c>
      <c r="K683" s="146"/>
      <c r="L683" s="22">
        <v>1600</v>
      </c>
      <c r="M683" s="102"/>
      <c r="N683" s="24"/>
      <c r="O683" s="27">
        <f>SUM(L680:L701)</f>
        <v>33200</v>
      </c>
      <c r="U683" s="33"/>
    </row>
    <row r="684" spans="1:21" s="13" customFormat="1" ht="16.5" customHeight="1" x14ac:dyDescent="0.45">
      <c r="A684" s="14">
        <v>683</v>
      </c>
      <c r="B684" s="14">
        <v>5</v>
      </c>
      <c r="C684" s="52">
        <v>3</v>
      </c>
      <c r="D684" s="53">
        <v>3</v>
      </c>
      <c r="E684" s="54">
        <v>24</v>
      </c>
      <c r="F684" s="89" t="s">
        <v>501</v>
      </c>
      <c r="G684" s="57" t="s">
        <v>14</v>
      </c>
      <c r="H684" s="58" t="s">
        <v>498</v>
      </c>
      <c r="I684" s="154" t="s">
        <v>16</v>
      </c>
      <c r="J684" s="30">
        <v>24600</v>
      </c>
      <c r="K684" s="149"/>
      <c r="L684" s="30">
        <v>1200</v>
      </c>
      <c r="M684" s="102"/>
      <c r="N684" s="24"/>
      <c r="O684" s="27">
        <f>SUM(O682:O683)</f>
        <v>713800</v>
      </c>
      <c r="U684" s="33"/>
    </row>
    <row r="685" spans="1:21" s="13" customFormat="1" ht="16.5" customHeight="1" x14ac:dyDescent="0.45">
      <c r="A685" s="14">
        <v>684</v>
      </c>
      <c r="B685" s="14">
        <v>6</v>
      </c>
      <c r="C685" s="52">
        <v>3</v>
      </c>
      <c r="D685" s="53">
        <v>5</v>
      </c>
      <c r="E685" s="54">
        <v>8</v>
      </c>
      <c r="F685" s="89" t="s">
        <v>34</v>
      </c>
      <c r="G685" s="57" t="s">
        <v>14</v>
      </c>
      <c r="H685" s="58" t="s">
        <v>498</v>
      </c>
      <c r="I685" s="153" t="s">
        <v>60</v>
      </c>
      <c r="J685" s="22">
        <v>32800</v>
      </c>
      <c r="K685" s="146"/>
      <c r="L685" s="22">
        <v>1600</v>
      </c>
      <c r="M685" s="102"/>
      <c r="N685" s="24"/>
      <c r="U685" s="33"/>
    </row>
    <row r="686" spans="1:21" s="13" customFormat="1" ht="16.5" customHeight="1" x14ac:dyDescent="0.45">
      <c r="A686" s="14">
        <v>685</v>
      </c>
      <c r="B686" s="14">
        <v>7</v>
      </c>
      <c r="C686" s="52">
        <v>3</v>
      </c>
      <c r="D686" s="53">
        <v>7</v>
      </c>
      <c r="E686" s="54">
        <v>6</v>
      </c>
      <c r="F686" s="89" t="s">
        <v>502</v>
      </c>
      <c r="G686" s="57" t="s">
        <v>14</v>
      </c>
      <c r="H686" s="58" t="s">
        <v>498</v>
      </c>
      <c r="I686" s="153" t="s">
        <v>60</v>
      </c>
      <c r="J686" s="22">
        <v>32800</v>
      </c>
      <c r="K686" s="146"/>
      <c r="L686" s="22">
        <v>1600</v>
      </c>
      <c r="M686" s="102"/>
      <c r="N686" s="24"/>
      <c r="O686" s="13">
        <v>32800</v>
      </c>
      <c r="P686" s="13">
        <v>1600</v>
      </c>
      <c r="Q686" s="13">
        <v>34400</v>
      </c>
      <c r="U686" s="33"/>
    </row>
    <row r="687" spans="1:21" s="13" customFormat="1" ht="16.5" customHeight="1" x14ac:dyDescent="0.45">
      <c r="A687" s="14">
        <v>686</v>
      </c>
      <c r="B687" s="14">
        <v>8</v>
      </c>
      <c r="C687" s="52">
        <v>3</v>
      </c>
      <c r="D687" s="53">
        <v>8</v>
      </c>
      <c r="E687" s="54">
        <v>6</v>
      </c>
      <c r="F687" s="89" t="s">
        <v>177</v>
      </c>
      <c r="G687" s="57" t="s">
        <v>14</v>
      </c>
      <c r="H687" s="58" t="s">
        <v>498</v>
      </c>
      <c r="I687" s="153" t="s">
        <v>60</v>
      </c>
      <c r="J687" s="22">
        <v>32800</v>
      </c>
      <c r="K687" s="146"/>
      <c r="L687" s="22">
        <v>1600</v>
      </c>
      <c r="M687" s="102"/>
      <c r="N687" s="24"/>
      <c r="O687" s="13">
        <f>O686*22</f>
        <v>721600</v>
      </c>
      <c r="P687" s="13">
        <f t="shared" ref="P687:Q687" si="85">P686*22</f>
        <v>35200</v>
      </c>
      <c r="Q687" s="13">
        <f t="shared" si="85"/>
        <v>756800</v>
      </c>
      <c r="U687" s="33"/>
    </row>
    <row r="688" spans="1:21" s="13" customFormat="1" ht="16.5" customHeight="1" x14ac:dyDescent="0.45">
      <c r="A688" s="14">
        <v>687</v>
      </c>
      <c r="B688" s="14">
        <v>9</v>
      </c>
      <c r="C688" s="52">
        <v>3</v>
      </c>
      <c r="D688" s="53">
        <v>8</v>
      </c>
      <c r="E688" s="54">
        <v>14</v>
      </c>
      <c r="F688" s="89" t="s">
        <v>503</v>
      </c>
      <c r="G688" s="57" t="s">
        <v>14</v>
      </c>
      <c r="H688" s="58" t="s">
        <v>498</v>
      </c>
      <c r="I688" s="153" t="s">
        <v>60</v>
      </c>
      <c r="J688" s="22">
        <v>32800</v>
      </c>
      <c r="K688" s="146"/>
      <c r="L688" s="22">
        <v>1600</v>
      </c>
      <c r="M688" s="102"/>
      <c r="N688" s="24"/>
      <c r="O688" s="13">
        <v>-41000</v>
      </c>
      <c r="P688" s="13">
        <v>-2000</v>
      </c>
      <c r="Q688" s="13">
        <v>-43000</v>
      </c>
      <c r="U688" s="33"/>
    </row>
    <row r="689" spans="1:21" s="13" customFormat="1" ht="16.5" customHeight="1" x14ac:dyDescent="0.45">
      <c r="A689" s="14">
        <v>688</v>
      </c>
      <c r="B689" s="14">
        <v>10</v>
      </c>
      <c r="C689" s="52">
        <v>4</v>
      </c>
      <c r="D689" s="53">
        <v>3</v>
      </c>
      <c r="E689" s="54">
        <v>13</v>
      </c>
      <c r="F689" s="89" t="s">
        <v>78</v>
      </c>
      <c r="G689" s="57" t="s">
        <v>14</v>
      </c>
      <c r="H689" s="58" t="s">
        <v>498</v>
      </c>
      <c r="I689" s="153" t="s">
        <v>60</v>
      </c>
      <c r="J689" s="22">
        <v>32800</v>
      </c>
      <c r="K689" s="146"/>
      <c r="L689" s="22">
        <v>1600</v>
      </c>
      <c r="M689" s="102"/>
      <c r="N689" s="24"/>
      <c r="O689" s="13">
        <f>SUM(O687:O688)</f>
        <v>680600</v>
      </c>
      <c r="P689" s="13">
        <f t="shared" ref="P689:Q689" si="86">SUM(P687:P688)</f>
        <v>33200</v>
      </c>
      <c r="Q689" s="13">
        <f t="shared" si="86"/>
        <v>713800</v>
      </c>
      <c r="U689" s="33"/>
    </row>
    <row r="690" spans="1:21" s="13" customFormat="1" ht="16.5" customHeight="1" x14ac:dyDescent="0.45">
      <c r="A690" s="14">
        <v>689</v>
      </c>
      <c r="B690" s="14">
        <v>11</v>
      </c>
      <c r="C690" s="52">
        <v>4</v>
      </c>
      <c r="D690" s="53">
        <v>5</v>
      </c>
      <c r="E690" s="54">
        <v>20</v>
      </c>
      <c r="F690" s="89" t="s">
        <v>504</v>
      </c>
      <c r="G690" s="57" t="s">
        <v>14</v>
      </c>
      <c r="H690" s="58" t="s">
        <v>505</v>
      </c>
      <c r="I690" s="153" t="s">
        <v>60</v>
      </c>
      <c r="J690" s="22">
        <v>32800</v>
      </c>
      <c r="K690" s="146"/>
      <c r="L690" s="22">
        <v>1600</v>
      </c>
      <c r="M690" s="102"/>
      <c r="N690" s="24"/>
      <c r="U690" s="33"/>
    </row>
    <row r="691" spans="1:21" s="13" customFormat="1" ht="16.5" customHeight="1" x14ac:dyDescent="0.45">
      <c r="A691" s="14">
        <v>690</v>
      </c>
      <c r="B691" s="14">
        <v>12</v>
      </c>
      <c r="C691" s="52">
        <v>5</v>
      </c>
      <c r="D691" s="53">
        <v>5</v>
      </c>
      <c r="E691" s="54">
        <v>22</v>
      </c>
      <c r="F691" s="89" t="s">
        <v>391</v>
      </c>
      <c r="G691" s="57" t="s">
        <v>14</v>
      </c>
      <c r="H691" s="58" t="s">
        <v>498</v>
      </c>
      <c r="I691" s="154" t="s">
        <v>16</v>
      </c>
      <c r="J691" s="30">
        <v>24600</v>
      </c>
      <c r="K691" s="149"/>
      <c r="L691" s="30">
        <v>1200</v>
      </c>
      <c r="M691" s="102"/>
      <c r="N691" s="24"/>
      <c r="O691" s="13">
        <v>32800</v>
      </c>
      <c r="P691" s="13">
        <v>1600</v>
      </c>
      <c r="Q691" s="13">
        <v>34400</v>
      </c>
      <c r="U691" s="33"/>
    </row>
    <row r="692" spans="1:21" s="13" customFormat="1" ht="16.5" customHeight="1" x14ac:dyDescent="0.45">
      <c r="A692" s="14">
        <v>691</v>
      </c>
      <c r="B692" s="14">
        <v>13</v>
      </c>
      <c r="C692" s="52">
        <v>5</v>
      </c>
      <c r="D692" s="53">
        <v>7</v>
      </c>
      <c r="E692" s="54">
        <v>11</v>
      </c>
      <c r="F692" s="89" t="s">
        <v>183</v>
      </c>
      <c r="G692" s="57" t="s">
        <v>14</v>
      </c>
      <c r="H692" s="58" t="s">
        <v>498</v>
      </c>
      <c r="I692" s="153" t="s">
        <v>60</v>
      </c>
      <c r="J692" s="22">
        <v>32800</v>
      </c>
      <c r="K692" s="146"/>
      <c r="L692" s="22">
        <v>1600</v>
      </c>
      <c r="M692" s="102"/>
      <c r="N692" s="24"/>
      <c r="O692" s="13">
        <f>O691*20</f>
        <v>656000</v>
      </c>
      <c r="P692" s="13">
        <f t="shared" ref="P692:Q692" si="87">P691*20</f>
        <v>32000</v>
      </c>
      <c r="Q692" s="13">
        <f t="shared" si="87"/>
        <v>688000</v>
      </c>
      <c r="U692" s="33"/>
    </row>
    <row r="693" spans="1:21" s="13" customFormat="1" ht="16.5" customHeight="1" x14ac:dyDescent="0.45">
      <c r="A693" s="14">
        <v>692</v>
      </c>
      <c r="B693" s="14">
        <v>14</v>
      </c>
      <c r="C693" s="52">
        <v>6</v>
      </c>
      <c r="D693" s="53">
        <v>3</v>
      </c>
      <c r="E693" s="54">
        <v>26</v>
      </c>
      <c r="F693" s="89" t="s">
        <v>506</v>
      </c>
      <c r="G693" s="57" t="s">
        <v>14</v>
      </c>
      <c r="H693" s="58" t="s">
        <v>498</v>
      </c>
      <c r="I693" s="153" t="s">
        <v>60</v>
      </c>
      <c r="J693" s="22">
        <v>32800</v>
      </c>
      <c r="K693" s="146"/>
      <c r="L693" s="22">
        <v>1600</v>
      </c>
      <c r="M693" s="102"/>
      <c r="N693" s="24"/>
      <c r="U693" s="33"/>
    </row>
    <row r="694" spans="1:21" s="13" customFormat="1" ht="16.5" customHeight="1" x14ac:dyDescent="0.45">
      <c r="A694" s="14">
        <v>693</v>
      </c>
      <c r="B694" s="14">
        <v>15</v>
      </c>
      <c r="C694" s="52">
        <v>6</v>
      </c>
      <c r="D694" s="53">
        <v>7</v>
      </c>
      <c r="E694" s="54">
        <v>6</v>
      </c>
      <c r="F694" s="89" t="s">
        <v>507</v>
      </c>
      <c r="G694" s="57" t="s">
        <v>14</v>
      </c>
      <c r="H694" s="58" t="s">
        <v>498</v>
      </c>
      <c r="I694" s="153" t="s">
        <v>60</v>
      </c>
      <c r="J694" s="22">
        <v>32800</v>
      </c>
      <c r="K694" s="146"/>
      <c r="L694" s="22">
        <v>1600</v>
      </c>
      <c r="M694" s="102"/>
      <c r="N694" s="24"/>
      <c r="O694" s="13">
        <v>24600</v>
      </c>
      <c r="P694" s="13">
        <v>1200</v>
      </c>
      <c r="Q694" s="13">
        <v>25800</v>
      </c>
      <c r="U694" s="33"/>
    </row>
    <row r="695" spans="1:21" s="13" customFormat="1" ht="16.5" customHeight="1" x14ac:dyDescent="0.45">
      <c r="A695" s="14">
        <v>694</v>
      </c>
      <c r="B695" s="14">
        <v>16</v>
      </c>
      <c r="C695" s="52">
        <v>1</v>
      </c>
      <c r="D695" s="53">
        <v>9</v>
      </c>
      <c r="E695" s="54">
        <v>1</v>
      </c>
      <c r="F695" s="89" t="s">
        <v>41</v>
      </c>
      <c r="G695" s="57" t="s">
        <v>14</v>
      </c>
      <c r="H695" s="58" t="s">
        <v>508</v>
      </c>
      <c r="I695" s="153" t="s">
        <v>60</v>
      </c>
      <c r="J695" s="22">
        <v>32800</v>
      </c>
      <c r="K695" s="146"/>
      <c r="L695" s="22">
        <v>1600</v>
      </c>
      <c r="M695" s="102"/>
      <c r="N695" s="24"/>
      <c r="O695" s="13">
        <f>O694*20</f>
        <v>492000</v>
      </c>
      <c r="P695" s="13">
        <f t="shared" ref="P695:Q695" si="88">P694*20</f>
        <v>24000</v>
      </c>
      <c r="Q695" s="13">
        <f t="shared" si="88"/>
        <v>516000</v>
      </c>
      <c r="U695" s="33"/>
    </row>
    <row r="696" spans="1:21" s="13" customFormat="1" ht="16.5" customHeight="1" x14ac:dyDescent="0.45">
      <c r="A696" s="14">
        <v>695</v>
      </c>
      <c r="B696" s="14">
        <v>17</v>
      </c>
      <c r="C696" s="52">
        <v>2</v>
      </c>
      <c r="D696" s="53">
        <v>1</v>
      </c>
      <c r="E696" s="54">
        <v>12</v>
      </c>
      <c r="F696" s="89" t="s">
        <v>83</v>
      </c>
      <c r="G696" s="57" t="s">
        <v>14</v>
      </c>
      <c r="H696" s="58" t="s">
        <v>508</v>
      </c>
      <c r="I696" s="153" t="s">
        <v>60</v>
      </c>
      <c r="J696" s="22">
        <v>32800</v>
      </c>
      <c r="K696" s="146"/>
      <c r="L696" s="22">
        <v>1600</v>
      </c>
      <c r="M696" s="102"/>
      <c r="N696" s="24"/>
      <c r="U696" s="33"/>
    </row>
    <row r="697" spans="1:21" s="13" customFormat="1" ht="16.5" customHeight="1" x14ac:dyDescent="0.45">
      <c r="A697" s="14">
        <v>696</v>
      </c>
      <c r="B697" s="14">
        <v>18</v>
      </c>
      <c r="C697" s="52">
        <v>2</v>
      </c>
      <c r="D697" s="53">
        <v>2</v>
      </c>
      <c r="E697" s="54">
        <v>6</v>
      </c>
      <c r="F697" s="89" t="s">
        <v>509</v>
      </c>
      <c r="G697" s="57" t="s">
        <v>14</v>
      </c>
      <c r="H697" s="58" t="s">
        <v>508</v>
      </c>
      <c r="I697" s="154" t="s">
        <v>21</v>
      </c>
      <c r="J697" s="30">
        <v>16400</v>
      </c>
      <c r="K697" s="147"/>
      <c r="L697" s="30">
        <v>800</v>
      </c>
      <c r="M697" s="102"/>
      <c r="N697" s="24"/>
      <c r="S697" s="34">
        <f>SUM(O689,O692,O695)</f>
        <v>1828600</v>
      </c>
      <c r="T697" s="34">
        <f>SUM(P689,P692,P695)</f>
        <v>89200</v>
      </c>
      <c r="U697" s="34">
        <f>SUM(Q689,Q692,Q695)</f>
        <v>1917800</v>
      </c>
    </row>
    <row r="698" spans="1:21" s="13" customFormat="1" ht="16.5" customHeight="1" x14ac:dyDescent="0.45">
      <c r="A698" s="14">
        <v>697</v>
      </c>
      <c r="B698" s="14">
        <v>19</v>
      </c>
      <c r="C698" s="52">
        <v>2</v>
      </c>
      <c r="D698" s="53">
        <v>8</v>
      </c>
      <c r="E698" s="54">
        <v>16</v>
      </c>
      <c r="F698" s="89" t="s">
        <v>148</v>
      </c>
      <c r="G698" s="57" t="s">
        <v>14</v>
      </c>
      <c r="H698" s="58" t="s">
        <v>508</v>
      </c>
      <c r="I698" s="153" t="s">
        <v>60</v>
      </c>
      <c r="J698" s="22">
        <v>32800</v>
      </c>
      <c r="K698" s="146"/>
      <c r="L698" s="22">
        <v>1600</v>
      </c>
      <c r="M698" s="102"/>
      <c r="N698" s="24"/>
      <c r="U698" s="33"/>
    </row>
    <row r="699" spans="1:21" s="13" customFormat="1" ht="16.5" customHeight="1" x14ac:dyDescent="0.45">
      <c r="A699" s="14">
        <v>698</v>
      </c>
      <c r="B699" s="14">
        <v>20</v>
      </c>
      <c r="C699" s="52">
        <v>2</v>
      </c>
      <c r="D699" s="53">
        <v>9</v>
      </c>
      <c r="E699" s="54">
        <v>1</v>
      </c>
      <c r="F699" s="89" t="s">
        <v>329</v>
      </c>
      <c r="G699" s="57" t="s">
        <v>14</v>
      </c>
      <c r="H699" s="58" t="s">
        <v>508</v>
      </c>
      <c r="I699" s="153" t="s">
        <v>60</v>
      </c>
      <c r="J699" s="22">
        <v>32800</v>
      </c>
      <c r="K699" s="146"/>
      <c r="L699" s="22">
        <v>1600</v>
      </c>
      <c r="M699" s="102"/>
      <c r="N699" s="24"/>
      <c r="U699" s="33"/>
    </row>
    <row r="700" spans="1:21" s="13" customFormat="1" ht="16.5" customHeight="1" x14ac:dyDescent="0.45">
      <c r="A700" s="14">
        <v>699</v>
      </c>
      <c r="B700" s="14">
        <v>21</v>
      </c>
      <c r="C700" s="52">
        <v>2</v>
      </c>
      <c r="D700" s="53">
        <v>9</v>
      </c>
      <c r="E700" s="54">
        <v>20</v>
      </c>
      <c r="F700" s="89" t="s">
        <v>288</v>
      </c>
      <c r="G700" s="57" t="s">
        <v>14</v>
      </c>
      <c r="H700" s="58" t="s">
        <v>508</v>
      </c>
      <c r="I700" s="153" t="s">
        <v>60</v>
      </c>
      <c r="J700" s="22">
        <v>32800</v>
      </c>
      <c r="K700" s="146"/>
      <c r="L700" s="22">
        <v>1600</v>
      </c>
      <c r="M700" s="102"/>
      <c r="N700" s="24"/>
      <c r="U700" s="33"/>
    </row>
    <row r="701" spans="1:21" s="13" customFormat="1" ht="16.5" customHeight="1" x14ac:dyDescent="0.45">
      <c r="A701" s="14">
        <v>700</v>
      </c>
      <c r="B701" s="14">
        <v>22</v>
      </c>
      <c r="C701" s="52">
        <v>5</v>
      </c>
      <c r="D701" s="53">
        <v>1</v>
      </c>
      <c r="E701" s="54">
        <v>21</v>
      </c>
      <c r="F701" s="89" t="s">
        <v>253</v>
      </c>
      <c r="G701" s="57" t="s">
        <v>14</v>
      </c>
      <c r="H701" s="58" t="s">
        <v>508</v>
      </c>
      <c r="I701" s="153" t="s">
        <v>60</v>
      </c>
      <c r="J701" s="68">
        <v>32800</v>
      </c>
      <c r="K701" s="146"/>
      <c r="L701" s="68">
        <v>1600</v>
      </c>
      <c r="M701" s="102"/>
      <c r="N701" s="24"/>
      <c r="U701" s="33"/>
    </row>
    <row r="702" spans="1:21" s="13" customFormat="1" ht="16.5" customHeight="1" x14ac:dyDescent="0.45">
      <c r="A702" s="14">
        <v>701</v>
      </c>
      <c r="B702" s="35">
        <v>1</v>
      </c>
      <c r="C702" s="49">
        <v>1</v>
      </c>
      <c r="D702" s="50">
        <v>4</v>
      </c>
      <c r="E702" s="51">
        <v>4</v>
      </c>
      <c r="F702" s="39" t="s">
        <v>510</v>
      </c>
      <c r="G702" s="40" t="s">
        <v>14</v>
      </c>
      <c r="H702" s="41" t="s">
        <v>511</v>
      </c>
      <c r="I702" s="110" t="s">
        <v>16</v>
      </c>
      <c r="J702" s="151">
        <v>18900</v>
      </c>
      <c r="K702" s="155"/>
      <c r="L702" s="151">
        <v>900</v>
      </c>
      <c r="M702" s="45">
        <f>SUM(J702:K738)</f>
        <v>844200</v>
      </c>
      <c r="N702" s="24"/>
      <c r="U702" s="33"/>
    </row>
    <row r="703" spans="1:21" s="13" customFormat="1" ht="16.5" customHeight="1" x14ac:dyDescent="0.45">
      <c r="A703" s="14">
        <v>702</v>
      </c>
      <c r="B703" s="14">
        <v>2</v>
      </c>
      <c r="C703" s="52">
        <v>1</v>
      </c>
      <c r="D703" s="53">
        <v>5</v>
      </c>
      <c r="E703" s="54">
        <v>16</v>
      </c>
      <c r="F703" s="18" t="s">
        <v>18</v>
      </c>
      <c r="G703" s="19" t="s">
        <v>14</v>
      </c>
      <c r="H703" s="20" t="s">
        <v>511</v>
      </c>
      <c r="I703" s="28" t="s">
        <v>16</v>
      </c>
      <c r="J703" s="30">
        <v>18900</v>
      </c>
      <c r="K703" s="148"/>
      <c r="L703" s="30">
        <v>900</v>
      </c>
      <c r="M703" s="23"/>
      <c r="N703" s="24"/>
      <c r="R703" s="13">
        <f t="shared" ref="R703" si="89">SUM(R701:R702)</f>
        <v>0</v>
      </c>
      <c r="U703" s="33"/>
    </row>
    <row r="704" spans="1:21" s="13" customFormat="1" ht="16.5" customHeight="1" x14ac:dyDescent="0.45">
      <c r="A704" s="14">
        <v>703</v>
      </c>
      <c r="B704" s="14">
        <v>3</v>
      </c>
      <c r="C704" s="52">
        <v>1</v>
      </c>
      <c r="D704" s="53">
        <v>6</v>
      </c>
      <c r="E704" s="54">
        <v>19</v>
      </c>
      <c r="F704" s="18" t="s">
        <v>20</v>
      </c>
      <c r="G704" s="19" t="s">
        <v>14</v>
      </c>
      <c r="H704" s="20" t="s">
        <v>511</v>
      </c>
      <c r="I704" s="28" t="s">
        <v>21</v>
      </c>
      <c r="J704" s="30">
        <v>12600</v>
      </c>
      <c r="K704" s="90"/>
      <c r="L704" s="30">
        <v>600</v>
      </c>
      <c r="M704" s="23"/>
      <c r="N704" s="24"/>
      <c r="O704" s="27">
        <f>SUM(J702:K738)</f>
        <v>844200</v>
      </c>
      <c r="U704" s="33"/>
    </row>
    <row r="705" spans="1:21" s="13" customFormat="1" ht="16.5" customHeight="1" x14ac:dyDescent="0.45">
      <c r="A705" s="14">
        <v>704</v>
      </c>
      <c r="B705" s="14">
        <v>4</v>
      </c>
      <c r="C705" s="52">
        <v>1</v>
      </c>
      <c r="D705" s="53">
        <v>7</v>
      </c>
      <c r="E705" s="54">
        <v>5</v>
      </c>
      <c r="F705" s="18" t="s">
        <v>64</v>
      </c>
      <c r="G705" s="19" t="s">
        <v>14</v>
      </c>
      <c r="H705" s="20" t="s">
        <v>512</v>
      </c>
      <c r="I705" s="18" t="s">
        <v>60</v>
      </c>
      <c r="J705" s="22">
        <v>25200</v>
      </c>
      <c r="K705" s="91"/>
      <c r="L705" s="22">
        <v>1200</v>
      </c>
      <c r="M705" s="23"/>
      <c r="N705" s="24"/>
      <c r="O705" s="27">
        <f>SUM(L702:L738)</f>
        <v>40200</v>
      </c>
      <c r="U705" s="33"/>
    </row>
    <row r="706" spans="1:21" s="13" customFormat="1" ht="16.5" customHeight="1" x14ac:dyDescent="0.45">
      <c r="A706" s="14">
        <v>705</v>
      </c>
      <c r="B706" s="14">
        <v>5</v>
      </c>
      <c r="C706" s="52">
        <v>1</v>
      </c>
      <c r="D706" s="53">
        <v>8</v>
      </c>
      <c r="E706" s="54">
        <v>4</v>
      </c>
      <c r="F706" s="18" t="s">
        <v>107</v>
      </c>
      <c r="G706" s="19" t="s">
        <v>14</v>
      </c>
      <c r="H706" s="20" t="s">
        <v>511</v>
      </c>
      <c r="I706" s="28" t="s">
        <v>16</v>
      </c>
      <c r="J706" s="30">
        <v>18900</v>
      </c>
      <c r="K706" s="148"/>
      <c r="L706" s="30">
        <v>900</v>
      </c>
      <c r="M706" s="23"/>
      <c r="N706" s="24"/>
      <c r="O706" s="27">
        <f>SUM(O704:O705)</f>
        <v>884400</v>
      </c>
      <c r="U706" s="33"/>
    </row>
    <row r="707" spans="1:21" s="13" customFormat="1" ht="16.5" customHeight="1" x14ac:dyDescent="0.45">
      <c r="A707" s="14">
        <v>706</v>
      </c>
      <c r="B707" s="14">
        <v>6</v>
      </c>
      <c r="C707" s="52">
        <v>1</v>
      </c>
      <c r="D707" s="53">
        <v>8</v>
      </c>
      <c r="E707" s="54">
        <v>18</v>
      </c>
      <c r="F707" s="18" t="s">
        <v>131</v>
      </c>
      <c r="G707" s="19" t="s">
        <v>14</v>
      </c>
      <c r="H707" s="20" t="s">
        <v>511</v>
      </c>
      <c r="I707" s="18" t="s">
        <v>60</v>
      </c>
      <c r="J707" s="22">
        <v>25200</v>
      </c>
      <c r="K707" s="91"/>
      <c r="L707" s="22">
        <v>1200</v>
      </c>
      <c r="M707" s="23"/>
      <c r="N707" s="24"/>
      <c r="U707" s="33"/>
    </row>
    <row r="708" spans="1:21" s="13" customFormat="1" ht="16.5" customHeight="1" x14ac:dyDescent="0.45">
      <c r="A708" s="14">
        <v>707</v>
      </c>
      <c r="B708" s="14">
        <v>7</v>
      </c>
      <c r="C708" s="52">
        <v>1</v>
      </c>
      <c r="D708" s="53">
        <v>9</v>
      </c>
      <c r="E708" s="54">
        <v>16</v>
      </c>
      <c r="F708" s="18" t="s">
        <v>513</v>
      </c>
      <c r="G708" s="19" t="s">
        <v>14</v>
      </c>
      <c r="H708" s="20" t="s">
        <v>511</v>
      </c>
      <c r="I708" s="18" t="s">
        <v>60</v>
      </c>
      <c r="J708" s="22">
        <v>25200</v>
      </c>
      <c r="K708" s="91"/>
      <c r="L708" s="22">
        <v>1200</v>
      </c>
      <c r="M708" s="23"/>
      <c r="N708" s="24"/>
      <c r="U708" s="33"/>
    </row>
    <row r="709" spans="1:21" s="13" customFormat="1" ht="16.5" customHeight="1" x14ac:dyDescent="0.45">
      <c r="A709" s="14">
        <v>708</v>
      </c>
      <c r="B709" s="14">
        <v>8</v>
      </c>
      <c r="C709" s="52">
        <v>1</v>
      </c>
      <c r="D709" s="53">
        <v>9</v>
      </c>
      <c r="E709" s="54">
        <v>18</v>
      </c>
      <c r="F709" s="18" t="s">
        <v>134</v>
      </c>
      <c r="G709" s="19" t="s">
        <v>14</v>
      </c>
      <c r="H709" s="20" t="s">
        <v>511</v>
      </c>
      <c r="I709" s="18" t="s">
        <v>60</v>
      </c>
      <c r="J709" s="22">
        <v>25200</v>
      </c>
      <c r="K709" s="91"/>
      <c r="L709" s="22">
        <v>1200</v>
      </c>
      <c r="M709" s="23"/>
      <c r="N709" s="24"/>
      <c r="O709" s="13">
        <v>25200</v>
      </c>
      <c r="P709" s="13">
        <v>1200</v>
      </c>
      <c r="Q709" s="13">
        <v>26400</v>
      </c>
      <c r="U709" s="33"/>
    </row>
    <row r="710" spans="1:21" s="13" customFormat="1" ht="16.5" customHeight="1" x14ac:dyDescent="0.45">
      <c r="A710" s="14">
        <v>709</v>
      </c>
      <c r="B710" s="14">
        <v>9</v>
      </c>
      <c r="C710" s="52">
        <v>1</v>
      </c>
      <c r="D710" s="53">
        <v>10</v>
      </c>
      <c r="E710" s="54">
        <v>6</v>
      </c>
      <c r="F710" s="18" t="s">
        <v>514</v>
      </c>
      <c r="G710" s="19" t="s">
        <v>14</v>
      </c>
      <c r="H710" s="20" t="s">
        <v>511</v>
      </c>
      <c r="I710" s="18" t="s">
        <v>60</v>
      </c>
      <c r="J710" s="22">
        <v>25200</v>
      </c>
      <c r="K710" s="91"/>
      <c r="L710" s="22">
        <v>1200</v>
      </c>
      <c r="M710" s="23"/>
      <c r="N710" s="24"/>
      <c r="O710" s="13">
        <f>O709*37</f>
        <v>932400</v>
      </c>
      <c r="P710" s="13">
        <f t="shared" ref="P710:Q710" si="90">P709*37</f>
        <v>44400</v>
      </c>
      <c r="Q710" s="13">
        <f t="shared" si="90"/>
        <v>976800</v>
      </c>
      <c r="U710" s="33"/>
    </row>
    <row r="711" spans="1:21" s="13" customFormat="1" ht="16.5" customHeight="1" x14ac:dyDescent="0.45">
      <c r="A711" s="14">
        <v>710</v>
      </c>
      <c r="B711" s="14">
        <v>10</v>
      </c>
      <c r="C711" s="52">
        <v>1</v>
      </c>
      <c r="D711" s="53">
        <v>11</v>
      </c>
      <c r="E711" s="54">
        <v>6</v>
      </c>
      <c r="F711" s="18" t="s">
        <v>113</v>
      </c>
      <c r="G711" s="19" t="s">
        <v>14</v>
      </c>
      <c r="H711" s="20" t="s">
        <v>511</v>
      </c>
      <c r="I711" s="18" t="s">
        <v>60</v>
      </c>
      <c r="J711" s="22">
        <v>25200</v>
      </c>
      <c r="K711" s="91"/>
      <c r="L711" s="22">
        <v>1200</v>
      </c>
      <c r="M711" s="23"/>
      <c r="N711" s="24"/>
      <c r="O711" s="13">
        <v>-88200</v>
      </c>
      <c r="P711" s="13">
        <v>-4200</v>
      </c>
      <c r="Q711" s="13">
        <v>-92400</v>
      </c>
      <c r="U711" s="33"/>
    </row>
    <row r="712" spans="1:21" s="13" customFormat="1" ht="16.5" customHeight="1" x14ac:dyDescent="0.45">
      <c r="A712" s="14">
        <v>711</v>
      </c>
      <c r="B712" s="14">
        <v>11</v>
      </c>
      <c r="C712" s="52">
        <v>1</v>
      </c>
      <c r="D712" s="53">
        <v>11</v>
      </c>
      <c r="E712" s="54">
        <v>13</v>
      </c>
      <c r="F712" s="18" t="s">
        <v>43</v>
      </c>
      <c r="G712" s="19" t="s">
        <v>14</v>
      </c>
      <c r="H712" s="20" t="s">
        <v>511</v>
      </c>
      <c r="I712" s="18" t="s">
        <v>60</v>
      </c>
      <c r="J712" s="22">
        <v>25200</v>
      </c>
      <c r="K712" s="91"/>
      <c r="L712" s="22">
        <v>1200</v>
      </c>
      <c r="M712" s="23"/>
      <c r="N712" s="24"/>
      <c r="O712" s="13">
        <f>SUM(O710:O711)</f>
        <v>844200</v>
      </c>
      <c r="P712" s="13">
        <f t="shared" ref="P712:Q712" si="91">SUM(P710:P711)</f>
        <v>40200</v>
      </c>
      <c r="Q712" s="13">
        <f t="shared" si="91"/>
        <v>884400</v>
      </c>
      <c r="U712" s="33"/>
    </row>
    <row r="713" spans="1:21" s="13" customFormat="1" ht="16.5" customHeight="1" x14ac:dyDescent="0.45">
      <c r="A713" s="14">
        <v>712</v>
      </c>
      <c r="B713" s="14">
        <v>12</v>
      </c>
      <c r="C713" s="52">
        <v>1</v>
      </c>
      <c r="D713" s="53">
        <v>12</v>
      </c>
      <c r="E713" s="54">
        <v>3</v>
      </c>
      <c r="F713" s="18" t="s">
        <v>515</v>
      </c>
      <c r="G713" s="19" t="s">
        <v>14</v>
      </c>
      <c r="H713" s="20" t="s">
        <v>512</v>
      </c>
      <c r="I713" s="18" t="s">
        <v>60</v>
      </c>
      <c r="J713" s="22">
        <v>25200</v>
      </c>
      <c r="K713" s="91"/>
      <c r="L713" s="22">
        <v>1200</v>
      </c>
      <c r="M713" s="23"/>
      <c r="N713" s="24"/>
      <c r="U713" s="33"/>
    </row>
    <row r="714" spans="1:21" s="13" customFormat="1" ht="16.5" customHeight="1" x14ac:dyDescent="0.45">
      <c r="A714" s="14">
        <v>713</v>
      </c>
      <c r="B714" s="14">
        <v>13</v>
      </c>
      <c r="C714" s="92">
        <v>2</v>
      </c>
      <c r="D714" s="93">
        <v>4</v>
      </c>
      <c r="E714" s="94">
        <v>17</v>
      </c>
      <c r="F714" s="81" t="s">
        <v>285</v>
      </c>
      <c r="G714" s="82" t="s">
        <v>174</v>
      </c>
      <c r="H714" s="83" t="s">
        <v>512</v>
      </c>
      <c r="I714" s="81" t="s">
        <v>60</v>
      </c>
      <c r="J714" s="115"/>
      <c r="K714" s="85">
        <v>25200</v>
      </c>
      <c r="L714" s="85">
        <v>1200</v>
      </c>
      <c r="M714" s="23"/>
      <c r="N714" s="24"/>
      <c r="O714" s="13">
        <v>25200</v>
      </c>
      <c r="P714" s="13">
        <v>1200</v>
      </c>
      <c r="Q714" s="13">
        <v>26400</v>
      </c>
      <c r="U714" s="33"/>
    </row>
    <row r="715" spans="1:21" s="13" customFormat="1" ht="16.5" customHeight="1" x14ac:dyDescent="0.45">
      <c r="A715" s="14">
        <v>714</v>
      </c>
      <c r="B715" s="14">
        <v>14</v>
      </c>
      <c r="C715" s="52">
        <v>2</v>
      </c>
      <c r="D715" s="53">
        <v>7</v>
      </c>
      <c r="E715" s="54">
        <v>3</v>
      </c>
      <c r="F715" s="18" t="s">
        <v>378</v>
      </c>
      <c r="G715" s="19" t="s">
        <v>14</v>
      </c>
      <c r="H715" s="20" t="s">
        <v>511</v>
      </c>
      <c r="I715" s="18" t="s">
        <v>60</v>
      </c>
      <c r="J715" s="22">
        <v>25200</v>
      </c>
      <c r="K715" s="91"/>
      <c r="L715" s="22">
        <v>1200</v>
      </c>
      <c r="M715" s="23"/>
      <c r="N715" s="24"/>
      <c r="O715" s="13">
        <f>O714*36</f>
        <v>907200</v>
      </c>
      <c r="P715" s="13">
        <f t="shared" ref="P715:Q715" si="92">P714*36</f>
        <v>43200</v>
      </c>
      <c r="Q715" s="13">
        <f t="shared" si="92"/>
        <v>950400</v>
      </c>
      <c r="U715" s="33"/>
    </row>
    <row r="716" spans="1:21" s="13" customFormat="1" ht="16.5" customHeight="1" x14ac:dyDescent="0.45">
      <c r="A716" s="14">
        <v>715</v>
      </c>
      <c r="B716" s="14">
        <v>15</v>
      </c>
      <c r="C716" s="52">
        <v>2</v>
      </c>
      <c r="D716" s="53">
        <v>7</v>
      </c>
      <c r="E716" s="54">
        <v>5</v>
      </c>
      <c r="F716" s="18" t="s">
        <v>516</v>
      </c>
      <c r="G716" s="19" t="s">
        <v>14</v>
      </c>
      <c r="H716" s="20" t="s">
        <v>511</v>
      </c>
      <c r="I716" s="28" t="s">
        <v>16</v>
      </c>
      <c r="J716" s="30">
        <v>18900</v>
      </c>
      <c r="K716" s="148"/>
      <c r="L716" s="30">
        <v>900</v>
      </c>
      <c r="M716" s="23"/>
      <c r="N716" s="130">
        <f>SUM(J702:J751)</f>
        <v>1108800</v>
      </c>
      <c r="U716" s="33"/>
    </row>
    <row r="717" spans="1:21" s="13" customFormat="1" ht="16.5" customHeight="1" x14ac:dyDescent="0.45">
      <c r="A717" s="14">
        <v>716</v>
      </c>
      <c r="B717" s="14">
        <v>16</v>
      </c>
      <c r="C717" s="52">
        <v>2</v>
      </c>
      <c r="D717" s="53">
        <v>7</v>
      </c>
      <c r="E717" s="54">
        <v>19</v>
      </c>
      <c r="F717" s="18" t="s">
        <v>517</v>
      </c>
      <c r="G717" s="19" t="s">
        <v>14</v>
      </c>
      <c r="H717" s="20" t="s">
        <v>511</v>
      </c>
      <c r="I717" s="28" t="s">
        <v>16</v>
      </c>
      <c r="J717" s="30">
        <v>18900</v>
      </c>
      <c r="K717" s="148"/>
      <c r="L717" s="30">
        <v>900</v>
      </c>
      <c r="M717" s="23"/>
      <c r="N717" s="130">
        <f>SUM(K702:K751)</f>
        <v>50400</v>
      </c>
      <c r="O717" s="13">
        <v>25200</v>
      </c>
      <c r="P717" s="13">
        <v>1200</v>
      </c>
      <c r="Q717" s="13">
        <v>26400</v>
      </c>
      <c r="U717" s="33"/>
    </row>
    <row r="718" spans="1:21" s="13" customFormat="1" ht="16.5" customHeight="1" x14ac:dyDescent="0.45">
      <c r="A718" s="14">
        <v>717</v>
      </c>
      <c r="B718" s="14">
        <v>17</v>
      </c>
      <c r="C718" s="52">
        <v>2</v>
      </c>
      <c r="D718" s="53">
        <v>8</v>
      </c>
      <c r="E718" s="54">
        <v>18</v>
      </c>
      <c r="F718" s="18" t="s">
        <v>518</v>
      </c>
      <c r="G718" s="19" t="s">
        <v>14</v>
      </c>
      <c r="H718" s="20" t="s">
        <v>511</v>
      </c>
      <c r="I718" s="28" t="s">
        <v>16</v>
      </c>
      <c r="J718" s="30">
        <v>18900</v>
      </c>
      <c r="K718" s="148"/>
      <c r="L718" s="30">
        <v>900</v>
      </c>
      <c r="M718" s="23"/>
      <c r="N718" s="130"/>
      <c r="O718" s="13">
        <f>O717*36</f>
        <v>907200</v>
      </c>
      <c r="P718" s="13">
        <f t="shared" ref="P718:Q718" si="93">P717*36</f>
        <v>43200</v>
      </c>
      <c r="Q718" s="13">
        <f t="shared" si="93"/>
        <v>950400</v>
      </c>
      <c r="U718" s="33"/>
    </row>
    <row r="719" spans="1:21" s="13" customFormat="1" ht="16.5" customHeight="1" x14ac:dyDescent="0.45">
      <c r="A719" s="14">
        <v>718</v>
      </c>
      <c r="B719" s="14">
        <v>18</v>
      </c>
      <c r="C719" s="52">
        <v>2</v>
      </c>
      <c r="D719" s="53">
        <v>10</v>
      </c>
      <c r="E719" s="54">
        <v>13</v>
      </c>
      <c r="F719" s="18" t="s">
        <v>519</v>
      </c>
      <c r="G719" s="19" t="s">
        <v>14</v>
      </c>
      <c r="H719" s="20" t="s">
        <v>511</v>
      </c>
      <c r="I719" s="18" t="s">
        <v>60</v>
      </c>
      <c r="J719" s="22">
        <v>25200</v>
      </c>
      <c r="K719" s="91"/>
      <c r="L719" s="22">
        <v>1200</v>
      </c>
      <c r="M719" s="23"/>
      <c r="N719" s="24"/>
      <c r="U719" s="33"/>
    </row>
    <row r="720" spans="1:21" s="13" customFormat="1" ht="16.5" customHeight="1" x14ac:dyDescent="0.45">
      <c r="A720" s="14">
        <v>719</v>
      </c>
      <c r="B720" s="14">
        <v>19</v>
      </c>
      <c r="C720" s="52">
        <v>2</v>
      </c>
      <c r="D720" s="53">
        <v>11</v>
      </c>
      <c r="E720" s="54">
        <v>8</v>
      </c>
      <c r="F720" s="18" t="s">
        <v>520</v>
      </c>
      <c r="G720" s="19" t="s">
        <v>14</v>
      </c>
      <c r="H720" s="20" t="s">
        <v>511</v>
      </c>
      <c r="I720" s="28" t="s">
        <v>16</v>
      </c>
      <c r="J720" s="30">
        <v>18900</v>
      </c>
      <c r="K720" s="148"/>
      <c r="L720" s="30">
        <v>900</v>
      </c>
      <c r="M720" s="23"/>
      <c r="N720" s="24"/>
      <c r="S720" s="34">
        <f>SUM(O712,O715,O718)</f>
        <v>2658600</v>
      </c>
      <c r="T720" s="34">
        <f>SUM(P712,P715,P718)</f>
        <v>126600</v>
      </c>
      <c r="U720" s="34">
        <f>SUM(Q712,Q715,Q718)</f>
        <v>2785200</v>
      </c>
    </row>
    <row r="721" spans="1:21" s="13" customFormat="1" ht="16.5" customHeight="1" x14ac:dyDescent="0.45">
      <c r="A721" s="14">
        <v>720</v>
      </c>
      <c r="B721" s="14">
        <v>20</v>
      </c>
      <c r="C721" s="52">
        <v>2</v>
      </c>
      <c r="D721" s="53">
        <v>11</v>
      </c>
      <c r="E721" s="54">
        <v>19</v>
      </c>
      <c r="F721" s="18" t="s">
        <v>362</v>
      </c>
      <c r="G721" s="19" t="s">
        <v>14</v>
      </c>
      <c r="H721" s="20" t="s">
        <v>511</v>
      </c>
      <c r="I721" s="18" t="s">
        <v>60</v>
      </c>
      <c r="J721" s="22">
        <v>25200</v>
      </c>
      <c r="K721" s="91"/>
      <c r="L721" s="22">
        <v>1200</v>
      </c>
      <c r="M721" s="23"/>
      <c r="N721" s="24"/>
      <c r="U721" s="33"/>
    </row>
    <row r="722" spans="1:21" s="13" customFormat="1" ht="16.5" customHeight="1" x14ac:dyDescent="0.45">
      <c r="A722" s="14">
        <v>721</v>
      </c>
      <c r="B722" s="14">
        <v>21</v>
      </c>
      <c r="C722" s="52">
        <v>3</v>
      </c>
      <c r="D722" s="53">
        <v>2</v>
      </c>
      <c r="E722" s="54">
        <v>10</v>
      </c>
      <c r="F722" s="18" t="s">
        <v>317</v>
      </c>
      <c r="G722" s="19" t="s">
        <v>14</v>
      </c>
      <c r="H722" s="20" t="s">
        <v>521</v>
      </c>
      <c r="I722" s="18" t="s">
        <v>60</v>
      </c>
      <c r="J722" s="22">
        <v>25200</v>
      </c>
      <c r="K722" s="91"/>
      <c r="L722" s="22">
        <v>1200</v>
      </c>
      <c r="M722" s="23"/>
      <c r="N722" s="24"/>
      <c r="U722" s="33"/>
    </row>
    <row r="723" spans="1:21" s="13" customFormat="1" ht="16.5" customHeight="1" x14ac:dyDescent="0.45">
      <c r="A723" s="14">
        <v>722</v>
      </c>
      <c r="B723" s="14">
        <v>22</v>
      </c>
      <c r="C723" s="52">
        <v>3</v>
      </c>
      <c r="D723" s="53">
        <v>4</v>
      </c>
      <c r="E723" s="54">
        <v>21</v>
      </c>
      <c r="F723" s="18" t="s">
        <v>319</v>
      </c>
      <c r="G723" s="19" t="s">
        <v>14</v>
      </c>
      <c r="H723" s="20" t="s">
        <v>521</v>
      </c>
      <c r="I723" s="18" t="s">
        <v>60</v>
      </c>
      <c r="J723" s="22">
        <v>25200</v>
      </c>
      <c r="K723" s="91"/>
      <c r="L723" s="22">
        <v>1200</v>
      </c>
      <c r="M723" s="23"/>
      <c r="N723" s="24"/>
      <c r="U723" s="33"/>
    </row>
    <row r="724" spans="1:21" s="13" customFormat="1" ht="16.5" customHeight="1" x14ac:dyDescent="0.45">
      <c r="A724" s="14">
        <v>723</v>
      </c>
      <c r="B724" s="14">
        <v>23</v>
      </c>
      <c r="C724" s="52">
        <v>3</v>
      </c>
      <c r="D724" s="53">
        <v>6</v>
      </c>
      <c r="E724" s="54">
        <v>11</v>
      </c>
      <c r="F724" s="18" t="s">
        <v>88</v>
      </c>
      <c r="G724" s="19" t="s">
        <v>14</v>
      </c>
      <c r="H724" s="20" t="s">
        <v>521</v>
      </c>
      <c r="I724" s="18" t="s">
        <v>60</v>
      </c>
      <c r="J724" s="22">
        <v>25200</v>
      </c>
      <c r="K724" s="91"/>
      <c r="L724" s="22">
        <v>1200</v>
      </c>
      <c r="M724" s="23"/>
      <c r="N724" s="24"/>
      <c r="U724" s="33"/>
    </row>
    <row r="725" spans="1:21" s="13" customFormat="1" ht="16.5" customHeight="1" x14ac:dyDescent="0.45">
      <c r="A725" s="14">
        <v>724</v>
      </c>
      <c r="B725" s="14">
        <v>24</v>
      </c>
      <c r="C725" s="52">
        <v>3</v>
      </c>
      <c r="D725" s="53">
        <v>7</v>
      </c>
      <c r="E725" s="54">
        <v>21</v>
      </c>
      <c r="F725" s="18" t="s">
        <v>522</v>
      </c>
      <c r="G725" s="19" t="s">
        <v>14</v>
      </c>
      <c r="H725" s="20" t="s">
        <v>521</v>
      </c>
      <c r="I725" s="18" t="s">
        <v>60</v>
      </c>
      <c r="J725" s="22">
        <v>25200</v>
      </c>
      <c r="K725" s="91"/>
      <c r="L725" s="22">
        <v>1200</v>
      </c>
      <c r="M725" s="23"/>
      <c r="N725" s="24"/>
      <c r="U725" s="33"/>
    </row>
    <row r="726" spans="1:21" s="13" customFormat="1" ht="16.5" customHeight="1" x14ac:dyDescent="0.45">
      <c r="A726" s="14">
        <v>725</v>
      </c>
      <c r="B726" s="14">
        <v>25</v>
      </c>
      <c r="C726" s="52">
        <v>4</v>
      </c>
      <c r="D726" s="53">
        <v>1</v>
      </c>
      <c r="E726" s="54">
        <v>14</v>
      </c>
      <c r="F726" s="18" t="s">
        <v>385</v>
      </c>
      <c r="G726" s="19" t="s">
        <v>14</v>
      </c>
      <c r="H726" s="20" t="s">
        <v>521</v>
      </c>
      <c r="I726" s="28" t="s">
        <v>16</v>
      </c>
      <c r="J726" s="30">
        <v>18900</v>
      </c>
      <c r="K726" s="148"/>
      <c r="L726" s="30">
        <v>900</v>
      </c>
      <c r="M726" s="23"/>
      <c r="N726" s="24"/>
      <c r="U726" s="33"/>
    </row>
    <row r="727" spans="1:21" s="13" customFormat="1" ht="16.5" customHeight="1" x14ac:dyDescent="0.45">
      <c r="A727" s="14">
        <v>726</v>
      </c>
      <c r="B727" s="14">
        <v>26</v>
      </c>
      <c r="C727" s="52">
        <v>4</v>
      </c>
      <c r="D727" s="53">
        <v>2</v>
      </c>
      <c r="E727" s="54">
        <v>4</v>
      </c>
      <c r="F727" s="18" t="s">
        <v>523</v>
      </c>
      <c r="G727" s="19" t="s">
        <v>14</v>
      </c>
      <c r="H727" s="20" t="s">
        <v>521</v>
      </c>
      <c r="I727" s="18" t="s">
        <v>60</v>
      </c>
      <c r="J727" s="22">
        <v>25200</v>
      </c>
      <c r="K727" s="91"/>
      <c r="L727" s="22">
        <v>1200</v>
      </c>
      <c r="M727" s="23"/>
      <c r="N727" s="24"/>
      <c r="U727" s="33"/>
    </row>
    <row r="728" spans="1:21" s="13" customFormat="1" ht="16.5" customHeight="1" x14ac:dyDescent="0.45">
      <c r="A728" s="14">
        <v>727</v>
      </c>
      <c r="B728" s="14">
        <v>27</v>
      </c>
      <c r="C728" s="52">
        <v>4</v>
      </c>
      <c r="D728" s="53">
        <v>4</v>
      </c>
      <c r="E728" s="54">
        <v>10</v>
      </c>
      <c r="F728" s="18" t="s">
        <v>51</v>
      </c>
      <c r="G728" s="19" t="s">
        <v>14</v>
      </c>
      <c r="H728" s="20" t="s">
        <v>521</v>
      </c>
      <c r="I728" s="18" t="s">
        <v>60</v>
      </c>
      <c r="J728" s="22">
        <v>25200</v>
      </c>
      <c r="K728" s="91"/>
      <c r="L728" s="22">
        <v>1200</v>
      </c>
      <c r="M728" s="23"/>
      <c r="N728" s="24"/>
      <c r="U728" s="33"/>
    </row>
    <row r="729" spans="1:21" s="13" customFormat="1" ht="16.5" customHeight="1" x14ac:dyDescent="0.45">
      <c r="A729" s="14">
        <v>728</v>
      </c>
      <c r="B729" s="14">
        <v>28</v>
      </c>
      <c r="C729" s="52">
        <v>4</v>
      </c>
      <c r="D729" s="53">
        <v>4</v>
      </c>
      <c r="E729" s="54">
        <v>13</v>
      </c>
      <c r="F729" s="18" t="s">
        <v>52</v>
      </c>
      <c r="G729" s="19" t="s">
        <v>14</v>
      </c>
      <c r="H729" s="20" t="s">
        <v>521</v>
      </c>
      <c r="I729" s="18" t="s">
        <v>60</v>
      </c>
      <c r="J729" s="22">
        <v>25200</v>
      </c>
      <c r="K729" s="91"/>
      <c r="L729" s="22">
        <v>1200</v>
      </c>
      <c r="M729" s="23"/>
      <c r="N729" s="24"/>
      <c r="U729" s="33"/>
    </row>
    <row r="730" spans="1:21" s="13" customFormat="1" ht="16.5" customHeight="1" x14ac:dyDescent="0.45">
      <c r="A730" s="14">
        <v>729</v>
      </c>
      <c r="B730" s="14">
        <v>29</v>
      </c>
      <c r="C730" s="52">
        <v>4</v>
      </c>
      <c r="D730" s="53">
        <v>7</v>
      </c>
      <c r="E730" s="54">
        <v>20</v>
      </c>
      <c r="F730" s="18" t="s">
        <v>524</v>
      </c>
      <c r="G730" s="19" t="s">
        <v>14</v>
      </c>
      <c r="H730" s="20" t="s">
        <v>521</v>
      </c>
      <c r="I730" s="18" t="s">
        <v>60</v>
      </c>
      <c r="J730" s="22">
        <v>25200</v>
      </c>
      <c r="K730" s="91"/>
      <c r="L730" s="22">
        <v>1200</v>
      </c>
      <c r="M730" s="23"/>
      <c r="N730" s="24"/>
      <c r="U730" s="33"/>
    </row>
    <row r="731" spans="1:21" s="13" customFormat="1" ht="16.5" customHeight="1" x14ac:dyDescent="0.45">
      <c r="A731" s="14">
        <v>730</v>
      </c>
      <c r="B731" s="14">
        <v>30</v>
      </c>
      <c r="C731" s="52">
        <v>4</v>
      </c>
      <c r="D731" s="53">
        <v>8</v>
      </c>
      <c r="E731" s="54">
        <v>14</v>
      </c>
      <c r="F731" s="18" t="s">
        <v>344</v>
      </c>
      <c r="G731" s="19" t="s">
        <v>14</v>
      </c>
      <c r="H731" s="20" t="s">
        <v>521</v>
      </c>
      <c r="I731" s="18" t="s">
        <v>60</v>
      </c>
      <c r="J731" s="22">
        <v>25200</v>
      </c>
      <c r="K731" s="91"/>
      <c r="L731" s="22">
        <v>1200</v>
      </c>
      <c r="M731" s="23"/>
      <c r="N731" s="24"/>
      <c r="U731" s="33"/>
    </row>
    <row r="732" spans="1:21" s="13" customFormat="1" ht="16.5" customHeight="1" x14ac:dyDescent="0.45">
      <c r="A732" s="14">
        <v>731</v>
      </c>
      <c r="B732" s="14">
        <v>31</v>
      </c>
      <c r="C732" s="52">
        <v>5</v>
      </c>
      <c r="D732" s="53">
        <v>1</v>
      </c>
      <c r="E732" s="54">
        <v>11</v>
      </c>
      <c r="F732" s="18" t="s">
        <v>442</v>
      </c>
      <c r="G732" s="19" t="s">
        <v>14</v>
      </c>
      <c r="H732" s="20" t="s">
        <v>521</v>
      </c>
      <c r="I732" s="28" t="s">
        <v>16</v>
      </c>
      <c r="J732" s="30">
        <v>18900</v>
      </c>
      <c r="K732" s="148"/>
      <c r="L732" s="30">
        <v>900</v>
      </c>
      <c r="M732" s="23"/>
      <c r="N732" s="24"/>
      <c r="U732" s="33"/>
    </row>
    <row r="733" spans="1:21" s="13" customFormat="1" ht="16.5" customHeight="1" x14ac:dyDescent="0.45">
      <c r="A733" s="14">
        <v>732</v>
      </c>
      <c r="B733" s="14">
        <v>32</v>
      </c>
      <c r="C733" s="52">
        <v>5</v>
      </c>
      <c r="D733" s="53">
        <v>2</v>
      </c>
      <c r="E733" s="54">
        <v>18</v>
      </c>
      <c r="F733" s="18" t="s">
        <v>443</v>
      </c>
      <c r="G733" s="19" t="s">
        <v>14</v>
      </c>
      <c r="H733" s="20" t="s">
        <v>521</v>
      </c>
      <c r="I733" s="28" t="s">
        <v>16</v>
      </c>
      <c r="J733" s="30">
        <v>18900</v>
      </c>
      <c r="K733" s="148"/>
      <c r="L733" s="30">
        <v>900</v>
      </c>
      <c r="M733" s="23"/>
      <c r="N733" s="24"/>
      <c r="U733" s="33"/>
    </row>
    <row r="734" spans="1:21" s="13" customFormat="1" ht="16.5" customHeight="1" x14ac:dyDescent="0.45">
      <c r="A734" s="14">
        <v>733</v>
      </c>
      <c r="B734" s="14">
        <v>33</v>
      </c>
      <c r="C734" s="52">
        <v>5</v>
      </c>
      <c r="D734" s="53">
        <v>3</v>
      </c>
      <c r="E734" s="54">
        <v>9</v>
      </c>
      <c r="F734" s="18" t="s">
        <v>466</v>
      </c>
      <c r="G734" s="19" t="s">
        <v>14</v>
      </c>
      <c r="H734" s="20" t="s">
        <v>521</v>
      </c>
      <c r="I734" s="18" t="s">
        <v>60</v>
      </c>
      <c r="J734" s="22">
        <v>25200</v>
      </c>
      <c r="K734" s="91"/>
      <c r="L734" s="22">
        <v>1200</v>
      </c>
      <c r="M734" s="23"/>
      <c r="N734" s="24"/>
      <c r="U734" s="33"/>
    </row>
    <row r="735" spans="1:21" s="13" customFormat="1" ht="16.5" customHeight="1" x14ac:dyDescent="0.45">
      <c r="A735" s="14">
        <v>734</v>
      </c>
      <c r="B735" s="14">
        <v>34</v>
      </c>
      <c r="C735" s="92">
        <v>5</v>
      </c>
      <c r="D735" s="93">
        <v>3</v>
      </c>
      <c r="E735" s="94">
        <v>25</v>
      </c>
      <c r="F735" s="81" t="s">
        <v>525</v>
      </c>
      <c r="G735" s="82" t="s">
        <v>174</v>
      </c>
      <c r="H735" s="83" t="s">
        <v>521</v>
      </c>
      <c r="I735" s="81" t="s">
        <v>60</v>
      </c>
      <c r="J735" s="115"/>
      <c r="K735" s="85">
        <v>25200</v>
      </c>
      <c r="L735" s="85">
        <v>1200</v>
      </c>
      <c r="M735" s="23"/>
      <c r="N735" s="24"/>
      <c r="U735" s="33"/>
    </row>
    <row r="736" spans="1:21" s="13" customFormat="1" ht="16.5" customHeight="1" x14ac:dyDescent="0.45">
      <c r="A736" s="14">
        <v>735</v>
      </c>
      <c r="B736" s="14">
        <v>35</v>
      </c>
      <c r="C736" s="52">
        <v>5</v>
      </c>
      <c r="D736" s="53">
        <v>5</v>
      </c>
      <c r="E736" s="54">
        <v>20</v>
      </c>
      <c r="F736" s="18" t="s">
        <v>526</v>
      </c>
      <c r="G736" s="19" t="s">
        <v>14</v>
      </c>
      <c r="H736" s="20" t="s">
        <v>521</v>
      </c>
      <c r="I736" s="28" t="s">
        <v>16</v>
      </c>
      <c r="J736" s="30">
        <v>18900</v>
      </c>
      <c r="K736" s="148"/>
      <c r="L736" s="30">
        <v>900</v>
      </c>
      <c r="M736" s="23"/>
      <c r="N736" s="24"/>
      <c r="U736" s="33"/>
    </row>
    <row r="737" spans="1:25" s="13" customFormat="1" ht="16.5" customHeight="1" x14ac:dyDescent="0.45">
      <c r="A737" s="14">
        <v>736</v>
      </c>
      <c r="B737" s="14">
        <v>36</v>
      </c>
      <c r="C737" s="52">
        <v>5</v>
      </c>
      <c r="D737" s="53">
        <v>5</v>
      </c>
      <c r="E737" s="54">
        <v>27</v>
      </c>
      <c r="F737" s="18" t="s">
        <v>301</v>
      </c>
      <c r="G737" s="19" t="s">
        <v>14</v>
      </c>
      <c r="H737" s="20" t="s">
        <v>521</v>
      </c>
      <c r="I737" s="28" t="s">
        <v>16</v>
      </c>
      <c r="J737" s="30">
        <v>18900</v>
      </c>
      <c r="K737" s="148"/>
      <c r="L737" s="30">
        <v>900</v>
      </c>
      <c r="M737" s="23"/>
      <c r="N737" s="24"/>
      <c r="U737" s="33"/>
    </row>
    <row r="738" spans="1:25" s="13" customFormat="1" ht="16.5" customHeight="1" x14ac:dyDescent="0.45">
      <c r="A738" s="14">
        <v>737</v>
      </c>
      <c r="B738" s="156">
        <v>37</v>
      </c>
      <c r="C738" s="62">
        <v>6</v>
      </c>
      <c r="D738" s="63">
        <v>6</v>
      </c>
      <c r="E738" s="64">
        <v>20</v>
      </c>
      <c r="F738" s="48" t="s">
        <v>527</v>
      </c>
      <c r="G738" s="157" t="s">
        <v>14</v>
      </c>
      <c r="H738" s="158" t="s">
        <v>521</v>
      </c>
      <c r="I738" s="48" t="s">
        <v>60</v>
      </c>
      <c r="J738" s="68">
        <v>25200</v>
      </c>
      <c r="K738" s="159"/>
      <c r="L738" s="68">
        <v>1200</v>
      </c>
      <c r="M738" s="69"/>
      <c r="N738" s="24"/>
      <c r="U738" s="33"/>
    </row>
    <row r="739" spans="1:25" s="13" customFormat="1" ht="16.5" customHeight="1" x14ac:dyDescent="0.45">
      <c r="A739" s="14">
        <v>738</v>
      </c>
      <c r="B739" s="35">
        <v>1</v>
      </c>
      <c r="C739" s="49">
        <v>1</v>
      </c>
      <c r="D739" s="50">
        <v>3</v>
      </c>
      <c r="E739" s="51">
        <v>1</v>
      </c>
      <c r="F739" s="87" t="s">
        <v>528</v>
      </c>
      <c r="G739" s="55" t="s">
        <v>14</v>
      </c>
      <c r="H739" s="56" t="s">
        <v>529</v>
      </c>
      <c r="I739" s="39" t="s">
        <v>60</v>
      </c>
      <c r="J739" s="44">
        <v>25200</v>
      </c>
      <c r="K739" s="88"/>
      <c r="L739" s="44">
        <v>1200</v>
      </c>
      <c r="M739" s="45">
        <f>SUM(J739:K751)</f>
        <v>315000</v>
      </c>
      <c r="N739" s="24"/>
      <c r="U739" s="33"/>
    </row>
    <row r="740" spans="1:25" s="13" customFormat="1" ht="16.5" customHeight="1" x14ac:dyDescent="0.45">
      <c r="A740" s="14">
        <v>739</v>
      </c>
      <c r="B740" s="14">
        <v>2</v>
      </c>
      <c r="C740" s="52">
        <v>1</v>
      </c>
      <c r="D740" s="53">
        <v>3</v>
      </c>
      <c r="E740" s="54">
        <v>13</v>
      </c>
      <c r="F740" s="89" t="s">
        <v>530</v>
      </c>
      <c r="G740" s="57" t="s">
        <v>14</v>
      </c>
      <c r="H740" s="58" t="s">
        <v>529</v>
      </c>
      <c r="I740" s="18" t="s">
        <v>60</v>
      </c>
      <c r="J740" s="22">
        <v>25200</v>
      </c>
      <c r="K740" s="91"/>
      <c r="L740" s="22">
        <v>1200</v>
      </c>
      <c r="M740" s="23"/>
      <c r="N740" s="24"/>
      <c r="O740" s="160">
        <f>SUM(J739:K751)</f>
        <v>315000</v>
      </c>
      <c r="U740" s="33"/>
    </row>
    <row r="741" spans="1:25" s="13" customFormat="1" ht="16.5" customHeight="1" x14ac:dyDescent="0.45">
      <c r="A741" s="14">
        <v>740</v>
      </c>
      <c r="B741" s="14">
        <v>3</v>
      </c>
      <c r="C741" s="52">
        <v>1</v>
      </c>
      <c r="D741" s="53">
        <v>3</v>
      </c>
      <c r="E741" s="54">
        <v>16</v>
      </c>
      <c r="F741" s="89" t="s">
        <v>531</v>
      </c>
      <c r="G741" s="57" t="s">
        <v>14</v>
      </c>
      <c r="H741" s="58" t="s">
        <v>532</v>
      </c>
      <c r="I741" s="18" t="s">
        <v>60</v>
      </c>
      <c r="J741" s="22">
        <v>25200</v>
      </c>
      <c r="K741" s="91"/>
      <c r="L741" s="22">
        <v>1200</v>
      </c>
      <c r="M741" s="23"/>
      <c r="N741" s="24"/>
      <c r="O741" s="160">
        <f>SUM(L739:L751)</f>
        <v>15000</v>
      </c>
      <c r="U741" s="33"/>
    </row>
    <row r="742" spans="1:25" s="13" customFormat="1" ht="16.5" customHeight="1" x14ac:dyDescent="0.45">
      <c r="A742" s="14">
        <v>741</v>
      </c>
      <c r="B742" s="14">
        <v>4</v>
      </c>
      <c r="C742" s="52">
        <v>1</v>
      </c>
      <c r="D742" s="53">
        <v>3</v>
      </c>
      <c r="E742" s="54">
        <v>20</v>
      </c>
      <c r="F742" s="89" t="s">
        <v>533</v>
      </c>
      <c r="G742" s="57" t="s">
        <v>14</v>
      </c>
      <c r="H742" s="58" t="s">
        <v>529</v>
      </c>
      <c r="I742" s="18" t="s">
        <v>60</v>
      </c>
      <c r="J742" s="22">
        <v>25200</v>
      </c>
      <c r="K742" s="91"/>
      <c r="L742" s="22">
        <v>1200</v>
      </c>
      <c r="M742" s="23"/>
      <c r="N742" s="24"/>
      <c r="O742" s="160">
        <f>SUM(O740:O741)</f>
        <v>330000</v>
      </c>
      <c r="U742" s="33"/>
    </row>
    <row r="743" spans="1:25" s="13" customFormat="1" ht="16.5" customHeight="1" x14ac:dyDescent="0.45">
      <c r="A743" s="14">
        <v>742</v>
      </c>
      <c r="B743" s="14">
        <v>5</v>
      </c>
      <c r="C743" s="52">
        <v>1</v>
      </c>
      <c r="D743" s="53">
        <v>10</v>
      </c>
      <c r="E743" s="54">
        <v>1</v>
      </c>
      <c r="F743" s="89" t="s">
        <v>534</v>
      </c>
      <c r="G743" s="57" t="s">
        <v>14</v>
      </c>
      <c r="H743" s="58" t="s">
        <v>529</v>
      </c>
      <c r="I743" s="18" t="s">
        <v>60</v>
      </c>
      <c r="J743" s="22">
        <v>25200</v>
      </c>
      <c r="K743" s="91"/>
      <c r="L743" s="22">
        <v>1200</v>
      </c>
      <c r="M743" s="23"/>
      <c r="N743" s="24"/>
      <c r="U743" s="33"/>
    </row>
    <row r="744" spans="1:25" s="13" customFormat="1" ht="16.5" customHeight="1" x14ac:dyDescent="0.45">
      <c r="A744" s="14">
        <v>743</v>
      </c>
      <c r="B744" s="14">
        <v>6</v>
      </c>
      <c r="C744" s="52">
        <v>1</v>
      </c>
      <c r="D744" s="53">
        <v>11</v>
      </c>
      <c r="E744" s="54">
        <v>10</v>
      </c>
      <c r="F744" s="89" t="s">
        <v>535</v>
      </c>
      <c r="G744" s="57" t="s">
        <v>14</v>
      </c>
      <c r="H744" s="58" t="s">
        <v>529</v>
      </c>
      <c r="I744" s="18" t="s">
        <v>60</v>
      </c>
      <c r="J744" s="22">
        <v>25200</v>
      </c>
      <c r="K744" s="91"/>
      <c r="L744" s="22">
        <v>1200</v>
      </c>
      <c r="M744" s="23"/>
      <c r="N744" s="24"/>
      <c r="O744" s="13">
        <v>25200</v>
      </c>
      <c r="P744" s="13">
        <v>1200</v>
      </c>
      <c r="Q744" s="13">
        <v>26400</v>
      </c>
      <c r="U744" s="33"/>
      <c r="W744" s="13">
        <v>18900</v>
      </c>
      <c r="X744" s="13">
        <v>900</v>
      </c>
      <c r="Y744" s="13">
        <v>19800</v>
      </c>
    </row>
    <row r="745" spans="1:25" s="13" customFormat="1" ht="16.5" customHeight="1" x14ac:dyDescent="0.45">
      <c r="A745" s="14">
        <v>744</v>
      </c>
      <c r="B745" s="14">
        <v>7</v>
      </c>
      <c r="C745" s="52">
        <v>2</v>
      </c>
      <c r="D745" s="53">
        <v>2</v>
      </c>
      <c r="E745" s="54">
        <v>3</v>
      </c>
      <c r="F745" s="89" t="s">
        <v>536</v>
      </c>
      <c r="G745" s="57" t="s">
        <v>14</v>
      </c>
      <c r="H745" s="58" t="s">
        <v>532</v>
      </c>
      <c r="I745" s="18" t="s">
        <v>60</v>
      </c>
      <c r="J745" s="22">
        <v>25200</v>
      </c>
      <c r="K745" s="91"/>
      <c r="L745" s="22">
        <v>1200</v>
      </c>
      <c r="M745" s="23"/>
      <c r="N745" s="24"/>
      <c r="O745" s="13">
        <f>O744*13</f>
        <v>327600</v>
      </c>
      <c r="P745" s="13">
        <f t="shared" ref="P745:Q745" si="94">P744*13</f>
        <v>15600</v>
      </c>
      <c r="Q745" s="13">
        <f t="shared" si="94"/>
        <v>343200</v>
      </c>
      <c r="U745" s="33"/>
      <c r="W745" s="13">
        <f>W744*13</f>
        <v>245700</v>
      </c>
      <c r="X745" s="13">
        <f t="shared" ref="X745:Y745" si="95">X744*13</f>
        <v>11700</v>
      </c>
      <c r="Y745" s="13">
        <f t="shared" si="95"/>
        <v>257400</v>
      </c>
    </row>
    <row r="746" spans="1:25" s="13" customFormat="1" ht="16.5" customHeight="1" x14ac:dyDescent="0.45">
      <c r="A746" s="14">
        <v>745</v>
      </c>
      <c r="B746" s="14">
        <v>8</v>
      </c>
      <c r="C746" s="52">
        <v>2</v>
      </c>
      <c r="D746" s="53">
        <v>4</v>
      </c>
      <c r="E746" s="54">
        <v>2</v>
      </c>
      <c r="F746" s="89" t="s">
        <v>537</v>
      </c>
      <c r="G746" s="57" t="s">
        <v>14</v>
      </c>
      <c r="H746" s="58" t="s">
        <v>529</v>
      </c>
      <c r="I746" s="18" t="s">
        <v>60</v>
      </c>
      <c r="J746" s="22">
        <v>25200</v>
      </c>
      <c r="K746" s="91"/>
      <c r="L746" s="22">
        <v>1200</v>
      </c>
      <c r="M746" s="23"/>
      <c r="N746" s="24"/>
      <c r="O746" s="13">
        <v>-12600</v>
      </c>
      <c r="P746" s="13">
        <v>-600</v>
      </c>
      <c r="Q746" s="13">
        <v>-13200</v>
      </c>
      <c r="R746" s="13">
        <f t="shared" ref="R746" si="96">SUM(R744:R745)</f>
        <v>0</v>
      </c>
      <c r="U746" s="33"/>
    </row>
    <row r="747" spans="1:25" s="13" customFormat="1" ht="16.5" customHeight="1" x14ac:dyDescent="0.45">
      <c r="A747" s="14">
        <v>746</v>
      </c>
      <c r="B747" s="14">
        <v>9</v>
      </c>
      <c r="C747" s="52">
        <v>2</v>
      </c>
      <c r="D747" s="53">
        <v>6</v>
      </c>
      <c r="E747" s="54">
        <v>13</v>
      </c>
      <c r="F747" s="89" t="s">
        <v>359</v>
      </c>
      <c r="G747" s="57" t="s">
        <v>14</v>
      </c>
      <c r="H747" s="58" t="s">
        <v>529</v>
      </c>
      <c r="I747" s="28" t="s">
        <v>16</v>
      </c>
      <c r="J747" s="30">
        <v>18900</v>
      </c>
      <c r="K747" s="148"/>
      <c r="L747" s="30">
        <v>900</v>
      </c>
      <c r="M747" s="23"/>
      <c r="N747" s="24"/>
      <c r="O747" s="13">
        <f>SUM(O745:O746)</f>
        <v>315000</v>
      </c>
      <c r="P747" s="13">
        <f>SUM(P745:P746)</f>
        <v>15000</v>
      </c>
      <c r="Q747" s="13">
        <f>SUM(Q745:Q746)</f>
        <v>330000</v>
      </c>
      <c r="U747" s="33"/>
    </row>
    <row r="748" spans="1:25" s="13" customFormat="1" ht="16.5" customHeight="1" x14ac:dyDescent="0.45">
      <c r="A748" s="14">
        <v>747</v>
      </c>
      <c r="B748" s="14">
        <v>10</v>
      </c>
      <c r="C748" s="52">
        <v>2</v>
      </c>
      <c r="D748" s="53">
        <v>8</v>
      </c>
      <c r="E748" s="54">
        <v>17</v>
      </c>
      <c r="F748" s="89" t="s">
        <v>538</v>
      </c>
      <c r="G748" s="57" t="s">
        <v>14</v>
      </c>
      <c r="H748" s="58" t="s">
        <v>529</v>
      </c>
      <c r="I748" s="18" t="s">
        <v>60</v>
      </c>
      <c r="J748" s="22">
        <v>25200</v>
      </c>
      <c r="K748" s="91"/>
      <c r="L748" s="22">
        <v>1200</v>
      </c>
      <c r="M748" s="23"/>
      <c r="N748" s="24"/>
    </row>
    <row r="749" spans="1:25" s="13" customFormat="1" ht="16.5" customHeight="1" x14ac:dyDescent="0.45">
      <c r="A749" s="14">
        <v>748</v>
      </c>
      <c r="B749" s="14">
        <v>11</v>
      </c>
      <c r="C749" s="52">
        <v>2</v>
      </c>
      <c r="D749" s="53">
        <v>9</v>
      </c>
      <c r="E749" s="54">
        <v>12</v>
      </c>
      <c r="F749" s="89" t="s">
        <v>379</v>
      </c>
      <c r="G749" s="57" t="s">
        <v>14</v>
      </c>
      <c r="H749" s="58" t="s">
        <v>529</v>
      </c>
      <c r="I749" s="18" t="s">
        <v>60</v>
      </c>
      <c r="J749" s="22">
        <v>25200</v>
      </c>
      <c r="K749" s="91"/>
      <c r="L749" s="22">
        <v>1200</v>
      </c>
      <c r="M749" s="23"/>
      <c r="N749" s="24"/>
      <c r="O749" s="13">
        <v>25200</v>
      </c>
      <c r="P749" s="13">
        <v>1200</v>
      </c>
      <c r="Q749" s="13">
        <v>26400</v>
      </c>
    </row>
    <row r="750" spans="1:25" s="13" customFormat="1" ht="16.5" customHeight="1" x14ac:dyDescent="0.45">
      <c r="A750" s="14">
        <v>749</v>
      </c>
      <c r="B750" s="14">
        <v>12</v>
      </c>
      <c r="C750" s="52">
        <v>2</v>
      </c>
      <c r="D750" s="53">
        <v>10</v>
      </c>
      <c r="E750" s="54">
        <v>23</v>
      </c>
      <c r="F750" s="89" t="s">
        <v>438</v>
      </c>
      <c r="G750" s="57" t="s">
        <v>14</v>
      </c>
      <c r="H750" s="58" t="s">
        <v>529</v>
      </c>
      <c r="I750" s="28" t="s">
        <v>16</v>
      </c>
      <c r="J750" s="30">
        <v>18900</v>
      </c>
      <c r="K750" s="148"/>
      <c r="L750" s="30">
        <v>900</v>
      </c>
      <c r="M750" s="23"/>
      <c r="N750" s="24"/>
      <c r="O750" s="13">
        <f>O749*13</f>
        <v>327600</v>
      </c>
      <c r="P750" s="13">
        <f t="shared" ref="P750:Q750" si="97">P749*13</f>
        <v>15600</v>
      </c>
      <c r="Q750" s="13">
        <f t="shared" si="97"/>
        <v>343200</v>
      </c>
    </row>
    <row r="751" spans="1:25" s="13" customFormat="1" ht="16.5" customHeight="1" x14ac:dyDescent="0.45">
      <c r="A751" s="14">
        <v>750</v>
      </c>
      <c r="B751" s="14">
        <v>13</v>
      </c>
      <c r="C751" s="52">
        <v>2</v>
      </c>
      <c r="D751" s="53">
        <v>11</v>
      </c>
      <c r="E751" s="54">
        <v>5</v>
      </c>
      <c r="F751" s="89" t="s">
        <v>539</v>
      </c>
      <c r="G751" s="57" t="s">
        <v>14</v>
      </c>
      <c r="H751" s="58" t="s">
        <v>529</v>
      </c>
      <c r="I751" s="18" t="s">
        <v>60</v>
      </c>
      <c r="J751" s="22">
        <v>25200</v>
      </c>
      <c r="K751" s="91"/>
      <c r="L751" s="22">
        <v>1200</v>
      </c>
      <c r="M751" s="69"/>
      <c r="N751" s="24"/>
      <c r="S751" s="34">
        <f>SUM(O747,O750,W745)</f>
        <v>888300</v>
      </c>
      <c r="T751" s="34">
        <f>SUM(P747,P750,X745)</f>
        <v>42300</v>
      </c>
      <c r="U751" s="34">
        <f>SUM(Q747,Q750,Y745)</f>
        <v>930600</v>
      </c>
    </row>
    <row r="752" spans="1:25" s="13" customFormat="1" ht="16.5" customHeight="1" x14ac:dyDescent="0.45">
      <c r="A752" s="14">
        <v>751</v>
      </c>
      <c r="B752" s="35">
        <v>1</v>
      </c>
      <c r="C752" s="49">
        <v>4</v>
      </c>
      <c r="D752" s="50">
        <v>1</v>
      </c>
      <c r="E752" s="51">
        <v>7</v>
      </c>
      <c r="F752" s="39" t="s">
        <v>540</v>
      </c>
      <c r="G752" s="40" t="s">
        <v>14</v>
      </c>
      <c r="H752" s="41" t="s">
        <v>541</v>
      </c>
      <c r="I752" s="161" t="s">
        <v>542</v>
      </c>
      <c r="J752" s="43">
        <v>22050</v>
      </c>
      <c r="K752" s="44"/>
      <c r="L752" s="71">
        <v>1050</v>
      </c>
      <c r="M752" s="45">
        <f>SUM(J752:K773)</f>
        <v>529200</v>
      </c>
      <c r="N752" s="24"/>
      <c r="U752" s="33"/>
    </row>
    <row r="753" spans="1:21" s="13" customFormat="1" ht="16.5" customHeight="1" x14ac:dyDescent="0.45">
      <c r="A753" s="14">
        <v>752</v>
      </c>
      <c r="B753" s="14">
        <v>2</v>
      </c>
      <c r="C753" s="52">
        <v>4</v>
      </c>
      <c r="D753" s="53">
        <v>3</v>
      </c>
      <c r="E753" s="54">
        <v>6</v>
      </c>
      <c r="F753" s="18" t="s">
        <v>543</v>
      </c>
      <c r="G753" s="19" t="s">
        <v>14</v>
      </c>
      <c r="H753" s="20" t="s">
        <v>544</v>
      </c>
      <c r="I753" s="153" t="s">
        <v>545</v>
      </c>
      <c r="J753" s="21">
        <v>25200</v>
      </c>
      <c r="K753" s="22"/>
      <c r="L753" s="77">
        <v>1200</v>
      </c>
      <c r="M753" s="23"/>
      <c r="N753" s="24"/>
      <c r="U753" s="33"/>
    </row>
    <row r="754" spans="1:21" s="13" customFormat="1" ht="16.5" customHeight="1" x14ac:dyDescent="0.45">
      <c r="A754" s="14">
        <v>753</v>
      </c>
      <c r="B754" s="14">
        <v>3</v>
      </c>
      <c r="C754" s="52">
        <v>4</v>
      </c>
      <c r="D754" s="53">
        <v>3</v>
      </c>
      <c r="E754" s="54">
        <v>7</v>
      </c>
      <c r="F754" s="18" t="s">
        <v>546</v>
      </c>
      <c r="G754" s="19" t="s">
        <v>14</v>
      </c>
      <c r="H754" s="20" t="s">
        <v>544</v>
      </c>
      <c r="I754" s="153" t="s">
        <v>545</v>
      </c>
      <c r="J754" s="21">
        <v>25200</v>
      </c>
      <c r="K754" s="22"/>
      <c r="L754" s="77">
        <v>1200</v>
      </c>
      <c r="M754" s="23"/>
      <c r="N754" s="24"/>
      <c r="O754" s="27">
        <f>SUM(J752:K773)</f>
        <v>529200</v>
      </c>
      <c r="U754" s="33"/>
    </row>
    <row r="755" spans="1:21" s="13" customFormat="1" ht="16.5" customHeight="1" x14ac:dyDescent="0.45">
      <c r="A755" s="14">
        <v>754</v>
      </c>
      <c r="B755" s="14">
        <v>4</v>
      </c>
      <c r="C755" s="52">
        <v>4</v>
      </c>
      <c r="D755" s="53">
        <v>3</v>
      </c>
      <c r="E755" s="54">
        <v>17</v>
      </c>
      <c r="F755" s="18" t="s">
        <v>547</v>
      </c>
      <c r="G755" s="19" t="s">
        <v>14</v>
      </c>
      <c r="H755" s="20" t="s">
        <v>544</v>
      </c>
      <c r="I755" s="153" t="s">
        <v>545</v>
      </c>
      <c r="J755" s="21">
        <v>25200</v>
      </c>
      <c r="K755" s="22"/>
      <c r="L755" s="77">
        <v>1200</v>
      </c>
      <c r="M755" s="23"/>
      <c r="N755" s="24"/>
      <c r="O755" s="27">
        <f>SUM(L752:L773)</f>
        <v>25200</v>
      </c>
      <c r="U755" s="33"/>
    </row>
    <row r="756" spans="1:21" s="13" customFormat="1" ht="16.5" customHeight="1" x14ac:dyDescent="0.45">
      <c r="A756" s="14">
        <v>755</v>
      </c>
      <c r="B756" s="14">
        <v>5</v>
      </c>
      <c r="C756" s="52">
        <v>4</v>
      </c>
      <c r="D756" s="53">
        <v>5</v>
      </c>
      <c r="E756" s="54">
        <v>5</v>
      </c>
      <c r="F756" s="18" t="s">
        <v>548</v>
      </c>
      <c r="G756" s="19" t="s">
        <v>14</v>
      </c>
      <c r="H756" s="20" t="s">
        <v>541</v>
      </c>
      <c r="I756" s="153" t="s">
        <v>542</v>
      </c>
      <c r="J756" s="21">
        <v>22050</v>
      </c>
      <c r="K756" s="22"/>
      <c r="L756" s="77">
        <v>1050</v>
      </c>
      <c r="M756" s="23"/>
      <c r="N756" s="24"/>
      <c r="O756" s="27">
        <f>SUM(O754:O755)</f>
        <v>554400</v>
      </c>
      <c r="U756" s="33"/>
    </row>
    <row r="757" spans="1:21" s="13" customFormat="1" ht="16.5" customHeight="1" x14ac:dyDescent="0.45">
      <c r="A757" s="14">
        <v>756</v>
      </c>
      <c r="B757" s="14">
        <v>6</v>
      </c>
      <c r="C757" s="52">
        <v>4</v>
      </c>
      <c r="D757" s="53">
        <v>6</v>
      </c>
      <c r="E757" s="54">
        <v>15</v>
      </c>
      <c r="F757" s="18" t="s">
        <v>368</v>
      </c>
      <c r="G757" s="19" t="s">
        <v>14</v>
      </c>
      <c r="H757" s="20" t="s">
        <v>544</v>
      </c>
      <c r="I757" s="153" t="s">
        <v>545</v>
      </c>
      <c r="J757" s="21">
        <v>25200</v>
      </c>
      <c r="K757" s="22"/>
      <c r="L757" s="77">
        <v>1200</v>
      </c>
      <c r="M757" s="23"/>
      <c r="N757" s="24"/>
      <c r="U757" s="33"/>
    </row>
    <row r="758" spans="1:21" s="13" customFormat="1" ht="16.5" customHeight="1" x14ac:dyDescent="0.45">
      <c r="A758" s="14">
        <v>757</v>
      </c>
      <c r="B758" s="14">
        <v>7</v>
      </c>
      <c r="C758" s="52">
        <v>4</v>
      </c>
      <c r="D758" s="53">
        <v>7</v>
      </c>
      <c r="E758" s="54">
        <v>13</v>
      </c>
      <c r="F758" s="18" t="s">
        <v>549</v>
      </c>
      <c r="G758" s="19" t="s">
        <v>14</v>
      </c>
      <c r="H758" s="20" t="s">
        <v>544</v>
      </c>
      <c r="I758" s="153" t="s">
        <v>545</v>
      </c>
      <c r="J758" s="21">
        <v>25200</v>
      </c>
      <c r="K758" s="22"/>
      <c r="L758" s="77">
        <v>1200</v>
      </c>
      <c r="M758" s="23"/>
      <c r="N758" s="24"/>
      <c r="U758" s="33"/>
    </row>
    <row r="759" spans="1:21" s="13" customFormat="1" ht="16.5" customHeight="1" x14ac:dyDescent="0.45">
      <c r="A759" s="14">
        <v>758</v>
      </c>
      <c r="B759" s="14">
        <v>8</v>
      </c>
      <c r="C759" s="52">
        <v>5</v>
      </c>
      <c r="D759" s="53">
        <v>2</v>
      </c>
      <c r="E759" s="54">
        <v>4</v>
      </c>
      <c r="F759" s="18" t="s">
        <v>94</v>
      </c>
      <c r="G759" s="19" t="s">
        <v>14</v>
      </c>
      <c r="H759" s="20" t="s">
        <v>544</v>
      </c>
      <c r="I759" s="153" t="s">
        <v>545</v>
      </c>
      <c r="J759" s="21">
        <v>25200</v>
      </c>
      <c r="K759" s="22"/>
      <c r="L759" s="77">
        <v>1200</v>
      </c>
      <c r="M759" s="23"/>
      <c r="N759" s="24"/>
      <c r="O759" s="13">
        <v>25200</v>
      </c>
      <c r="P759" s="13">
        <v>1200</v>
      </c>
      <c r="Q759" s="13">
        <v>26400</v>
      </c>
      <c r="U759" s="33"/>
    </row>
    <row r="760" spans="1:21" s="13" customFormat="1" ht="16.5" customHeight="1" x14ac:dyDescent="0.45">
      <c r="A760" s="14">
        <v>759</v>
      </c>
      <c r="B760" s="14">
        <v>9</v>
      </c>
      <c r="C760" s="52">
        <v>5</v>
      </c>
      <c r="D760" s="53">
        <v>2</v>
      </c>
      <c r="E760" s="54">
        <v>10</v>
      </c>
      <c r="F760" s="18" t="s">
        <v>232</v>
      </c>
      <c r="G760" s="19" t="s">
        <v>14</v>
      </c>
      <c r="H760" s="20" t="s">
        <v>544</v>
      </c>
      <c r="I760" s="153" t="s">
        <v>545</v>
      </c>
      <c r="J760" s="21">
        <v>25200</v>
      </c>
      <c r="K760" s="22"/>
      <c r="L760" s="77">
        <v>1200</v>
      </c>
      <c r="M760" s="23"/>
      <c r="N760" s="24"/>
      <c r="O760" s="13">
        <f>O759*22</f>
        <v>554400</v>
      </c>
      <c r="P760" s="13">
        <f t="shared" ref="P760:Q760" si="98">P759*22</f>
        <v>26400</v>
      </c>
      <c r="Q760" s="13">
        <f t="shared" si="98"/>
        <v>580800</v>
      </c>
      <c r="U760" s="33"/>
    </row>
    <row r="761" spans="1:21" s="13" customFormat="1" ht="16.5" customHeight="1" x14ac:dyDescent="0.45">
      <c r="A761" s="14">
        <v>760</v>
      </c>
      <c r="B761" s="14">
        <v>10</v>
      </c>
      <c r="C761" s="52">
        <v>5</v>
      </c>
      <c r="D761" s="53">
        <v>2</v>
      </c>
      <c r="E761" s="54">
        <v>19</v>
      </c>
      <c r="F761" s="18" t="s">
        <v>550</v>
      </c>
      <c r="G761" s="19" t="s">
        <v>14</v>
      </c>
      <c r="H761" s="20" t="s">
        <v>544</v>
      </c>
      <c r="I761" s="153" t="s">
        <v>545</v>
      </c>
      <c r="J761" s="21">
        <v>25200</v>
      </c>
      <c r="K761" s="22"/>
      <c r="L761" s="77">
        <v>1200</v>
      </c>
      <c r="M761" s="23"/>
      <c r="N761" s="24"/>
      <c r="O761" s="13">
        <v>-25200</v>
      </c>
      <c r="P761" s="13">
        <v>-1200</v>
      </c>
      <c r="Q761" s="13">
        <v>-26400</v>
      </c>
      <c r="U761" s="33"/>
    </row>
    <row r="762" spans="1:21" s="13" customFormat="1" ht="16.5" customHeight="1" x14ac:dyDescent="0.45">
      <c r="A762" s="14">
        <v>761</v>
      </c>
      <c r="B762" s="14">
        <v>11</v>
      </c>
      <c r="C762" s="52">
        <v>5</v>
      </c>
      <c r="D762" s="53">
        <v>2</v>
      </c>
      <c r="E762" s="54">
        <v>20</v>
      </c>
      <c r="F762" s="18" t="s">
        <v>551</v>
      </c>
      <c r="G762" s="19" t="s">
        <v>14</v>
      </c>
      <c r="H762" s="20" t="s">
        <v>544</v>
      </c>
      <c r="I762" s="153" t="s">
        <v>545</v>
      </c>
      <c r="J762" s="21">
        <v>25200</v>
      </c>
      <c r="K762" s="22"/>
      <c r="L762" s="77">
        <v>1200</v>
      </c>
      <c r="M762" s="23"/>
      <c r="N762" s="24"/>
      <c r="O762" s="13">
        <f>SUM(O760:O761)</f>
        <v>529200</v>
      </c>
      <c r="P762" s="13">
        <f t="shared" ref="P762:Q762" si="99">SUM(P760:P761)</f>
        <v>25200</v>
      </c>
      <c r="Q762" s="13">
        <f t="shared" si="99"/>
        <v>554400</v>
      </c>
      <c r="U762" s="33"/>
    </row>
    <row r="763" spans="1:21" s="13" customFormat="1" ht="16.5" customHeight="1" x14ac:dyDescent="0.45">
      <c r="A763" s="14">
        <v>762</v>
      </c>
      <c r="B763" s="14">
        <v>12</v>
      </c>
      <c r="C763" s="52">
        <v>5</v>
      </c>
      <c r="D763" s="53">
        <v>5</v>
      </c>
      <c r="E763" s="54">
        <v>7</v>
      </c>
      <c r="F763" s="18" t="s">
        <v>552</v>
      </c>
      <c r="G763" s="19" t="s">
        <v>14</v>
      </c>
      <c r="H763" s="20" t="s">
        <v>544</v>
      </c>
      <c r="I763" s="153" t="s">
        <v>545</v>
      </c>
      <c r="J763" s="21">
        <v>25200</v>
      </c>
      <c r="K763" s="22"/>
      <c r="L763" s="77">
        <v>1200</v>
      </c>
      <c r="M763" s="23"/>
      <c r="N763" s="24"/>
      <c r="U763" s="33"/>
    </row>
    <row r="764" spans="1:21" s="13" customFormat="1" ht="16.5" customHeight="1" x14ac:dyDescent="0.45">
      <c r="A764" s="14">
        <v>763</v>
      </c>
      <c r="B764" s="14">
        <v>13</v>
      </c>
      <c r="C764" s="52">
        <v>6</v>
      </c>
      <c r="D764" s="53">
        <v>1</v>
      </c>
      <c r="E764" s="54">
        <v>1</v>
      </c>
      <c r="F764" s="18" t="s">
        <v>553</v>
      </c>
      <c r="G764" s="19" t="s">
        <v>14</v>
      </c>
      <c r="H764" s="20" t="s">
        <v>544</v>
      </c>
      <c r="I764" s="153" t="s">
        <v>545</v>
      </c>
      <c r="J764" s="21">
        <v>25200</v>
      </c>
      <c r="K764" s="22"/>
      <c r="L764" s="77">
        <v>1200</v>
      </c>
      <c r="M764" s="23"/>
      <c r="N764" s="24"/>
      <c r="O764" s="13">
        <v>22050</v>
      </c>
      <c r="P764" s="13">
        <v>1050</v>
      </c>
      <c r="Q764" s="13">
        <v>23100</v>
      </c>
      <c r="U764" s="33"/>
    </row>
    <row r="765" spans="1:21" s="13" customFormat="1" ht="16.5" customHeight="1" x14ac:dyDescent="0.45">
      <c r="A765" s="14">
        <v>764</v>
      </c>
      <c r="B765" s="14">
        <v>14</v>
      </c>
      <c r="C765" s="52">
        <v>6</v>
      </c>
      <c r="D765" s="53">
        <v>1</v>
      </c>
      <c r="E765" s="54">
        <v>15</v>
      </c>
      <c r="F765" s="18" t="s">
        <v>554</v>
      </c>
      <c r="G765" s="19" t="s">
        <v>14</v>
      </c>
      <c r="H765" s="20" t="s">
        <v>544</v>
      </c>
      <c r="I765" s="153" t="s">
        <v>545</v>
      </c>
      <c r="J765" s="21">
        <v>25200</v>
      </c>
      <c r="K765" s="22"/>
      <c r="L765" s="77">
        <v>1200</v>
      </c>
      <c r="M765" s="23"/>
      <c r="N765" s="24"/>
      <c r="O765" s="13">
        <f>O764*22</f>
        <v>485100</v>
      </c>
      <c r="P765" s="13">
        <f t="shared" ref="P765:Q765" si="100">P764*22</f>
        <v>23100</v>
      </c>
      <c r="Q765" s="13">
        <f t="shared" si="100"/>
        <v>508200</v>
      </c>
      <c r="U765" s="33"/>
    </row>
    <row r="766" spans="1:21" s="13" customFormat="1" ht="16.5" customHeight="1" x14ac:dyDescent="0.45">
      <c r="A766" s="14">
        <v>765</v>
      </c>
      <c r="B766" s="14">
        <v>15</v>
      </c>
      <c r="C766" s="52">
        <v>6</v>
      </c>
      <c r="D766" s="53">
        <v>2</v>
      </c>
      <c r="E766" s="54">
        <v>4</v>
      </c>
      <c r="F766" s="18" t="s">
        <v>555</v>
      </c>
      <c r="G766" s="19" t="s">
        <v>14</v>
      </c>
      <c r="H766" s="20" t="s">
        <v>544</v>
      </c>
      <c r="I766" s="153" t="s">
        <v>545</v>
      </c>
      <c r="J766" s="21">
        <v>25200</v>
      </c>
      <c r="K766" s="22"/>
      <c r="L766" s="77">
        <v>1200</v>
      </c>
      <c r="M766" s="23"/>
      <c r="N766" s="24"/>
      <c r="U766" s="33"/>
    </row>
    <row r="767" spans="1:21" s="13" customFormat="1" ht="16.5" customHeight="1" x14ac:dyDescent="0.45">
      <c r="A767" s="14">
        <v>766</v>
      </c>
      <c r="B767" s="14">
        <v>16</v>
      </c>
      <c r="C767" s="52">
        <v>6</v>
      </c>
      <c r="D767" s="53">
        <v>2</v>
      </c>
      <c r="E767" s="54">
        <v>15</v>
      </c>
      <c r="F767" s="18" t="s">
        <v>556</v>
      </c>
      <c r="G767" s="19" t="s">
        <v>14</v>
      </c>
      <c r="H767" s="20" t="s">
        <v>544</v>
      </c>
      <c r="I767" s="153" t="s">
        <v>545</v>
      </c>
      <c r="J767" s="21">
        <v>25200</v>
      </c>
      <c r="K767" s="22"/>
      <c r="L767" s="77">
        <v>1200</v>
      </c>
      <c r="M767" s="23"/>
      <c r="N767" s="24"/>
      <c r="O767" s="13">
        <v>25200</v>
      </c>
      <c r="P767" s="13">
        <v>1200</v>
      </c>
      <c r="Q767" s="13">
        <v>26400</v>
      </c>
      <c r="U767" s="33"/>
    </row>
    <row r="768" spans="1:21" s="13" customFormat="1" ht="16.5" customHeight="1" x14ac:dyDescent="0.45">
      <c r="A768" s="14">
        <v>767</v>
      </c>
      <c r="B768" s="14">
        <v>17</v>
      </c>
      <c r="C768" s="52">
        <v>6</v>
      </c>
      <c r="D768" s="53">
        <v>3</v>
      </c>
      <c r="E768" s="54">
        <v>6</v>
      </c>
      <c r="F768" s="18" t="s">
        <v>49</v>
      </c>
      <c r="G768" s="19" t="s">
        <v>14</v>
      </c>
      <c r="H768" s="20" t="s">
        <v>544</v>
      </c>
      <c r="I768" s="153" t="s">
        <v>328</v>
      </c>
      <c r="J768" s="21">
        <v>18900</v>
      </c>
      <c r="K768" s="22"/>
      <c r="L768" s="77">
        <v>900</v>
      </c>
      <c r="M768" s="23"/>
      <c r="N768" s="24"/>
      <c r="O768" s="13">
        <f>O767*22</f>
        <v>554400</v>
      </c>
      <c r="P768" s="13">
        <f t="shared" ref="P768:Q768" si="101">P767*22</f>
        <v>26400</v>
      </c>
      <c r="Q768" s="13">
        <f t="shared" si="101"/>
        <v>580800</v>
      </c>
      <c r="U768" s="33"/>
    </row>
    <row r="769" spans="1:21" s="13" customFormat="1" ht="16.5" customHeight="1" x14ac:dyDescent="0.45">
      <c r="A769" s="14">
        <v>768</v>
      </c>
      <c r="B769" s="14">
        <v>18</v>
      </c>
      <c r="C769" s="52">
        <v>6</v>
      </c>
      <c r="D769" s="53">
        <v>4</v>
      </c>
      <c r="E769" s="54">
        <v>24</v>
      </c>
      <c r="F769" s="18" t="s">
        <v>557</v>
      </c>
      <c r="G769" s="19" t="s">
        <v>14</v>
      </c>
      <c r="H769" s="20" t="s">
        <v>544</v>
      </c>
      <c r="I769" s="153" t="s">
        <v>545</v>
      </c>
      <c r="J769" s="21">
        <v>25200</v>
      </c>
      <c r="K769" s="22"/>
      <c r="L769" s="77">
        <v>1200</v>
      </c>
      <c r="M769" s="23"/>
      <c r="N769" s="24"/>
      <c r="U769" s="33"/>
    </row>
    <row r="770" spans="1:21" s="13" customFormat="1" ht="16.5" customHeight="1" x14ac:dyDescent="0.45">
      <c r="A770" s="14">
        <v>769</v>
      </c>
      <c r="B770" s="14">
        <v>19</v>
      </c>
      <c r="C770" s="52">
        <v>6</v>
      </c>
      <c r="D770" s="53">
        <v>5</v>
      </c>
      <c r="E770" s="54">
        <v>8</v>
      </c>
      <c r="F770" s="18" t="s">
        <v>558</v>
      </c>
      <c r="G770" s="19" t="s">
        <v>14</v>
      </c>
      <c r="H770" s="20" t="s">
        <v>544</v>
      </c>
      <c r="I770" s="153" t="s">
        <v>545</v>
      </c>
      <c r="J770" s="21">
        <v>25200</v>
      </c>
      <c r="K770" s="22"/>
      <c r="L770" s="77">
        <v>1200</v>
      </c>
      <c r="M770" s="23"/>
      <c r="N770" s="24"/>
      <c r="S770" s="34">
        <f>SUM(O762,O765,O768)</f>
        <v>1568700</v>
      </c>
      <c r="T770" s="34">
        <f>SUM(P762,P765,P768)</f>
        <v>74700</v>
      </c>
      <c r="U770" s="34">
        <f>SUM(Q762,Q765,Q768)</f>
        <v>1643400</v>
      </c>
    </row>
    <row r="771" spans="1:21" s="13" customFormat="1" ht="16.5" customHeight="1" x14ac:dyDescent="0.45">
      <c r="A771" s="14">
        <v>770</v>
      </c>
      <c r="B771" s="14">
        <v>20</v>
      </c>
      <c r="C771" s="52">
        <v>6</v>
      </c>
      <c r="D771" s="53">
        <v>6</v>
      </c>
      <c r="E771" s="54">
        <v>16</v>
      </c>
      <c r="F771" s="18" t="s">
        <v>559</v>
      </c>
      <c r="G771" s="19" t="s">
        <v>14</v>
      </c>
      <c r="H771" s="20" t="s">
        <v>544</v>
      </c>
      <c r="I771" s="153" t="s">
        <v>328</v>
      </c>
      <c r="J771" s="21">
        <v>18900</v>
      </c>
      <c r="K771" s="22"/>
      <c r="L771" s="77">
        <v>900</v>
      </c>
      <c r="M771" s="23"/>
      <c r="N771" s="24"/>
      <c r="U771" s="33"/>
    </row>
    <row r="772" spans="1:21" s="13" customFormat="1" ht="16.5" customHeight="1" x14ac:dyDescent="0.45">
      <c r="A772" s="14">
        <v>771</v>
      </c>
      <c r="B772" s="14">
        <v>21</v>
      </c>
      <c r="C772" s="52">
        <v>6</v>
      </c>
      <c r="D772" s="53">
        <v>7</v>
      </c>
      <c r="E772" s="54">
        <v>2</v>
      </c>
      <c r="F772" s="18" t="s">
        <v>560</v>
      </c>
      <c r="G772" s="19" t="s">
        <v>14</v>
      </c>
      <c r="H772" s="20" t="s">
        <v>544</v>
      </c>
      <c r="I772" s="153" t="s">
        <v>328</v>
      </c>
      <c r="J772" s="21">
        <v>18900</v>
      </c>
      <c r="K772" s="22"/>
      <c r="L772" s="77">
        <v>900</v>
      </c>
      <c r="M772" s="23"/>
      <c r="N772" s="24"/>
      <c r="U772" s="33"/>
    </row>
    <row r="773" spans="1:21" s="13" customFormat="1" ht="16.5" customHeight="1" x14ac:dyDescent="0.45">
      <c r="A773" s="14">
        <v>772</v>
      </c>
      <c r="B773" s="14">
        <v>22</v>
      </c>
      <c r="C773" s="52">
        <v>6</v>
      </c>
      <c r="D773" s="53">
        <v>7</v>
      </c>
      <c r="E773" s="54">
        <v>3</v>
      </c>
      <c r="F773" s="18" t="s">
        <v>100</v>
      </c>
      <c r="G773" s="19" t="s">
        <v>14</v>
      </c>
      <c r="H773" s="20" t="s">
        <v>544</v>
      </c>
      <c r="I773" s="162" t="s">
        <v>545</v>
      </c>
      <c r="J773" s="67">
        <v>25200</v>
      </c>
      <c r="K773" s="68"/>
      <c r="L773" s="77">
        <v>1200</v>
      </c>
      <c r="M773" s="23"/>
      <c r="N773" s="24"/>
      <c r="U773" s="33"/>
    </row>
    <row r="774" spans="1:21" s="13" customFormat="1" ht="16.5" customHeight="1" x14ac:dyDescent="0.45">
      <c r="A774" s="14">
        <v>773</v>
      </c>
      <c r="B774" s="35">
        <v>1</v>
      </c>
      <c r="C774" s="49">
        <v>4</v>
      </c>
      <c r="D774" s="50">
        <v>1</v>
      </c>
      <c r="E774" s="51">
        <v>14</v>
      </c>
      <c r="F774" s="87" t="s">
        <v>385</v>
      </c>
      <c r="G774" s="55" t="s">
        <v>14</v>
      </c>
      <c r="H774" s="56" t="s">
        <v>561</v>
      </c>
      <c r="I774" s="110" t="s">
        <v>16</v>
      </c>
      <c r="J774" s="151">
        <v>18900</v>
      </c>
      <c r="K774" s="155"/>
      <c r="L774" s="151">
        <v>900</v>
      </c>
      <c r="M774" s="45">
        <f>SUM(J774:K795)</f>
        <v>516600</v>
      </c>
      <c r="N774" s="24"/>
      <c r="U774" s="33"/>
    </row>
    <row r="775" spans="1:21" s="13" customFormat="1" ht="16.5" customHeight="1" x14ac:dyDescent="0.45">
      <c r="A775" s="14">
        <v>774</v>
      </c>
      <c r="B775" s="14">
        <v>2</v>
      </c>
      <c r="C775" s="52">
        <v>4</v>
      </c>
      <c r="D775" s="53">
        <v>3</v>
      </c>
      <c r="E775" s="54">
        <v>13</v>
      </c>
      <c r="F775" s="89" t="s">
        <v>78</v>
      </c>
      <c r="G775" s="57" t="s">
        <v>14</v>
      </c>
      <c r="H775" s="58" t="s">
        <v>561</v>
      </c>
      <c r="I775" s="18" t="s">
        <v>60</v>
      </c>
      <c r="J775" s="22">
        <v>25200</v>
      </c>
      <c r="K775" s="91"/>
      <c r="L775" s="22">
        <v>1200</v>
      </c>
      <c r="M775" s="23"/>
      <c r="N775" s="24"/>
      <c r="U775" s="33"/>
    </row>
    <row r="776" spans="1:21" s="13" customFormat="1" ht="16.5" customHeight="1" x14ac:dyDescent="0.45">
      <c r="A776" s="14">
        <v>775</v>
      </c>
      <c r="B776" s="14">
        <v>3</v>
      </c>
      <c r="C776" s="52">
        <v>4</v>
      </c>
      <c r="D776" s="53">
        <v>5</v>
      </c>
      <c r="E776" s="54">
        <v>10</v>
      </c>
      <c r="F776" s="89" t="s">
        <v>483</v>
      </c>
      <c r="G776" s="57" t="s">
        <v>14</v>
      </c>
      <c r="H776" s="58" t="s">
        <v>562</v>
      </c>
      <c r="I776" s="18" t="s">
        <v>60</v>
      </c>
      <c r="J776" s="22">
        <v>25200</v>
      </c>
      <c r="K776" s="91"/>
      <c r="L776" s="22">
        <v>1200</v>
      </c>
      <c r="M776" s="23"/>
      <c r="N776" s="24"/>
      <c r="O776" s="27">
        <f>SUM(J774:K795)</f>
        <v>516600</v>
      </c>
      <c r="U776" s="33"/>
    </row>
    <row r="777" spans="1:21" s="13" customFormat="1" ht="16.5" customHeight="1" x14ac:dyDescent="0.45">
      <c r="A777" s="14">
        <v>776</v>
      </c>
      <c r="B777" s="14">
        <v>4</v>
      </c>
      <c r="C777" s="52">
        <v>4</v>
      </c>
      <c r="D777" s="53">
        <v>5</v>
      </c>
      <c r="E777" s="54">
        <v>14</v>
      </c>
      <c r="F777" s="89" t="s">
        <v>465</v>
      </c>
      <c r="G777" s="57" t="s">
        <v>14</v>
      </c>
      <c r="H777" s="58" t="s">
        <v>561</v>
      </c>
      <c r="I777" s="18" t="s">
        <v>60</v>
      </c>
      <c r="J777" s="22">
        <v>25200</v>
      </c>
      <c r="K777" s="91"/>
      <c r="L777" s="22">
        <v>1200</v>
      </c>
      <c r="M777" s="23"/>
      <c r="N777" s="24"/>
      <c r="O777" s="27">
        <f>SUM(L774:L795)</f>
        <v>24600</v>
      </c>
      <c r="U777" s="33"/>
    </row>
    <row r="778" spans="1:21" s="13" customFormat="1" ht="16.5" customHeight="1" x14ac:dyDescent="0.45">
      <c r="A778" s="14">
        <v>777</v>
      </c>
      <c r="B778" s="14">
        <v>5</v>
      </c>
      <c r="C778" s="52">
        <v>4</v>
      </c>
      <c r="D778" s="53">
        <v>7</v>
      </c>
      <c r="E778" s="54">
        <v>11</v>
      </c>
      <c r="F778" s="89" t="s">
        <v>563</v>
      </c>
      <c r="G778" s="57" t="s">
        <v>14</v>
      </c>
      <c r="H778" s="58" t="s">
        <v>561</v>
      </c>
      <c r="I778" s="28" t="s">
        <v>16</v>
      </c>
      <c r="J778" s="30">
        <v>18900</v>
      </c>
      <c r="K778" s="148"/>
      <c r="L778" s="30">
        <v>900</v>
      </c>
      <c r="M778" s="23"/>
      <c r="N778" s="24"/>
      <c r="O778" s="27">
        <f>SUM(O776:O777)</f>
        <v>541200</v>
      </c>
      <c r="U778" s="33"/>
    </row>
    <row r="779" spans="1:21" s="13" customFormat="1" ht="16.5" customHeight="1" x14ac:dyDescent="0.45">
      <c r="A779" s="14">
        <v>778</v>
      </c>
      <c r="B779" s="14">
        <v>6</v>
      </c>
      <c r="C779" s="52">
        <v>5</v>
      </c>
      <c r="D779" s="53">
        <v>1</v>
      </c>
      <c r="E779" s="54">
        <v>14</v>
      </c>
      <c r="F779" s="89" t="s">
        <v>564</v>
      </c>
      <c r="G779" s="57" t="s">
        <v>14</v>
      </c>
      <c r="H779" s="58" t="s">
        <v>561</v>
      </c>
      <c r="I779" s="18" t="s">
        <v>60</v>
      </c>
      <c r="J779" s="22">
        <v>25200</v>
      </c>
      <c r="K779" s="91"/>
      <c r="L779" s="22">
        <v>1200</v>
      </c>
      <c r="M779" s="23"/>
      <c r="N779" s="24"/>
      <c r="U779" s="33"/>
    </row>
    <row r="780" spans="1:21" s="13" customFormat="1" ht="16.5" customHeight="1" x14ac:dyDescent="0.45">
      <c r="A780" s="14">
        <v>779</v>
      </c>
      <c r="B780" s="14">
        <v>7</v>
      </c>
      <c r="C780" s="52">
        <v>5</v>
      </c>
      <c r="D780" s="53">
        <v>1</v>
      </c>
      <c r="E780" s="54">
        <v>25</v>
      </c>
      <c r="F780" s="89" t="s">
        <v>565</v>
      </c>
      <c r="G780" s="57" t="s">
        <v>14</v>
      </c>
      <c r="H780" s="58" t="s">
        <v>561</v>
      </c>
      <c r="I780" s="18" t="s">
        <v>60</v>
      </c>
      <c r="J780" s="22">
        <v>25200</v>
      </c>
      <c r="K780" s="91"/>
      <c r="L780" s="22">
        <v>1200</v>
      </c>
      <c r="M780" s="23"/>
      <c r="N780" s="24"/>
      <c r="O780" s="13">
        <v>25200</v>
      </c>
      <c r="P780" s="13">
        <v>1200</v>
      </c>
      <c r="Q780" s="13">
        <v>26400</v>
      </c>
      <c r="U780" s="33"/>
    </row>
    <row r="781" spans="1:21" s="13" customFormat="1" ht="16.5" customHeight="1" x14ac:dyDescent="0.45">
      <c r="A781" s="14">
        <v>780</v>
      </c>
      <c r="B781" s="14">
        <v>8</v>
      </c>
      <c r="C781" s="52">
        <v>5</v>
      </c>
      <c r="D781" s="53">
        <v>2</v>
      </c>
      <c r="E781" s="54">
        <v>11</v>
      </c>
      <c r="F781" s="89" t="s">
        <v>268</v>
      </c>
      <c r="G781" s="57" t="s">
        <v>14</v>
      </c>
      <c r="H781" s="58" t="s">
        <v>561</v>
      </c>
      <c r="I781" s="28" t="s">
        <v>16</v>
      </c>
      <c r="J781" s="30">
        <v>18900</v>
      </c>
      <c r="K781" s="148"/>
      <c r="L781" s="30">
        <v>900</v>
      </c>
      <c r="M781" s="23"/>
      <c r="N781" s="24"/>
      <c r="O781" s="13">
        <f>O780*22</f>
        <v>554400</v>
      </c>
      <c r="P781" s="13">
        <f t="shared" ref="P781:Q781" si="102">P780*22</f>
        <v>26400</v>
      </c>
      <c r="Q781" s="13">
        <f t="shared" si="102"/>
        <v>580800</v>
      </c>
      <c r="U781" s="33"/>
    </row>
    <row r="782" spans="1:21" s="13" customFormat="1" ht="16.5" customHeight="1" x14ac:dyDescent="0.45">
      <c r="A782" s="14">
        <v>781</v>
      </c>
      <c r="B782" s="14">
        <v>9</v>
      </c>
      <c r="C782" s="52">
        <v>5</v>
      </c>
      <c r="D782" s="53">
        <v>2</v>
      </c>
      <c r="E782" s="54">
        <v>19</v>
      </c>
      <c r="F782" s="89" t="s">
        <v>550</v>
      </c>
      <c r="G782" s="57" t="s">
        <v>14</v>
      </c>
      <c r="H782" s="58" t="s">
        <v>561</v>
      </c>
      <c r="I782" s="18" t="s">
        <v>60</v>
      </c>
      <c r="J782" s="22">
        <v>25200</v>
      </c>
      <c r="K782" s="91"/>
      <c r="L782" s="22">
        <v>1200</v>
      </c>
      <c r="M782" s="23"/>
      <c r="N782" s="24"/>
      <c r="O782" s="13">
        <v>-37800</v>
      </c>
      <c r="P782" s="13">
        <v>-1800</v>
      </c>
      <c r="Q782" s="13">
        <v>-39600</v>
      </c>
      <c r="U782" s="33"/>
    </row>
    <row r="783" spans="1:21" s="13" customFormat="1" ht="16.5" customHeight="1" x14ac:dyDescent="0.45">
      <c r="A783" s="14">
        <v>782</v>
      </c>
      <c r="B783" s="14">
        <v>10</v>
      </c>
      <c r="C783" s="52">
        <v>5</v>
      </c>
      <c r="D783" s="53">
        <v>3</v>
      </c>
      <c r="E783" s="54">
        <v>19</v>
      </c>
      <c r="F783" s="89" t="s">
        <v>566</v>
      </c>
      <c r="G783" s="57" t="s">
        <v>14</v>
      </c>
      <c r="H783" s="58" t="s">
        <v>561</v>
      </c>
      <c r="I783" s="18" t="s">
        <v>60</v>
      </c>
      <c r="J783" s="22">
        <v>25200</v>
      </c>
      <c r="K783" s="91"/>
      <c r="L783" s="22">
        <v>1200</v>
      </c>
      <c r="M783" s="23"/>
      <c r="N783" s="24"/>
      <c r="O783" s="13">
        <f>SUM(O781:O782)</f>
        <v>516600</v>
      </c>
      <c r="P783" s="13">
        <f t="shared" ref="P783:Q783" si="103">SUM(P781:P782)</f>
        <v>24600</v>
      </c>
      <c r="Q783" s="13">
        <f t="shared" si="103"/>
        <v>541200</v>
      </c>
      <c r="U783" s="33"/>
    </row>
    <row r="784" spans="1:21" s="13" customFormat="1" ht="16.5" customHeight="1" x14ac:dyDescent="0.45">
      <c r="A784" s="14">
        <v>783</v>
      </c>
      <c r="B784" s="14">
        <v>11</v>
      </c>
      <c r="C784" s="52">
        <v>5</v>
      </c>
      <c r="D784" s="53">
        <v>4</v>
      </c>
      <c r="E784" s="54">
        <v>2</v>
      </c>
      <c r="F784" s="89" t="s">
        <v>567</v>
      </c>
      <c r="G784" s="57" t="s">
        <v>14</v>
      </c>
      <c r="H784" s="58" t="s">
        <v>561</v>
      </c>
      <c r="I784" s="18" t="s">
        <v>60</v>
      </c>
      <c r="J784" s="22">
        <v>25200</v>
      </c>
      <c r="K784" s="91"/>
      <c r="L784" s="22">
        <v>1200</v>
      </c>
      <c r="M784" s="23"/>
      <c r="N784" s="24"/>
      <c r="U784" s="33"/>
    </row>
    <row r="785" spans="1:21" s="13" customFormat="1" ht="16.5" customHeight="1" x14ac:dyDescent="0.45">
      <c r="A785" s="14">
        <v>784</v>
      </c>
      <c r="B785" s="14">
        <v>12</v>
      </c>
      <c r="C785" s="52">
        <v>5</v>
      </c>
      <c r="D785" s="53">
        <v>4</v>
      </c>
      <c r="E785" s="54">
        <v>14</v>
      </c>
      <c r="F785" s="89" t="s">
        <v>126</v>
      </c>
      <c r="G785" s="57" t="s">
        <v>14</v>
      </c>
      <c r="H785" s="58" t="s">
        <v>561</v>
      </c>
      <c r="I785" s="18" t="s">
        <v>60</v>
      </c>
      <c r="J785" s="22">
        <v>25200</v>
      </c>
      <c r="K785" s="91"/>
      <c r="L785" s="22">
        <v>1200</v>
      </c>
      <c r="M785" s="23"/>
      <c r="N785" s="24"/>
      <c r="O785" s="13">
        <v>18900</v>
      </c>
      <c r="P785" s="13">
        <v>900</v>
      </c>
      <c r="Q785" s="13">
        <v>19800</v>
      </c>
      <c r="U785" s="33"/>
    </row>
    <row r="786" spans="1:21" s="13" customFormat="1" ht="16.5" customHeight="1" x14ac:dyDescent="0.45">
      <c r="A786" s="14">
        <v>785</v>
      </c>
      <c r="B786" s="14">
        <v>13</v>
      </c>
      <c r="C786" s="52">
        <v>5</v>
      </c>
      <c r="D786" s="53">
        <v>5</v>
      </c>
      <c r="E786" s="54">
        <v>2</v>
      </c>
      <c r="F786" s="89" t="s">
        <v>123</v>
      </c>
      <c r="G786" s="57" t="s">
        <v>14</v>
      </c>
      <c r="H786" s="58" t="s">
        <v>561</v>
      </c>
      <c r="I786" s="18" t="s">
        <v>60</v>
      </c>
      <c r="J786" s="22">
        <v>25200</v>
      </c>
      <c r="K786" s="91"/>
      <c r="L786" s="22">
        <v>1200</v>
      </c>
      <c r="M786" s="23"/>
      <c r="N786" s="24"/>
      <c r="O786" s="13">
        <f>O785*22</f>
        <v>415800</v>
      </c>
      <c r="P786" s="13">
        <f t="shared" ref="P786:Q786" si="104">P785*22</f>
        <v>19800</v>
      </c>
      <c r="Q786" s="13">
        <f t="shared" si="104"/>
        <v>435600</v>
      </c>
      <c r="U786" s="33"/>
    </row>
    <row r="787" spans="1:21" s="13" customFormat="1" ht="16.5" customHeight="1" x14ac:dyDescent="0.45">
      <c r="A787" s="14">
        <v>786</v>
      </c>
      <c r="B787" s="14">
        <v>14</v>
      </c>
      <c r="C787" s="52">
        <v>5</v>
      </c>
      <c r="D787" s="53">
        <v>5</v>
      </c>
      <c r="E787" s="54">
        <v>26</v>
      </c>
      <c r="F787" s="89" t="s">
        <v>181</v>
      </c>
      <c r="G787" s="57" t="s">
        <v>14</v>
      </c>
      <c r="H787" s="58" t="s">
        <v>561</v>
      </c>
      <c r="I787" s="18" t="s">
        <v>60</v>
      </c>
      <c r="J787" s="22">
        <v>25200</v>
      </c>
      <c r="K787" s="91"/>
      <c r="L787" s="22">
        <v>1200</v>
      </c>
      <c r="M787" s="23"/>
      <c r="N787" s="24"/>
      <c r="U787" s="33"/>
    </row>
    <row r="788" spans="1:21" s="13" customFormat="1" ht="16.5" customHeight="1" x14ac:dyDescent="0.45">
      <c r="A788" s="14">
        <v>787</v>
      </c>
      <c r="B788" s="14">
        <v>15</v>
      </c>
      <c r="C788" s="52">
        <v>5</v>
      </c>
      <c r="D788" s="53">
        <v>6</v>
      </c>
      <c r="E788" s="54">
        <v>6</v>
      </c>
      <c r="F788" s="89" t="s">
        <v>568</v>
      </c>
      <c r="G788" s="57" t="s">
        <v>14</v>
      </c>
      <c r="H788" s="58" t="s">
        <v>561</v>
      </c>
      <c r="I788" s="18" t="s">
        <v>60</v>
      </c>
      <c r="J788" s="22">
        <v>25200</v>
      </c>
      <c r="K788" s="91"/>
      <c r="L788" s="22">
        <v>1200</v>
      </c>
      <c r="M788" s="23"/>
      <c r="N788" s="24"/>
      <c r="U788" s="33"/>
    </row>
    <row r="789" spans="1:21" s="13" customFormat="1" ht="16.5" customHeight="1" x14ac:dyDescent="0.45">
      <c r="A789" s="14">
        <v>788</v>
      </c>
      <c r="B789" s="14">
        <v>16</v>
      </c>
      <c r="C789" s="52">
        <v>5</v>
      </c>
      <c r="D789" s="53">
        <v>6</v>
      </c>
      <c r="E789" s="54">
        <v>26</v>
      </c>
      <c r="F789" s="89" t="s">
        <v>55</v>
      </c>
      <c r="G789" s="57" t="s">
        <v>14</v>
      </c>
      <c r="H789" s="58" t="s">
        <v>561</v>
      </c>
      <c r="I789" s="18" t="s">
        <v>60</v>
      </c>
      <c r="J789" s="22">
        <v>25200</v>
      </c>
      <c r="K789" s="91"/>
      <c r="L789" s="22">
        <v>1200</v>
      </c>
      <c r="M789" s="23"/>
      <c r="N789" s="24"/>
      <c r="O789" s="13">
        <v>25200</v>
      </c>
      <c r="P789" s="13">
        <v>1200</v>
      </c>
      <c r="Q789" s="13">
        <v>26400</v>
      </c>
      <c r="U789" s="33"/>
    </row>
    <row r="790" spans="1:21" s="13" customFormat="1" ht="16.5" customHeight="1" x14ac:dyDescent="0.45">
      <c r="A790" s="14">
        <v>789</v>
      </c>
      <c r="B790" s="14">
        <v>17</v>
      </c>
      <c r="C790" s="52">
        <v>6</v>
      </c>
      <c r="D790" s="53">
        <v>1</v>
      </c>
      <c r="E790" s="54">
        <v>18</v>
      </c>
      <c r="F790" s="89" t="s">
        <v>569</v>
      </c>
      <c r="G790" s="57" t="s">
        <v>14</v>
      </c>
      <c r="H790" s="58" t="s">
        <v>561</v>
      </c>
      <c r="I790" s="18" t="s">
        <v>60</v>
      </c>
      <c r="J790" s="22">
        <v>25200</v>
      </c>
      <c r="K790" s="91"/>
      <c r="L790" s="22">
        <v>1200</v>
      </c>
      <c r="M790" s="23"/>
      <c r="N790" s="24"/>
      <c r="O790" s="13">
        <f>O789*22</f>
        <v>554400</v>
      </c>
      <c r="P790" s="13">
        <f t="shared" ref="P790:Q790" si="105">P789*22</f>
        <v>26400</v>
      </c>
      <c r="Q790" s="13">
        <f t="shared" si="105"/>
        <v>580800</v>
      </c>
      <c r="U790" s="33"/>
    </row>
    <row r="791" spans="1:21" s="13" customFormat="1" ht="16.5" customHeight="1" x14ac:dyDescent="0.45">
      <c r="A791" s="14">
        <v>790</v>
      </c>
      <c r="B791" s="14">
        <v>18</v>
      </c>
      <c r="C791" s="52">
        <v>6</v>
      </c>
      <c r="D791" s="53">
        <v>5</v>
      </c>
      <c r="E791" s="54">
        <v>12</v>
      </c>
      <c r="F791" s="89" t="s">
        <v>570</v>
      </c>
      <c r="G791" s="57" t="s">
        <v>14</v>
      </c>
      <c r="H791" s="58" t="s">
        <v>561</v>
      </c>
      <c r="I791" s="18" t="s">
        <v>60</v>
      </c>
      <c r="J791" s="22">
        <v>25200</v>
      </c>
      <c r="K791" s="91"/>
      <c r="L791" s="22">
        <v>1200</v>
      </c>
      <c r="M791" s="23"/>
      <c r="N791" s="24"/>
      <c r="U791" s="33"/>
    </row>
    <row r="792" spans="1:21" s="13" customFormat="1" ht="16.5" customHeight="1" x14ac:dyDescent="0.45">
      <c r="A792" s="14">
        <v>791</v>
      </c>
      <c r="B792" s="14">
        <v>19</v>
      </c>
      <c r="C792" s="52">
        <v>6</v>
      </c>
      <c r="D792" s="53">
        <v>5</v>
      </c>
      <c r="E792" s="54">
        <v>14</v>
      </c>
      <c r="F792" s="89" t="s">
        <v>571</v>
      </c>
      <c r="G792" s="57" t="s">
        <v>14</v>
      </c>
      <c r="H792" s="58" t="s">
        <v>561</v>
      </c>
      <c r="I792" s="28" t="s">
        <v>16</v>
      </c>
      <c r="J792" s="30">
        <v>18900</v>
      </c>
      <c r="K792" s="148"/>
      <c r="L792" s="30">
        <v>900</v>
      </c>
      <c r="M792" s="23"/>
      <c r="N792" s="24"/>
      <c r="U792" s="33"/>
    </row>
    <row r="793" spans="1:21" s="13" customFormat="1" ht="16.5" customHeight="1" x14ac:dyDescent="0.45">
      <c r="A793" s="14">
        <v>792</v>
      </c>
      <c r="B793" s="14">
        <v>20</v>
      </c>
      <c r="C793" s="52">
        <v>6</v>
      </c>
      <c r="D793" s="53">
        <v>6</v>
      </c>
      <c r="E793" s="54">
        <v>1</v>
      </c>
      <c r="F793" s="89" t="s">
        <v>572</v>
      </c>
      <c r="G793" s="57" t="s">
        <v>14</v>
      </c>
      <c r="H793" s="58" t="s">
        <v>561</v>
      </c>
      <c r="I793" s="28" t="s">
        <v>16</v>
      </c>
      <c r="J793" s="30">
        <v>18900</v>
      </c>
      <c r="K793" s="148"/>
      <c r="L793" s="30">
        <v>900</v>
      </c>
      <c r="M793" s="23"/>
      <c r="N793" s="24"/>
      <c r="S793" s="34">
        <f>SUM(O783,O786,O790)</f>
        <v>1486800</v>
      </c>
      <c r="T793" s="34">
        <f>SUM(P783,P786,P790)</f>
        <v>70800</v>
      </c>
      <c r="U793" s="34">
        <f>SUM(Q783,Q786,Q790)</f>
        <v>1557600</v>
      </c>
    </row>
    <row r="794" spans="1:21" s="13" customFormat="1" ht="16.5" customHeight="1" x14ac:dyDescent="0.45">
      <c r="A794" s="14">
        <v>793</v>
      </c>
      <c r="B794" s="14">
        <v>21</v>
      </c>
      <c r="C794" s="52">
        <v>6</v>
      </c>
      <c r="D794" s="53">
        <v>6</v>
      </c>
      <c r="E794" s="54">
        <v>14</v>
      </c>
      <c r="F794" s="89" t="s">
        <v>277</v>
      </c>
      <c r="G794" s="57" t="s">
        <v>14</v>
      </c>
      <c r="H794" s="58" t="s">
        <v>561</v>
      </c>
      <c r="I794" s="28" t="s">
        <v>16</v>
      </c>
      <c r="J794" s="30">
        <v>18900</v>
      </c>
      <c r="K794" s="148"/>
      <c r="L794" s="30">
        <v>900</v>
      </c>
      <c r="M794" s="23"/>
      <c r="N794" s="24"/>
      <c r="U794" s="33"/>
    </row>
    <row r="795" spans="1:21" s="13" customFormat="1" ht="16.5" customHeight="1" x14ac:dyDescent="0.45">
      <c r="A795" s="14">
        <v>794</v>
      </c>
      <c r="B795" s="156">
        <v>22</v>
      </c>
      <c r="C795" s="62">
        <v>6</v>
      </c>
      <c r="D795" s="63">
        <v>7</v>
      </c>
      <c r="E795" s="64">
        <v>12</v>
      </c>
      <c r="F795" s="163" t="s">
        <v>395</v>
      </c>
      <c r="G795" s="65" t="s">
        <v>14</v>
      </c>
      <c r="H795" s="66" t="s">
        <v>561</v>
      </c>
      <c r="I795" s="48" t="s">
        <v>60</v>
      </c>
      <c r="J795" s="68">
        <v>25200</v>
      </c>
      <c r="K795" s="159"/>
      <c r="L795" s="68">
        <v>1200</v>
      </c>
      <c r="M795" s="69"/>
      <c r="N795" s="24"/>
      <c r="U795" s="33"/>
    </row>
    <row r="796" spans="1:21" s="13" customFormat="1" ht="16.5" customHeight="1" x14ac:dyDescent="0.45">
      <c r="A796" s="14">
        <v>795</v>
      </c>
      <c r="B796" s="35">
        <v>1</v>
      </c>
      <c r="C796" s="49">
        <v>1</v>
      </c>
      <c r="D796" s="50">
        <v>1</v>
      </c>
      <c r="E796" s="51">
        <v>10</v>
      </c>
      <c r="F796" s="87" t="s">
        <v>144</v>
      </c>
      <c r="G796" s="55" t="s">
        <v>14</v>
      </c>
      <c r="H796" s="56" t="s">
        <v>573</v>
      </c>
      <c r="I796" s="161" t="s">
        <v>545</v>
      </c>
      <c r="J796" s="44">
        <v>25200</v>
      </c>
      <c r="K796" s="71"/>
      <c r="L796" s="71">
        <v>1200</v>
      </c>
      <c r="M796" s="45">
        <f>SUM(J796:K816)</f>
        <v>497700</v>
      </c>
      <c r="N796" s="24"/>
      <c r="U796" s="33"/>
    </row>
    <row r="797" spans="1:21" s="13" customFormat="1" ht="16.5" customHeight="1" x14ac:dyDescent="0.45">
      <c r="A797" s="14">
        <v>796</v>
      </c>
      <c r="B797" s="14">
        <v>2</v>
      </c>
      <c r="C797" s="52">
        <v>1</v>
      </c>
      <c r="D797" s="53">
        <v>5</v>
      </c>
      <c r="E797" s="54">
        <v>5</v>
      </c>
      <c r="F797" s="18" t="s">
        <v>62</v>
      </c>
      <c r="G797" s="19" t="s">
        <v>14</v>
      </c>
      <c r="H797" s="20" t="s">
        <v>574</v>
      </c>
      <c r="I797" s="153" t="s">
        <v>545</v>
      </c>
      <c r="J797" s="22">
        <v>25200</v>
      </c>
      <c r="K797" s="77"/>
      <c r="L797" s="46">
        <v>1200</v>
      </c>
      <c r="M797" s="23"/>
      <c r="N797" s="24"/>
      <c r="O797" s="27">
        <f>SUM(J796:K816)</f>
        <v>497700</v>
      </c>
      <c r="U797" s="33"/>
    </row>
    <row r="798" spans="1:21" s="13" customFormat="1" ht="16.5" customHeight="1" x14ac:dyDescent="0.45">
      <c r="A798" s="14">
        <v>797</v>
      </c>
      <c r="B798" s="14">
        <v>3</v>
      </c>
      <c r="C798" s="52">
        <v>1</v>
      </c>
      <c r="D798" s="53">
        <v>7</v>
      </c>
      <c r="E798" s="54">
        <v>5</v>
      </c>
      <c r="F798" s="18" t="s">
        <v>64</v>
      </c>
      <c r="G798" s="19" t="s">
        <v>14</v>
      </c>
      <c r="H798" s="20" t="s">
        <v>574</v>
      </c>
      <c r="I798" s="153" t="s">
        <v>545</v>
      </c>
      <c r="J798" s="22">
        <v>25200</v>
      </c>
      <c r="K798" s="77"/>
      <c r="L798" s="46">
        <v>1200</v>
      </c>
      <c r="M798" s="23"/>
      <c r="N798" s="24"/>
      <c r="O798" s="27">
        <f>SUM(L796:L816)</f>
        <v>23700</v>
      </c>
      <c r="U798" s="33"/>
    </row>
    <row r="799" spans="1:21" s="13" customFormat="1" ht="16.5" customHeight="1" x14ac:dyDescent="0.45">
      <c r="A799" s="14">
        <v>798</v>
      </c>
      <c r="B799" s="14">
        <v>4</v>
      </c>
      <c r="C799" s="15">
        <v>1</v>
      </c>
      <c r="D799" s="16">
        <v>8</v>
      </c>
      <c r="E799" s="17">
        <v>10</v>
      </c>
      <c r="F799" s="18" t="s">
        <v>82</v>
      </c>
      <c r="G799" s="19" t="s">
        <v>14</v>
      </c>
      <c r="H799" s="20" t="s">
        <v>574</v>
      </c>
      <c r="I799" s="154" t="s">
        <v>542</v>
      </c>
      <c r="J799" s="30">
        <v>22050</v>
      </c>
      <c r="K799" s="74"/>
      <c r="L799" s="47">
        <v>1050</v>
      </c>
      <c r="M799" s="23"/>
      <c r="N799" s="24"/>
      <c r="O799" s="27">
        <f>SUM(O797:O798)</f>
        <v>521400</v>
      </c>
      <c r="U799" s="33"/>
    </row>
    <row r="800" spans="1:21" s="13" customFormat="1" ht="16.5" customHeight="1" x14ac:dyDescent="0.45">
      <c r="A800" s="14">
        <v>799</v>
      </c>
      <c r="B800" s="14">
        <v>5</v>
      </c>
      <c r="C800" s="52">
        <v>1</v>
      </c>
      <c r="D800" s="53">
        <v>9</v>
      </c>
      <c r="E800" s="54">
        <v>11</v>
      </c>
      <c r="F800" s="18" t="s">
        <v>575</v>
      </c>
      <c r="G800" s="19" t="s">
        <v>14</v>
      </c>
      <c r="H800" s="20" t="s">
        <v>574</v>
      </c>
      <c r="I800" s="154" t="s">
        <v>542</v>
      </c>
      <c r="J800" s="30">
        <v>22050</v>
      </c>
      <c r="K800" s="74"/>
      <c r="L800" s="47">
        <v>1050</v>
      </c>
      <c r="M800" s="23"/>
      <c r="N800" s="24"/>
      <c r="U800" s="33"/>
    </row>
    <row r="801" spans="1:21" s="13" customFormat="1" ht="16.5" customHeight="1" x14ac:dyDescent="0.45">
      <c r="A801" s="14">
        <v>800</v>
      </c>
      <c r="B801" s="14">
        <v>6</v>
      </c>
      <c r="C801" s="52">
        <v>1</v>
      </c>
      <c r="D801" s="53">
        <v>10</v>
      </c>
      <c r="E801" s="54">
        <v>11</v>
      </c>
      <c r="F801" s="18" t="s">
        <v>457</v>
      </c>
      <c r="G801" s="19" t="s">
        <v>14</v>
      </c>
      <c r="H801" s="20" t="s">
        <v>574</v>
      </c>
      <c r="I801" s="154" t="s">
        <v>328</v>
      </c>
      <c r="J801" s="30">
        <v>18900</v>
      </c>
      <c r="K801" s="74"/>
      <c r="L801" s="47">
        <v>900</v>
      </c>
      <c r="M801" s="23"/>
      <c r="N801" s="24"/>
      <c r="O801" s="13">
        <v>25200</v>
      </c>
      <c r="P801" s="13">
        <v>1200</v>
      </c>
      <c r="Q801" s="13">
        <v>26400</v>
      </c>
      <c r="U801" s="33"/>
    </row>
    <row r="802" spans="1:21" s="13" customFormat="1" ht="16.5" customHeight="1" x14ac:dyDescent="0.45">
      <c r="A802" s="14">
        <v>801</v>
      </c>
      <c r="B802" s="14">
        <v>7</v>
      </c>
      <c r="C802" s="52">
        <v>2</v>
      </c>
      <c r="D802" s="53">
        <v>1</v>
      </c>
      <c r="E802" s="54">
        <v>2</v>
      </c>
      <c r="F802" s="18" t="s">
        <v>576</v>
      </c>
      <c r="G802" s="19" t="s">
        <v>14</v>
      </c>
      <c r="H802" s="20" t="s">
        <v>573</v>
      </c>
      <c r="I802" s="154" t="s">
        <v>545</v>
      </c>
      <c r="J802" s="30">
        <v>18900</v>
      </c>
      <c r="K802" s="74"/>
      <c r="L802" s="47">
        <v>900</v>
      </c>
      <c r="M802" s="23"/>
      <c r="N802" s="24"/>
      <c r="O802" s="13">
        <f>O801*20</f>
        <v>504000</v>
      </c>
      <c r="P802" s="13">
        <f t="shared" ref="P802:Q802" si="106">P801*20</f>
        <v>24000</v>
      </c>
      <c r="Q802" s="13">
        <f t="shared" si="106"/>
        <v>528000</v>
      </c>
      <c r="U802" s="33"/>
    </row>
    <row r="803" spans="1:21" s="13" customFormat="1" ht="16.5" customHeight="1" x14ac:dyDescent="0.45">
      <c r="A803" s="14">
        <v>802</v>
      </c>
      <c r="B803" s="14">
        <v>8</v>
      </c>
      <c r="C803" s="52">
        <v>2</v>
      </c>
      <c r="D803" s="53">
        <v>5</v>
      </c>
      <c r="E803" s="54">
        <v>21</v>
      </c>
      <c r="F803" s="18" t="s">
        <v>577</v>
      </c>
      <c r="G803" s="19" t="s">
        <v>14</v>
      </c>
      <c r="H803" s="20" t="s">
        <v>574</v>
      </c>
      <c r="I803" s="153" t="s">
        <v>545</v>
      </c>
      <c r="J803" s="22">
        <v>25200</v>
      </c>
      <c r="K803" s="77"/>
      <c r="L803" s="46">
        <v>1200</v>
      </c>
      <c r="M803" s="23"/>
      <c r="N803" s="24"/>
      <c r="O803" s="164">
        <v>22050</v>
      </c>
      <c r="P803" s="164">
        <v>1050</v>
      </c>
      <c r="Q803" s="164">
        <v>23100</v>
      </c>
      <c r="U803" s="33"/>
    </row>
    <row r="804" spans="1:21" s="13" customFormat="1" ht="16.5" customHeight="1" x14ac:dyDescent="0.45">
      <c r="A804" s="14">
        <v>803</v>
      </c>
      <c r="B804" s="14">
        <v>9</v>
      </c>
      <c r="C804" s="52">
        <v>2</v>
      </c>
      <c r="D804" s="53">
        <v>7</v>
      </c>
      <c r="E804" s="54">
        <v>14</v>
      </c>
      <c r="F804" s="18" t="s">
        <v>417</v>
      </c>
      <c r="G804" s="19" t="s">
        <v>14</v>
      </c>
      <c r="H804" s="20" t="s">
        <v>574</v>
      </c>
      <c r="I804" s="153" t="s">
        <v>545</v>
      </c>
      <c r="J804" s="22">
        <v>25200</v>
      </c>
      <c r="K804" s="77"/>
      <c r="L804" s="77">
        <v>1200</v>
      </c>
      <c r="M804" s="23"/>
      <c r="N804" s="24"/>
      <c r="O804" s="13">
        <v>-28350</v>
      </c>
      <c r="P804" s="13">
        <v>-1350</v>
      </c>
      <c r="Q804" s="13">
        <v>-29700</v>
      </c>
      <c r="U804" s="33"/>
    </row>
    <row r="805" spans="1:21" s="13" customFormat="1" ht="16.5" customHeight="1" x14ac:dyDescent="0.45">
      <c r="A805" s="14">
        <v>804</v>
      </c>
      <c r="B805" s="14">
        <v>10</v>
      </c>
      <c r="C805" s="52">
        <v>2</v>
      </c>
      <c r="D805" s="53">
        <v>9</v>
      </c>
      <c r="E805" s="54">
        <v>15</v>
      </c>
      <c r="F805" s="18" t="s">
        <v>380</v>
      </c>
      <c r="G805" s="19" t="s">
        <v>14</v>
      </c>
      <c r="H805" s="20" t="s">
        <v>574</v>
      </c>
      <c r="I805" s="153" t="s">
        <v>545</v>
      </c>
      <c r="J805" s="22">
        <v>25200</v>
      </c>
      <c r="K805" s="77"/>
      <c r="L805" s="77">
        <v>1200</v>
      </c>
      <c r="M805" s="23"/>
      <c r="N805" s="24"/>
      <c r="O805" s="13">
        <f>SUM(O802:O804)</f>
        <v>497700</v>
      </c>
      <c r="P805" s="13">
        <f t="shared" ref="P805:R805" si="107">SUM(P802:P804)</f>
        <v>23700</v>
      </c>
      <c r="Q805" s="13">
        <f t="shared" si="107"/>
        <v>521400</v>
      </c>
      <c r="R805" s="13">
        <f t="shared" si="107"/>
        <v>0</v>
      </c>
      <c r="U805" s="33"/>
    </row>
    <row r="806" spans="1:21" s="13" customFormat="1" ht="16.5" customHeight="1" x14ac:dyDescent="0.45">
      <c r="A806" s="14">
        <v>805</v>
      </c>
      <c r="B806" s="14">
        <v>11</v>
      </c>
      <c r="C806" s="52">
        <v>2</v>
      </c>
      <c r="D806" s="53">
        <v>10</v>
      </c>
      <c r="E806" s="54">
        <v>21</v>
      </c>
      <c r="F806" s="18" t="s">
        <v>149</v>
      </c>
      <c r="G806" s="19" t="s">
        <v>14</v>
      </c>
      <c r="H806" s="20" t="s">
        <v>574</v>
      </c>
      <c r="I806" s="153" t="s">
        <v>545</v>
      </c>
      <c r="J806" s="22">
        <v>25200</v>
      </c>
      <c r="K806" s="77"/>
      <c r="L806" s="77">
        <v>1200</v>
      </c>
      <c r="M806" s="23"/>
      <c r="N806" s="24"/>
      <c r="U806" s="33"/>
    </row>
    <row r="807" spans="1:21" s="13" customFormat="1" ht="16.5" customHeight="1" x14ac:dyDescent="0.45">
      <c r="A807" s="14">
        <v>806</v>
      </c>
      <c r="B807" s="14">
        <v>12</v>
      </c>
      <c r="C807" s="52">
        <v>2</v>
      </c>
      <c r="D807" s="53">
        <v>10</v>
      </c>
      <c r="E807" s="54">
        <v>22</v>
      </c>
      <c r="F807" s="18" t="s">
        <v>360</v>
      </c>
      <c r="G807" s="19" t="s">
        <v>14</v>
      </c>
      <c r="H807" s="20" t="s">
        <v>574</v>
      </c>
      <c r="I807" s="153" t="s">
        <v>545</v>
      </c>
      <c r="J807" s="22">
        <v>25200</v>
      </c>
      <c r="K807" s="77"/>
      <c r="L807" s="77">
        <v>1200</v>
      </c>
      <c r="M807" s="23"/>
      <c r="N807" s="24"/>
      <c r="O807" s="13">
        <v>22050</v>
      </c>
      <c r="P807" s="13">
        <v>1050</v>
      </c>
      <c r="Q807" s="13">
        <v>23100</v>
      </c>
      <c r="U807" s="33"/>
    </row>
    <row r="808" spans="1:21" s="13" customFormat="1" ht="16.5" customHeight="1" x14ac:dyDescent="0.45">
      <c r="A808" s="14">
        <v>807</v>
      </c>
      <c r="B808" s="14">
        <v>13</v>
      </c>
      <c r="C808" s="52">
        <v>2</v>
      </c>
      <c r="D808" s="53">
        <v>11</v>
      </c>
      <c r="E808" s="54">
        <v>16</v>
      </c>
      <c r="F808" s="18" t="s">
        <v>111</v>
      </c>
      <c r="G808" s="19" t="s">
        <v>14</v>
      </c>
      <c r="H808" s="20" t="s">
        <v>574</v>
      </c>
      <c r="I808" s="154" t="s">
        <v>545</v>
      </c>
      <c r="J808" s="30">
        <v>18900</v>
      </c>
      <c r="K808" s="74"/>
      <c r="L808" s="47">
        <v>900</v>
      </c>
      <c r="M808" s="23"/>
      <c r="N808" s="24"/>
      <c r="O808" s="13">
        <f>O807*21</f>
        <v>463050</v>
      </c>
      <c r="P808" s="13">
        <f t="shared" ref="P808:Q808" si="108">P807*21</f>
        <v>22050</v>
      </c>
      <c r="Q808" s="13">
        <f t="shared" si="108"/>
        <v>485100</v>
      </c>
      <c r="U808" s="33"/>
    </row>
    <row r="809" spans="1:21" s="13" customFormat="1" ht="16.5" customHeight="1" x14ac:dyDescent="0.45">
      <c r="A809" s="14">
        <v>808</v>
      </c>
      <c r="B809" s="14">
        <v>14</v>
      </c>
      <c r="C809" s="52">
        <v>3</v>
      </c>
      <c r="D809" s="53">
        <v>1</v>
      </c>
      <c r="E809" s="54">
        <v>24</v>
      </c>
      <c r="F809" s="18" t="s">
        <v>419</v>
      </c>
      <c r="G809" s="19" t="s">
        <v>14</v>
      </c>
      <c r="H809" s="20" t="s">
        <v>574</v>
      </c>
      <c r="I809" s="153" t="s">
        <v>545</v>
      </c>
      <c r="J809" s="22">
        <v>25200</v>
      </c>
      <c r="K809" s="77"/>
      <c r="L809" s="77">
        <v>1200</v>
      </c>
      <c r="M809" s="23"/>
      <c r="N809" s="24"/>
      <c r="R809" s="13">
        <f t="shared" ref="R809" si="109">SUM(R807:R808)</f>
        <v>0</v>
      </c>
      <c r="U809" s="33"/>
    </row>
    <row r="810" spans="1:21" s="13" customFormat="1" ht="16.5" customHeight="1" x14ac:dyDescent="0.45">
      <c r="A810" s="14">
        <v>809</v>
      </c>
      <c r="B810" s="14">
        <v>15</v>
      </c>
      <c r="C810" s="52">
        <v>3</v>
      </c>
      <c r="D810" s="53">
        <v>2</v>
      </c>
      <c r="E810" s="54">
        <v>10</v>
      </c>
      <c r="F810" s="18" t="s">
        <v>317</v>
      </c>
      <c r="G810" s="19" t="s">
        <v>14</v>
      </c>
      <c r="H810" s="20" t="s">
        <v>574</v>
      </c>
      <c r="I810" s="153" t="s">
        <v>545</v>
      </c>
      <c r="J810" s="22">
        <v>25200</v>
      </c>
      <c r="K810" s="77"/>
      <c r="L810" s="77">
        <v>1200</v>
      </c>
      <c r="M810" s="23"/>
      <c r="N810" s="24"/>
      <c r="O810" s="13">
        <v>25200</v>
      </c>
      <c r="P810" s="13">
        <v>1200</v>
      </c>
      <c r="Q810" s="13">
        <v>26400</v>
      </c>
      <c r="U810" s="33"/>
    </row>
    <row r="811" spans="1:21" s="13" customFormat="1" ht="16.5" customHeight="1" x14ac:dyDescent="0.45">
      <c r="A811" s="14">
        <v>810</v>
      </c>
      <c r="B811" s="14">
        <v>16</v>
      </c>
      <c r="C811" s="52">
        <v>3</v>
      </c>
      <c r="D811" s="53">
        <v>2</v>
      </c>
      <c r="E811" s="54">
        <v>14</v>
      </c>
      <c r="F811" s="18" t="s">
        <v>500</v>
      </c>
      <c r="G811" s="19" t="s">
        <v>14</v>
      </c>
      <c r="H811" s="20" t="s">
        <v>574</v>
      </c>
      <c r="I811" s="153" t="s">
        <v>545</v>
      </c>
      <c r="J811" s="22">
        <v>25200</v>
      </c>
      <c r="K811" s="77"/>
      <c r="L811" s="77">
        <v>1200</v>
      </c>
      <c r="M811" s="23"/>
      <c r="N811" s="24"/>
      <c r="O811" s="13">
        <f>O810*21</f>
        <v>529200</v>
      </c>
      <c r="P811" s="13">
        <f t="shared" ref="P811:Q811" si="110">P810*21</f>
        <v>25200</v>
      </c>
      <c r="Q811" s="13">
        <f t="shared" si="110"/>
        <v>554400</v>
      </c>
      <c r="U811" s="33"/>
    </row>
    <row r="812" spans="1:21" s="13" customFormat="1" ht="16.5" customHeight="1" x14ac:dyDescent="0.45">
      <c r="A812" s="14">
        <v>811</v>
      </c>
      <c r="B812" s="14">
        <v>17</v>
      </c>
      <c r="C812" s="52">
        <v>3</v>
      </c>
      <c r="D812" s="53">
        <v>2</v>
      </c>
      <c r="E812" s="54">
        <v>22</v>
      </c>
      <c r="F812" s="18" t="s">
        <v>578</v>
      </c>
      <c r="G812" s="19" t="s">
        <v>14</v>
      </c>
      <c r="H812" s="20" t="s">
        <v>574</v>
      </c>
      <c r="I812" s="153" t="s">
        <v>545</v>
      </c>
      <c r="J812" s="22">
        <v>25200</v>
      </c>
      <c r="K812" s="77"/>
      <c r="L812" s="77">
        <v>1200</v>
      </c>
      <c r="M812" s="23"/>
      <c r="N812" s="24"/>
      <c r="U812" s="33"/>
    </row>
    <row r="813" spans="1:21" s="13" customFormat="1" ht="16.5" customHeight="1" x14ac:dyDescent="0.45">
      <c r="A813" s="14">
        <v>812</v>
      </c>
      <c r="B813" s="14">
        <v>18</v>
      </c>
      <c r="C813" s="52">
        <v>3</v>
      </c>
      <c r="D813" s="53">
        <v>3</v>
      </c>
      <c r="E813" s="54">
        <v>13</v>
      </c>
      <c r="F813" s="18" t="s">
        <v>86</v>
      </c>
      <c r="G813" s="19" t="s">
        <v>14</v>
      </c>
      <c r="H813" s="20" t="s">
        <v>574</v>
      </c>
      <c r="I813" s="153" t="s">
        <v>545</v>
      </c>
      <c r="J813" s="22">
        <v>25200</v>
      </c>
      <c r="K813" s="77"/>
      <c r="L813" s="77">
        <v>1200</v>
      </c>
      <c r="M813" s="23"/>
      <c r="N813" s="24"/>
      <c r="S813" s="34">
        <f>SUM(O805,O808,O811)</f>
        <v>1489950</v>
      </c>
      <c r="T813" s="34">
        <f>SUM(P805,P808,P811)</f>
        <v>70950</v>
      </c>
      <c r="U813" s="34">
        <f>SUM(Q805,Q808,Q811)</f>
        <v>1560900</v>
      </c>
    </row>
    <row r="814" spans="1:21" s="13" customFormat="1" ht="16.5" customHeight="1" x14ac:dyDescent="0.45">
      <c r="A814" s="14">
        <v>813</v>
      </c>
      <c r="B814" s="14">
        <v>19</v>
      </c>
      <c r="C814" s="52">
        <v>3</v>
      </c>
      <c r="D814" s="53">
        <v>4</v>
      </c>
      <c r="E814" s="54">
        <v>20</v>
      </c>
      <c r="F814" s="18" t="s">
        <v>318</v>
      </c>
      <c r="G814" s="19" t="s">
        <v>14</v>
      </c>
      <c r="H814" s="20" t="s">
        <v>574</v>
      </c>
      <c r="I814" s="153" t="s">
        <v>545</v>
      </c>
      <c r="J814" s="22">
        <v>25200</v>
      </c>
      <c r="K814" s="77"/>
      <c r="L814" s="77">
        <v>1200</v>
      </c>
      <c r="M814" s="23"/>
      <c r="N814" s="24"/>
      <c r="U814" s="33"/>
    </row>
    <row r="815" spans="1:21" s="13" customFormat="1" ht="16.5" customHeight="1" x14ac:dyDescent="0.45">
      <c r="A815" s="14">
        <v>814</v>
      </c>
      <c r="B815" s="14">
        <v>20</v>
      </c>
      <c r="C815" s="52">
        <v>3</v>
      </c>
      <c r="D815" s="53">
        <v>5</v>
      </c>
      <c r="E815" s="54">
        <v>14</v>
      </c>
      <c r="F815" s="18" t="s">
        <v>176</v>
      </c>
      <c r="G815" s="19" t="s">
        <v>14</v>
      </c>
      <c r="H815" s="20" t="s">
        <v>574</v>
      </c>
      <c r="I815" s="153" t="s">
        <v>545</v>
      </c>
      <c r="J815" s="22">
        <v>25200</v>
      </c>
      <c r="K815" s="77"/>
      <c r="L815" s="77">
        <v>1200</v>
      </c>
      <c r="M815" s="23"/>
      <c r="N815" s="24"/>
      <c r="U815" s="33"/>
    </row>
    <row r="816" spans="1:21" s="13" customFormat="1" ht="16.5" customHeight="1" x14ac:dyDescent="0.45">
      <c r="A816" s="14">
        <v>815</v>
      </c>
      <c r="B816" s="156">
        <v>21</v>
      </c>
      <c r="C816" s="62">
        <v>3</v>
      </c>
      <c r="D816" s="63">
        <v>6</v>
      </c>
      <c r="E816" s="64">
        <v>8</v>
      </c>
      <c r="F816" s="48" t="s">
        <v>579</v>
      </c>
      <c r="G816" s="157" t="s">
        <v>14</v>
      </c>
      <c r="H816" s="158" t="s">
        <v>574</v>
      </c>
      <c r="I816" s="165" t="s">
        <v>545</v>
      </c>
      <c r="J816" s="166">
        <v>18900</v>
      </c>
      <c r="K816" s="167"/>
      <c r="L816" s="168">
        <v>900</v>
      </c>
      <c r="M816" s="69"/>
      <c r="N816" s="24"/>
      <c r="U816" s="33"/>
    </row>
    <row r="817" spans="1:21" s="13" customFormat="1" ht="16.5" customHeight="1" x14ac:dyDescent="0.45">
      <c r="A817" s="14">
        <v>816</v>
      </c>
      <c r="B817" s="14">
        <v>1</v>
      </c>
      <c r="C817" s="52">
        <v>3</v>
      </c>
      <c r="D817" s="53">
        <v>1</v>
      </c>
      <c r="E817" s="54">
        <v>12</v>
      </c>
      <c r="F817" s="89" t="s">
        <v>411</v>
      </c>
      <c r="G817" s="57" t="s">
        <v>14</v>
      </c>
      <c r="H817" s="58" t="s">
        <v>580</v>
      </c>
      <c r="I817" s="39" t="s">
        <v>545</v>
      </c>
      <c r="J817" s="46">
        <v>25200</v>
      </c>
      <c r="K817" s="44"/>
      <c r="L817" s="77">
        <v>1200</v>
      </c>
      <c r="M817" s="45">
        <f>SUM(J817:K838)</f>
        <v>538650</v>
      </c>
      <c r="N817" s="24"/>
      <c r="U817" s="33"/>
    </row>
    <row r="818" spans="1:21" s="13" customFormat="1" ht="16.5" customHeight="1" x14ac:dyDescent="0.45">
      <c r="A818" s="14">
        <v>817</v>
      </c>
      <c r="B818" s="14">
        <v>2</v>
      </c>
      <c r="C818" s="52">
        <v>3</v>
      </c>
      <c r="D818" s="53">
        <v>2</v>
      </c>
      <c r="E818" s="54">
        <v>10</v>
      </c>
      <c r="F818" s="89" t="s">
        <v>317</v>
      </c>
      <c r="G818" s="57" t="s">
        <v>14</v>
      </c>
      <c r="H818" s="58" t="s">
        <v>580</v>
      </c>
      <c r="I818" s="18" t="s">
        <v>545</v>
      </c>
      <c r="J818" s="46">
        <v>25200</v>
      </c>
      <c r="K818" s="22"/>
      <c r="L818" s="77">
        <v>1200</v>
      </c>
      <c r="M818" s="23"/>
      <c r="N818" s="24"/>
      <c r="U818" s="33"/>
    </row>
    <row r="819" spans="1:21" s="13" customFormat="1" ht="16.5" customHeight="1" x14ac:dyDescent="0.45">
      <c r="A819" s="14">
        <v>818</v>
      </c>
      <c r="B819" s="14">
        <v>3</v>
      </c>
      <c r="C819" s="52">
        <v>3</v>
      </c>
      <c r="D819" s="53">
        <v>4</v>
      </c>
      <c r="E819" s="54">
        <v>1</v>
      </c>
      <c r="F819" s="89" t="s">
        <v>74</v>
      </c>
      <c r="G819" s="57" t="s">
        <v>14</v>
      </c>
      <c r="H819" s="58" t="s">
        <v>580</v>
      </c>
      <c r="I819" s="18" t="s">
        <v>545</v>
      </c>
      <c r="J819" s="46">
        <v>25200</v>
      </c>
      <c r="K819" s="22"/>
      <c r="L819" s="77">
        <v>1200</v>
      </c>
      <c r="M819" s="23"/>
      <c r="N819" s="24"/>
      <c r="O819" s="27">
        <f>SUM(J817:K838)</f>
        <v>538650</v>
      </c>
      <c r="U819" s="33"/>
    </row>
    <row r="820" spans="1:21" s="13" customFormat="1" ht="16.5" customHeight="1" x14ac:dyDescent="0.45">
      <c r="A820" s="14">
        <v>819</v>
      </c>
      <c r="B820" s="14">
        <v>4</v>
      </c>
      <c r="C820" s="52">
        <v>3</v>
      </c>
      <c r="D820" s="53">
        <v>5</v>
      </c>
      <c r="E820" s="54">
        <v>24</v>
      </c>
      <c r="F820" s="89" t="s">
        <v>581</v>
      </c>
      <c r="G820" s="57" t="s">
        <v>14</v>
      </c>
      <c r="H820" s="58" t="s">
        <v>580</v>
      </c>
      <c r="I820" s="18" t="s">
        <v>545</v>
      </c>
      <c r="J820" s="46">
        <v>25200</v>
      </c>
      <c r="K820" s="22"/>
      <c r="L820" s="77">
        <v>1200</v>
      </c>
      <c r="M820" s="23"/>
      <c r="N820" s="24"/>
      <c r="O820" s="27">
        <f>SUM(L817:L838)</f>
        <v>25650</v>
      </c>
      <c r="U820" s="33"/>
    </row>
    <row r="821" spans="1:21" s="13" customFormat="1" ht="16.5" customHeight="1" x14ac:dyDescent="0.45">
      <c r="A821" s="14">
        <v>820</v>
      </c>
      <c r="B821" s="14">
        <v>5</v>
      </c>
      <c r="C821" s="52">
        <v>3</v>
      </c>
      <c r="D821" s="53">
        <v>7</v>
      </c>
      <c r="E821" s="54">
        <v>25</v>
      </c>
      <c r="F821" s="89" t="s">
        <v>582</v>
      </c>
      <c r="G821" s="57" t="s">
        <v>14</v>
      </c>
      <c r="H821" s="58" t="s">
        <v>580</v>
      </c>
      <c r="I821" s="18" t="s">
        <v>545</v>
      </c>
      <c r="J821" s="46">
        <v>25200</v>
      </c>
      <c r="K821" s="22"/>
      <c r="L821" s="77">
        <v>1200</v>
      </c>
      <c r="M821" s="23"/>
      <c r="N821" s="24"/>
      <c r="O821" s="27">
        <f>SUM(O819:O820)</f>
        <v>564300</v>
      </c>
      <c r="U821" s="33"/>
    </row>
    <row r="822" spans="1:21" s="13" customFormat="1" ht="16.5" customHeight="1" x14ac:dyDescent="0.45">
      <c r="A822" s="14">
        <v>821</v>
      </c>
      <c r="B822" s="14">
        <v>6</v>
      </c>
      <c r="C822" s="52">
        <v>3</v>
      </c>
      <c r="D822" s="53">
        <v>9</v>
      </c>
      <c r="E822" s="54">
        <v>6</v>
      </c>
      <c r="F822" s="89" t="s">
        <v>583</v>
      </c>
      <c r="G822" s="57" t="s">
        <v>14</v>
      </c>
      <c r="H822" s="58" t="s">
        <v>580</v>
      </c>
      <c r="I822" s="18" t="s">
        <v>545</v>
      </c>
      <c r="J822" s="46">
        <v>25200</v>
      </c>
      <c r="K822" s="22"/>
      <c r="L822" s="77">
        <v>1200</v>
      </c>
      <c r="M822" s="23"/>
      <c r="N822" s="24"/>
      <c r="U822" s="33"/>
    </row>
    <row r="823" spans="1:21" s="13" customFormat="1" ht="16.5" customHeight="1" x14ac:dyDescent="0.45">
      <c r="A823" s="14">
        <v>822</v>
      </c>
      <c r="B823" s="14">
        <v>7</v>
      </c>
      <c r="C823" s="52">
        <v>4</v>
      </c>
      <c r="D823" s="53">
        <v>2</v>
      </c>
      <c r="E823" s="54">
        <v>19</v>
      </c>
      <c r="F823" s="89" t="s">
        <v>323</v>
      </c>
      <c r="G823" s="57" t="s">
        <v>14</v>
      </c>
      <c r="H823" s="58" t="s">
        <v>580</v>
      </c>
      <c r="I823" s="18" t="s">
        <v>545</v>
      </c>
      <c r="J823" s="46">
        <v>25200</v>
      </c>
      <c r="K823" s="22"/>
      <c r="L823" s="77">
        <v>1200</v>
      </c>
      <c r="M823" s="23"/>
      <c r="N823" s="24"/>
      <c r="U823" s="33"/>
    </row>
    <row r="824" spans="1:21" s="13" customFormat="1" ht="16.5" customHeight="1" x14ac:dyDescent="0.45">
      <c r="A824" s="14">
        <v>823</v>
      </c>
      <c r="B824" s="14">
        <v>8</v>
      </c>
      <c r="C824" s="52">
        <v>4</v>
      </c>
      <c r="D824" s="53">
        <v>3</v>
      </c>
      <c r="E824" s="54">
        <v>24</v>
      </c>
      <c r="F824" s="89" t="s">
        <v>584</v>
      </c>
      <c r="G824" s="57" t="s">
        <v>14</v>
      </c>
      <c r="H824" s="58" t="s">
        <v>580</v>
      </c>
      <c r="I824" s="18" t="s">
        <v>545</v>
      </c>
      <c r="J824" s="46">
        <v>25200</v>
      </c>
      <c r="K824" s="22"/>
      <c r="L824" s="77">
        <v>1200</v>
      </c>
      <c r="M824" s="23"/>
      <c r="N824" s="24"/>
      <c r="O824" s="13">
        <v>25200</v>
      </c>
      <c r="P824" s="13">
        <v>1200</v>
      </c>
      <c r="Q824" s="13">
        <v>26400</v>
      </c>
      <c r="U824" s="33"/>
    </row>
    <row r="825" spans="1:21" s="13" customFormat="1" ht="16.5" customHeight="1" x14ac:dyDescent="0.45">
      <c r="A825" s="14">
        <v>824</v>
      </c>
      <c r="B825" s="14">
        <v>9</v>
      </c>
      <c r="C825" s="52">
        <v>4</v>
      </c>
      <c r="D825" s="53">
        <v>8</v>
      </c>
      <c r="E825" s="54">
        <v>5</v>
      </c>
      <c r="F825" s="89" t="s">
        <v>357</v>
      </c>
      <c r="G825" s="57" t="s">
        <v>14</v>
      </c>
      <c r="H825" s="58" t="s">
        <v>580</v>
      </c>
      <c r="I825" s="18" t="s">
        <v>545</v>
      </c>
      <c r="J825" s="46">
        <v>25200</v>
      </c>
      <c r="K825" s="22"/>
      <c r="L825" s="77">
        <v>1200</v>
      </c>
      <c r="M825" s="23"/>
      <c r="N825" s="24"/>
      <c r="O825" s="13">
        <f>O824*22</f>
        <v>554400</v>
      </c>
      <c r="P825" s="13">
        <f t="shared" ref="P825:Q825" si="111">P824*22</f>
        <v>26400</v>
      </c>
      <c r="Q825" s="13">
        <f t="shared" si="111"/>
        <v>580800</v>
      </c>
      <c r="U825" s="33"/>
    </row>
    <row r="826" spans="1:21" s="13" customFormat="1" ht="16.5" customHeight="1" x14ac:dyDescent="0.45">
      <c r="A826" s="14">
        <v>825</v>
      </c>
      <c r="B826" s="14">
        <v>10</v>
      </c>
      <c r="C826" s="52">
        <v>4</v>
      </c>
      <c r="D826" s="53">
        <v>8</v>
      </c>
      <c r="E826" s="54">
        <v>23</v>
      </c>
      <c r="F826" s="89" t="s">
        <v>585</v>
      </c>
      <c r="G826" s="57" t="s">
        <v>14</v>
      </c>
      <c r="H826" s="58" t="s">
        <v>586</v>
      </c>
      <c r="I826" s="18" t="s">
        <v>545</v>
      </c>
      <c r="J826" s="46">
        <v>25200</v>
      </c>
      <c r="K826" s="22"/>
      <c r="L826" s="77">
        <v>1200</v>
      </c>
      <c r="M826" s="23"/>
      <c r="N826" s="24"/>
      <c r="O826" s="13">
        <v>-15750</v>
      </c>
      <c r="P826" s="13">
        <v>-750</v>
      </c>
      <c r="Q826" s="13">
        <v>-16500</v>
      </c>
      <c r="U826" s="33"/>
    </row>
    <row r="827" spans="1:21" s="13" customFormat="1" ht="16.5" customHeight="1" x14ac:dyDescent="0.45">
      <c r="A827" s="14">
        <v>826</v>
      </c>
      <c r="B827" s="14">
        <v>11</v>
      </c>
      <c r="C827" s="52">
        <v>5</v>
      </c>
      <c r="D827" s="53">
        <v>1</v>
      </c>
      <c r="E827" s="54">
        <v>22</v>
      </c>
      <c r="F827" s="89" t="s">
        <v>299</v>
      </c>
      <c r="G827" s="57" t="s">
        <v>14</v>
      </c>
      <c r="H827" s="58" t="s">
        <v>580</v>
      </c>
      <c r="I827" s="18" t="s">
        <v>545</v>
      </c>
      <c r="J827" s="46">
        <v>25200</v>
      </c>
      <c r="K827" s="22"/>
      <c r="L827" s="77">
        <v>1200</v>
      </c>
      <c r="M827" s="23"/>
      <c r="N827" s="24"/>
      <c r="O827" s="13">
        <f>SUM(O825:O826)</f>
        <v>538650</v>
      </c>
      <c r="P827" s="13">
        <f t="shared" ref="P827:Q827" si="112">SUM(P825:P826)</f>
        <v>25650</v>
      </c>
      <c r="Q827" s="13">
        <f t="shared" si="112"/>
        <v>564300</v>
      </c>
      <c r="U827" s="33"/>
    </row>
    <row r="828" spans="1:21" s="13" customFormat="1" ht="16.5" customHeight="1" x14ac:dyDescent="0.45">
      <c r="A828" s="14">
        <v>827</v>
      </c>
      <c r="B828" s="14">
        <v>12</v>
      </c>
      <c r="C828" s="52">
        <v>5</v>
      </c>
      <c r="D828" s="53">
        <v>1</v>
      </c>
      <c r="E828" s="54">
        <v>25</v>
      </c>
      <c r="F828" s="89" t="s">
        <v>565</v>
      </c>
      <c r="G828" s="57" t="s">
        <v>14</v>
      </c>
      <c r="H828" s="58" t="s">
        <v>580</v>
      </c>
      <c r="I828" s="18" t="s">
        <v>545</v>
      </c>
      <c r="J828" s="46">
        <v>25200</v>
      </c>
      <c r="K828" s="22"/>
      <c r="L828" s="77">
        <v>1200</v>
      </c>
      <c r="M828" s="23"/>
      <c r="N828" s="24"/>
      <c r="U828" s="33"/>
    </row>
    <row r="829" spans="1:21" s="13" customFormat="1" ht="16.5" customHeight="1" x14ac:dyDescent="0.45">
      <c r="A829" s="14">
        <v>828</v>
      </c>
      <c r="B829" s="14">
        <v>13</v>
      </c>
      <c r="C829" s="52">
        <v>5</v>
      </c>
      <c r="D829" s="53">
        <v>3</v>
      </c>
      <c r="E829" s="54">
        <v>2</v>
      </c>
      <c r="F829" s="89" t="s">
        <v>587</v>
      </c>
      <c r="G829" s="57" t="s">
        <v>14</v>
      </c>
      <c r="H829" s="58" t="s">
        <v>580</v>
      </c>
      <c r="I829" s="18" t="s">
        <v>545</v>
      </c>
      <c r="J829" s="46">
        <v>25200</v>
      </c>
      <c r="K829" s="22"/>
      <c r="L829" s="77">
        <v>1200</v>
      </c>
      <c r="M829" s="23"/>
      <c r="N829" s="24"/>
      <c r="O829" s="13">
        <v>22050</v>
      </c>
      <c r="P829" s="13">
        <v>1050</v>
      </c>
      <c r="Q829" s="13">
        <v>23100</v>
      </c>
      <c r="U829" s="33"/>
    </row>
    <row r="830" spans="1:21" s="13" customFormat="1" ht="16.5" customHeight="1" x14ac:dyDescent="0.45">
      <c r="A830" s="14">
        <v>829</v>
      </c>
      <c r="B830" s="14">
        <v>14</v>
      </c>
      <c r="C830" s="52">
        <v>5</v>
      </c>
      <c r="D830" s="53">
        <v>3</v>
      </c>
      <c r="E830" s="54">
        <v>22</v>
      </c>
      <c r="F830" s="89" t="s">
        <v>588</v>
      </c>
      <c r="G830" s="57" t="s">
        <v>14</v>
      </c>
      <c r="H830" s="58" t="s">
        <v>580</v>
      </c>
      <c r="I830" s="18" t="s">
        <v>545</v>
      </c>
      <c r="J830" s="46">
        <v>25200</v>
      </c>
      <c r="K830" s="22"/>
      <c r="L830" s="77">
        <v>1200</v>
      </c>
      <c r="M830" s="23"/>
      <c r="N830" s="24"/>
      <c r="O830" s="13">
        <f>O829*22</f>
        <v>485100</v>
      </c>
      <c r="P830" s="13">
        <f t="shared" ref="P830:Q830" si="113">P829*22</f>
        <v>23100</v>
      </c>
      <c r="Q830" s="13">
        <f t="shared" si="113"/>
        <v>508200</v>
      </c>
      <c r="U830" s="33"/>
    </row>
    <row r="831" spans="1:21" s="13" customFormat="1" ht="16.5" customHeight="1" x14ac:dyDescent="0.45">
      <c r="A831" s="14">
        <v>830</v>
      </c>
      <c r="B831" s="14">
        <v>15</v>
      </c>
      <c r="C831" s="52">
        <v>5</v>
      </c>
      <c r="D831" s="53">
        <v>4</v>
      </c>
      <c r="E831" s="54">
        <v>23</v>
      </c>
      <c r="F831" s="89" t="s">
        <v>290</v>
      </c>
      <c r="G831" s="57" t="s">
        <v>14</v>
      </c>
      <c r="H831" s="58" t="s">
        <v>580</v>
      </c>
      <c r="I831" s="18" t="s">
        <v>545</v>
      </c>
      <c r="J831" s="46">
        <v>25200</v>
      </c>
      <c r="K831" s="22"/>
      <c r="L831" s="77">
        <v>1200</v>
      </c>
      <c r="M831" s="23"/>
      <c r="N831" s="24"/>
      <c r="U831" s="33"/>
    </row>
    <row r="832" spans="1:21" s="13" customFormat="1" ht="16.5" customHeight="1" x14ac:dyDescent="0.45">
      <c r="A832" s="14">
        <v>831</v>
      </c>
      <c r="B832" s="14">
        <v>16</v>
      </c>
      <c r="C832" s="52">
        <v>5</v>
      </c>
      <c r="D832" s="53">
        <v>5</v>
      </c>
      <c r="E832" s="54">
        <v>10</v>
      </c>
      <c r="F832" s="89" t="s">
        <v>589</v>
      </c>
      <c r="G832" s="57" t="s">
        <v>14</v>
      </c>
      <c r="H832" s="58" t="s">
        <v>580</v>
      </c>
      <c r="I832" s="28" t="s">
        <v>328</v>
      </c>
      <c r="J832" s="47">
        <v>18900</v>
      </c>
      <c r="K832" s="30"/>
      <c r="L832" s="47">
        <v>900</v>
      </c>
      <c r="M832" s="23"/>
      <c r="N832" s="24"/>
      <c r="O832" s="13">
        <v>22050</v>
      </c>
      <c r="P832" s="13">
        <v>1050</v>
      </c>
      <c r="Q832" s="13">
        <v>23100</v>
      </c>
      <c r="U832" s="33"/>
    </row>
    <row r="833" spans="1:21" s="13" customFormat="1" ht="16.5" customHeight="1" x14ac:dyDescent="0.45">
      <c r="A833" s="14">
        <v>832</v>
      </c>
      <c r="B833" s="14">
        <v>17</v>
      </c>
      <c r="C833" s="52">
        <v>5</v>
      </c>
      <c r="D833" s="53">
        <v>5</v>
      </c>
      <c r="E833" s="54">
        <v>14</v>
      </c>
      <c r="F833" s="89" t="s">
        <v>257</v>
      </c>
      <c r="G833" s="57" t="s">
        <v>14</v>
      </c>
      <c r="H833" s="58" t="s">
        <v>580</v>
      </c>
      <c r="I833" s="18" t="s">
        <v>545</v>
      </c>
      <c r="J833" s="46">
        <v>25200</v>
      </c>
      <c r="K833" s="22"/>
      <c r="L833" s="77">
        <v>1200</v>
      </c>
      <c r="M833" s="23"/>
      <c r="N833" s="24"/>
      <c r="O833" s="13">
        <f>O832*22</f>
        <v>485100</v>
      </c>
      <c r="P833" s="13">
        <f t="shared" ref="P833:Q833" si="114">P832*22</f>
        <v>23100</v>
      </c>
      <c r="Q833" s="13">
        <f t="shared" si="114"/>
        <v>508200</v>
      </c>
      <c r="U833" s="33"/>
    </row>
    <row r="834" spans="1:21" s="13" customFormat="1" ht="16.5" customHeight="1" x14ac:dyDescent="0.45">
      <c r="A834" s="14">
        <v>833</v>
      </c>
      <c r="B834" s="14">
        <v>18</v>
      </c>
      <c r="C834" s="52">
        <v>5</v>
      </c>
      <c r="D834" s="53">
        <v>6</v>
      </c>
      <c r="E834" s="54">
        <v>7</v>
      </c>
      <c r="F834" s="89" t="s">
        <v>570</v>
      </c>
      <c r="G834" s="57" t="s">
        <v>14</v>
      </c>
      <c r="H834" s="58" t="s">
        <v>580</v>
      </c>
      <c r="I834" s="18" t="s">
        <v>545</v>
      </c>
      <c r="J834" s="46">
        <v>25200</v>
      </c>
      <c r="K834" s="22"/>
      <c r="L834" s="77">
        <v>1200</v>
      </c>
      <c r="M834" s="23"/>
      <c r="N834" s="24"/>
      <c r="U834" s="33"/>
    </row>
    <row r="835" spans="1:21" s="13" customFormat="1" ht="16.5" customHeight="1" x14ac:dyDescent="0.45">
      <c r="A835" s="14">
        <v>834</v>
      </c>
      <c r="B835" s="14">
        <v>19</v>
      </c>
      <c r="C835" s="52">
        <v>5</v>
      </c>
      <c r="D835" s="53">
        <v>7</v>
      </c>
      <c r="E835" s="54">
        <v>21</v>
      </c>
      <c r="F835" s="89" t="s">
        <v>260</v>
      </c>
      <c r="G835" s="57" t="s">
        <v>14</v>
      </c>
      <c r="H835" s="58" t="s">
        <v>580</v>
      </c>
      <c r="I835" s="28" t="s">
        <v>542</v>
      </c>
      <c r="J835" s="47">
        <v>22050</v>
      </c>
      <c r="K835" s="30"/>
      <c r="L835" s="47">
        <v>1050</v>
      </c>
      <c r="M835" s="23"/>
      <c r="N835" s="24"/>
      <c r="U835" s="33"/>
    </row>
    <row r="836" spans="1:21" s="13" customFormat="1" ht="16.5" customHeight="1" x14ac:dyDescent="0.45">
      <c r="A836" s="14">
        <v>835</v>
      </c>
      <c r="B836" s="14">
        <v>20</v>
      </c>
      <c r="C836" s="52">
        <v>6</v>
      </c>
      <c r="D836" s="53">
        <v>1</v>
      </c>
      <c r="E836" s="54">
        <v>9</v>
      </c>
      <c r="F836" s="89" t="s">
        <v>494</v>
      </c>
      <c r="G836" s="57" t="s">
        <v>14</v>
      </c>
      <c r="H836" s="58" t="s">
        <v>580</v>
      </c>
      <c r="I836" s="18" t="s">
        <v>545</v>
      </c>
      <c r="J836" s="46">
        <v>25200</v>
      </c>
      <c r="K836" s="22"/>
      <c r="L836" s="77">
        <v>1200</v>
      </c>
      <c r="M836" s="23"/>
      <c r="N836" s="24"/>
      <c r="S836" s="34">
        <f>SUM(O827,O830,O833)</f>
        <v>1508850</v>
      </c>
      <c r="T836" s="34">
        <f>SUM(P827,P830,P833)</f>
        <v>71850</v>
      </c>
      <c r="U836" s="34">
        <f>SUM(Q827,Q830,Q833)</f>
        <v>1580700</v>
      </c>
    </row>
    <row r="837" spans="1:21" s="13" customFormat="1" ht="16.5" customHeight="1" x14ac:dyDescent="0.45">
      <c r="A837" s="14">
        <v>836</v>
      </c>
      <c r="B837" s="14">
        <v>21</v>
      </c>
      <c r="C837" s="52">
        <v>6</v>
      </c>
      <c r="D837" s="53">
        <v>6</v>
      </c>
      <c r="E837" s="54">
        <v>11</v>
      </c>
      <c r="F837" s="89" t="s">
        <v>590</v>
      </c>
      <c r="G837" s="57" t="s">
        <v>14</v>
      </c>
      <c r="H837" s="58" t="s">
        <v>580</v>
      </c>
      <c r="I837" s="28" t="s">
        <v>328</v>
      </c>
      <c r="J837" s="47">
        <v>18900</v>
      </c>
      <c r="K837" s="30"/>
      <c r="L837" s="47">
        <v>900</v>
      </c>
      <c r="M837" s="23"/>
      <c r="N837" s="24"/>
      <c r="U837" s="33"/>
    </row>
    <row r="838" spans="1:21" s="13" customFormat="1" ht="16.5" customHeight="1" x14ac:dyDescent="0.45">
      <c r="A838" s="14">
        <v>837</v>
      </c>
      <c r="B838" s="14">
        <v>22</v>
      </c>
      <c r="C838" s="52">
        <v>6</v>
      </c>
      <c r="D838" s="53">
        <v>7</v>
      </c>
      <c r="E838" s="54">
        <v>3</v>
      </c>
      <c r="F838" s="89" t="s">
        <v>100</v>
      </c>
      <c r="G838" s="57" t="s">
        <v>14</v>
      </c>
      <c r="H838" s="58" t="s">
        <v>580</v>
      </c>
      <c r="I838" s="48" t="s">
        <v>545</v>
      </c>
      <c r="J838" s="46">
        <v>25200</v>
      </c>
      <c r="K838" s="68"/>
      <c r="L838" s="77">
        <v>1200</v>
      </c>
      <c r="M838" s="69"/>
      <c r="N838" s="24"/>
      <c r="U838" s="33"/>
    </row>
    <row r="839" spans="1:21" s="13" customFormat="1" ht="16.5" customHeight="1" x14ac:dyDescent="0.45">
      <c r="A839" s="14">
        <v>838</v>
      </c>
      <c r="B839" s="35">
        <v>1</v>
      </c>
      <c r="C839" s="49">
        <v>1</v>
      </c>
      <c r="D839" s="50">
        <v>2</v>
      </c>
      <c r="E839" s="51">
        <v>5</v>
      </c>
      <c r="F839" s="87" t="s">
        <v>447</v>
      </c>
      <c r="G839" s="55" t="s">
        <v>14</v>
      </c>
      <c r="H839" s="56" t="s">
        <v>591</v>
      </c>
      <c r="I839" s="39" t="s">
        <v>60</v>
      </c>
      <c r="J839" s="44">
        <v>25200</v>
      </c>
      <c r="K839" s="88"/>
      <c r="L839" s="44">
        <v>1200</v>
      </c>
      <c r="M839" s="45">
        <f>SUM(J839:K860)</f>
        <v>554400</v>
      </c>
      <c r="N839" s="24"/>
      <c r="U839" s="33"/>
    </row>
    <row r="840" spans="1:21" s="13" customFormat="1" ht="16.5" customHeight="1" x14ac:dyDescent="0.45">
      <c r="A840" s="14">
        <v>839</v>
      </c>
      <c r="B840" s="14">
        <v>2</v>
      </c>
      <c r="C840" s="52">
        <v>1</v>
      </c>
      <c r="D840" s="53">
        <v>4</v>
      </c>
      <c r="E840" s="54">
        <v>8</v>
      </c>
      <c r="F840" s="89" t="s">
        <v>406</v>
      </c>
      <c r="G840" s="57" t="s">
        <v>14</v>
      </c>
      <c r="H840" s="58" t="s">
        <v>592</v>
      </c>
      <c r="I840" s="18" t="s">
        <v>60</v>
      </c>
      <c r="J840" s="22">
        <v>25200</v>
      </c>
      <c r="K840" s="91"/>
      <c r="L840" s="22">
        <v>1200</v>
      </c>
      <c r="M840" s="23"/>
      <c r="N840" s="24"/>
      <c r="U840" s="33"/>
    </row>
    <row r="841" spans="1:21" s="13" customFormat="1" ht="16.5" customHeight="1" x14ac:dyDescent="0.45">
      <c r="A841" s="14">
        <v>840</v>
      </c>
      <c r="B841" s="14">
        <v>3</v>
      </c>
      <c r="C841" s="52">
        <v>1</v>
      </c>
      <c r="D841" s="53">
        <v>5</v>
      </c>
      <c r="E841" s="54">
        <v>20</v>
      </c>
      <c r="F841" s="89" t="s">
        <v>353</v>
      </c>
      <c r="G841" s="57" t="s">
        <v>14</v>
      </c>
      <c r="H841" s="58" t="s">
        <v>591</v>
      </c>
      <c r="I841" s="18" t="s">
        <v>60</v>
      </c>
      <c r="J841" s="22">
        <v>25200</v>
      </c>
      <c r="K841" s="91"/>
      <c r="L841" s="22">
        <v>1200</v>
      </c>
      <c r="M841" s="23"/>
      <c r="N841" s="24"/>
      <c r="O841" s="27">
        <f>SUM(J839:K860)</f>
        <v>554400</v>
      </c>
      <c r="U841" s="33"/>
    </row>
    <row r="842" spans="1:21" s="13" customFormat="1" ht="16.5" customHeight="1" x14ac:dyDescent="0.45">
      <c r="A842" s="14">
        <v>841</v>
      </c>
      <c r="B842" s="14">
        <v>4</v>
      </c>
      <c r="C842" s="52">
        <v>1</v>
      </c>
      <c r="D842" s="53">
        <v>6</v>
      </c>
      <c r="E842" s="54">
        <v>5</v>
      </c>
      <c r="F842" s="89" t="s">
        <v>593</v>
      </c>
      <c r="G842" s="57" t="s">
        <v>14</v>
      </c>
      <c r="H842" s="58" t="s">
        <v>591</v>
      </c>
      <c r="I842" s="18" t="s">
        <v>60</v>
      </c>
      <c r="J842" s="22">
        <v>25200</v>
      </c>
      <c r="K842" s="91"/>
      <c r="L842" s="22">
        <v>1200</v>
      </c>
      <c r="M842" s="23"/>
      <c r="N842" s="24"/>
      <c r="O842" s="27">
        <f>SUM(L839:L860)</f>
        <v>26400</v>
      </c>
      <c r="U842" s="33"/>
    </row>
    <row r="843" spans="1:21" s="13" customFormat="1" ht="16.5" customHeight="1" x14ac:dyDescent="0.45">
      <c r="A843" s="14">
        <v>842</v>
      </c>
      <c r="B843" s="14">
        <v>5</v>
      </c>
      <c r="C843" s="52">
        <v>1</v>
      </c>
      <c r="D843" s="53">
        <v>11</v>
      </c>
      <c r="E843" s="54">
        <v>8</v>
      </c>
      <c r="F843" s="89" t="s">
        <v>190</v>
      </c>
      <c r="G843" s="57" t="s">
        <v>14</v>
      </c>
      <c r="H843" s="58" t="s">
        <v>591</v>
      </c>
      <c r="I843" s="18" t="s">
        <v>60</v>
      </c>
      <c r="J843" s="22">
        <v>25200</v>
      </c>
      <c r="K843" s="91"/>
      <c r="L843" s="22">
        <v>1200</v>
      </c>
      <c r="M843" s="23"/>
      <c r="N843" s="24"/>
      <c r="O843" s="27">
        <f>SUM(O841:O842)</f>
        <v>580800</v>
      </c>
      <c r="U843" s="33"/>
    </row>
    <row r="844" spans="1:21" s="13" customFormat="1" ht="16.5" customHeight="1" x14ac:dyDescent="0.45">
      <c r="A844" s="14">
        <v>843</v>
      </c>
      <c r="B844" s="14">
        <v>6</v>
      </c>
      <c r="C844" s="52">
        <v>1</v>
      </c>
      <c r="D844" s="53">
        <v>11</v>
      </c>
      <c r="E844" s="54">
        <v>11</v>
      </c>
      <c r="F844" s="89" t="s">
        <v>146</v>
      </c>
      <c r="G844" s="57" t="s">
        <v>14</v>
      </c>
      <c r="H844" s="58" t="s">
        <v>591</v>
      </c>
      <c r="I844" s="18" t="s">
        <v>60</v>
      </c>
      <c r="J844" s="22">
        <v>25200</v>
      </c>
      <c r="K844" s="91"/>
      <c r="L844" s="22">
        <v>1200</v>
      </c>
      <c r="M844" s="23"/>
      <c r="N844" s="24"/>
      <c r="U844" s="33"/>
    </row>
    <row r="845" spans="1:21" s="13" customFormat="1" ht="16.5" customHeight="1" x14ac:dyDescent="0.45">
      <c r="A845" s="14">
        <v>844</v>
      </c>
      <c r="B845" s="14">
        <v>7</v>
      </c>
      <c r="C845" s="52">
        <v>1</v>
      </c>
      <c r="D845" s="53">
        <v>11</v>
      </c>
      <c r="E845" s="54">
        <v>12</v>
      </c>
      <c r="F845" s="89" t="s">
        <v>67</v>
      </c>
      <c r="G845" s="57" t="s">
        <v>14</v>
      </c>
      <c r="H845" s="58" t="s">
        <v>591</v>
      </c>
      <c r="I845" s="18" t="s">
        <v>60</v>
      </c>
      <c r="J845" s="22">
        <v>25200</v>
      </c>
      <c r="K845" s="91"/>
      <c r="L845" s="22">
        <v>1200</v>
      </c>
      <c r="M845" s="23"/>
      <c r="N845" s="24"/>
      <c r="U845" s="33"/>
    </row>
    <row r="846" spans="1:21" s="13" customFormat="1" ht="16.5" customHeight="1" x14ac:dyDescent="0.45">
      <c r="A846" s="14">
        <v>845</v>
      </c>
      <c r="B846" s="14">
        <v>8</v>
      </c>
      <c r="C846" s="52">
        <v>1</v>
      </c>
      <c r="D846" s="53">
        <v>12</v>
      </c>
      <c r="E846" s="54">
        <v>3</v>
      </c>
      <c r="F846" s="89" t="s">
        <v>515</v>
      </c>
      <c r="G846" s="57" t="s">
        <v>14</v>
      </c>
      <c r="H846" s="58" t="s">
        <v>591</v>
      </c>
      <c r="I846" s="18" t="s">
        <v>60</v>
      </c>
      <c r="J846" s="22">
        <v>25200</v>
      </c>
      <c r="K846" s="91"/>
      <c r="L846" s="22">
        <v>1200</v>
      </c>
      <c r="M846" s="23"/>
      <c r="N846" s="24"/>
      <c r="U846" s="33"/>
    </row>
    <row r="847" spans="1:21" s="13" customFormat="1" ht="16.5" customHeight="1" x14ac:dyDescent="0.45">
      <c r="A847" s="14">
        <v>846</v>
      </c>
      <c r="B847" s="14">
        <v>9</v>
      </c>
      <c r="C847" s="52">
        <v>1</v>
      </c>
      <c r="D847" s="53">
        <v>12</v>
      </c>
      <c r="E847" s="54">
        <v>5</v>
      </c>
      <c r="F847" s="89" t="s">
        <v>192</v>
      </c>
      <c r="G847" s="57" t="s">
        <v>14</v>
      </c>
      <c r="H847" s="58" t="s">
        <v>591</v>
      </c>
      <c r="I847" s="18" t="s">
        <v>60</v>
      </c>
      <c r="J847" s="22">
        <v>25200</v>
      </c>
      <c r="K847" s="91"/>
      <c r="L847" s="22">
        <v>1200</v>
      </c>
      <c r="M847" s="23"/>
      <c r="N847" s="24"/>
      <c r="O847" s="13">
        <v>25200</v>
      </c>
      <c r="P847" s="13">
        <v>1200</v>
      </c>
      <c r="Q847" s="13">
        <v>26400</v>
      </c>
      <c r="U847" s="33"/>
    </row>
    <row r="848" spans="1:21" s="13" customFormat="1" ht="16.5" customHeight="1" x14ac:dyDescent="0.45">
      <c r="A848" s="14">
        <v>847</v>
      </c>
      <c r="B848" s="14">
        <v>10</v>
      </c>
      <c r="C848" s="52">
        <v>2</v>
      </c>
      <c r="D848" s="53">
        <v>1</v>
      </c>
      <c r="E848" s="54">
        <v>7</v>
      </c>
      <c r="F848" s="89" t="s">
        <v>312</v>
      </c>
      <c r="G848" s="57" t="s">
        <v>14</v>
      </c>
      <c r="H848" s="58" t="s">
        <v>591</v>
      </c>
      <c r="I848" s="18" t="s">
        <v>60</v>
      </c>
      <c r="J848" s="22">
        <v>25200</v>
      </c>
      <c r="K848" s="91"/>
      <c r="L848" s="22">
        <v>1200</v>
      </c>
      <c r="M848" s="23"/>
      <c r="N848" s="24"/>
      <c r="O848" s="13">
        <f>O847*22</f>
        <v>554400</v>
      </c>
      <c r="P848" s="13">
        <f t="shared" ref="P848:Q848" si="115">P847*22</f>
        <v>26400</v>
      </c>
      <c r="Q848" s="13">
        <f t="shared" si="115"/>
        <v>580800</v>
      </c>
      <c r="U848" s="33"/>
    </row>
    <row r="849" spans="1:21" s="13" customFormat="1" ht="16.5" customHeight="1" x14ac:dyDescent="0.45">
      <c r="A849" s="14">
        <v>848</v>
      </c>
      <c r="B849" s="14">
        <v>11</v>
      </c>
      <c r="C849" s="52">
        <v>2</v>
      </c>
      <c r="D849" s="53">
        <v>1</v>
      </c>
      <c r="E849" s="54">
        <v>19</v>
      </c>
      <c r="F849" s="89" t="s">
        <v>194</v>
      </c>
      <c r="G849" s="57" t="s">
        <v>14</v>
      </c>
      <c r="H849" s="58" t="s">
        <v>591</v>
      </c>
      <c r="I849" s="18" t="s">
        <v>60</v>
      </c>
      <c r="J849" s="22">
        <v>25200</v>
      </c>
      <c r="K849" s="91"/>
      <c r="L849" s="22">
        <v>1200</v>
      </c>
      <c r="M849" s="23"/>
      <c r="N849" s="24"/>
      <c r="U849" s="33"/>
    </row>
    <row r="850" spans="1:21" s="13" customFormat="1" ht="16.5" customHeight="1" x14ac:dyDescent="0.45">
      <c r="A850" s="14">
        <v>849</v>
      </c>
      <c r="B850" s="14">
        <v>12</v>
      </c>
      <c r="C850" s="52">
        <v>2</v>
      </c>
      <c r="D850" s="53">
        <v>3</v>
      </c>
      <c r="E850" s="54">
        <v>8</v>
      </c>
      <c r="F850" s="89" t="s">
        <v>313</v>
      </c>
      <c r="G850" s="57" t="s">
        <v>14</v>
      </c>
      <c r="H850" s="58" t="s">
        <v>591</v>
      </c>
      <c r="I850" s="18" t="s">
        <v>60</v>
      </c>
      <c r="J850" s="22">
        <v>25200</v>
      </c>
      <c r="K850" s="91"/>
      <c r="L850" s="22">
        <v>1200</v>
      </c>
      <c r="M850" s="23"/>
      <c r="N850" s="24"/>
      <c r="O850" s="13">
        <v>25200</v>
      </c>
      <c r="P850" s="13">
        <v>1200</v>
      </c>
      <c r="Q850" s="13">
        <v>26400</v>
      </c>
      <c r="U850" s="33"/>
    </row>
    <row r="851" spans="1:21" s="13" customFormat="1" ht="16.5" customHeight="1" x14ac:dyDescent="0.45">
      <c r="A851" s="14">
        <v>850</v>
      </c>
      <c r="B851" s="14">
        <v>13</v>
      </c>
      <c r="C851" s="92">
        <v>2</v>
      </c>
      <c r="D851" s="93">
        <v>4</v>
      </c>
      <c r="E851" s="94">
        <v>17</v>
      </c>
      <c r="F851" s="95" t="s">
        <v>285</v>
      </c>
      <c r="G851" s="96" t="s">
        <v>174</v>
      </c>
      <c r="H851" s="97" t="s">
        <v>591</v>
      </c>
      <c r="I851" s="81" t="s">
        <v>60</v>
      </c>
      <c r="J851" s="115"/>
      <c r="K851" s="85">
        <v>25200</v>
      </c>
      <c r="L851" s="85">
        <v>1200</v>
      </c>
      <c r="M851" s="23"/>
      <c r="N851" s="24"/>
      <c r="O851" s="13">
        <f>O850*22</f>
        <v>554400</v>
      </c>
      <c r="P851" s="13">
        <f t="shared" ref="P851:Q851" si="116">P850*22</f>
        <v>26400</v>
      </c>
      <c r="Q851" s="13">
        <f t="shared" si="116"/>
        <v>580800</v>
      </c>
      <c r="U851" s="33"/>
    </row>
    <row r="852" spans="1:21" s="13" customFormat="1" ht="16.5" customHeight="1" x14ac:dyDescent="0.45">
      <c r="A852" s="14">
        <v>851</v>
      </c>
      <c r="B852" s="14">
        <v>14</v>
      </c>
      <c r="C852" s="52">
        <v>2</v>
      </c>
      <c r="D852" s="53">
        <v>5</v>
      </c>
      <c r="E852" s="54">
        <v>1</v>
      </c>
      <c r="F852" s="89" t="s">
        <v>161</v>
      </c>
      <c r="G852" s="57" t="s">
        <v>14</v>
      </c>
      <c r="H852" s="58" t="s">
        <v>591</v>
      </c>
      <c r="I852" s="18" t="s">
        <v>60</v>
      </c>
      <c r="J852" s="22">
        <v>25200</v>
      </c>
      <c r="K852" s="91"/>
      <c r="L852" s="22">
        <v>1200</v>
      </c>
      <c r="M852" s="23"/>
      <c r="N852" s="24"/>
      <c r="U852" s="33"/>
    </row>
    <row r="853" spans="1:21" s="13" customFormat="1" ht="16.5" customHeight="1" x14ac:dyDescent="0.45">
      <c r="A853" s="14">
        <v>852</v>
      </c>
      <c r="B853" s="14">
        <v>15</v>
      </c>
      <c r="C853" s="52">
        <v>2</v>
      </c>
      <c r="D853" s="53">
        <v>7</v>
      </c>
      <c r="E853" s="54">
        <v>6</v>
      </c>
      <c r="F853" s="89" t="s">
        <v>462</v>
      </c>
      <c r="G853" s="57" t="s">
        <v>14</v>
      </c>
      <c r="H853" s="58" t="s">
        <v>591</v>
      </c>
      <c r="I853" s="18" t="s">
        <v>60</v>
      </c>
      <c r="J853" s="22">
        <v>25200</v>
      </c>
      <c r="K853" s="91"/>
      <c r="L853" s="22">
        <v>1200</v>
      </c>
      <c r="M853" s="23"/>
      <c r="N853" s="24"/>
      <c r="U853" s="33"/>
    </row>
    <row r="854" spans="1:21" s="13" customFormat="1" ht="16.5" customHeight="1" x14ac:dyDescent="0.45">
      <c r="A854" s="14">
        <v>853</v>
      </c>
      <c r="B854" s="14">
        <v>16</v>
      </c>
      <c r="C854" s="52">
        <v>2</v>
      </c>
      <c r="D854" s="53">
        <v>7</v>
      </c>
      <c r="E854" s="54">
        <v>21</v>
      </c>
      <c r="F854" s="89" t="s">
        <v>85</v>
      </c>
      <c r="G854" s="57" t="s">
        <v>14</v>
      </c>
      <c r="H854" s="58" t="s">
        <v>591</v>
      </c>
      <c r="I854" s="18" t="s">
        <v>60</v>
      </c>
      <c r="J854" s="22">
        <v>25200</v>
      </c>
      <c r="K854" s="91"/>
      <c r="L854" s="22">
        <v>1200</v>
      </c>
      <c r="M854" s="23"/>
      <c r="N854" s="24"/>
      <c r="O854" s="13">
        <v>25200</v>
      </c>
      <c r="P854" s="13">
        <v>1200</v>
      </c>
      <c r="Q854" s="13">
        <v>26400</v>
      </c>
      <c r="U854" s="33"/>
    </row>
    <row r="855" spans="1:21" s="13" customFormat="1" ht="16.5" customHeight="1" x14ac:dyDescent="0.45">
      <c r="A855" s="14">
        <v>854</v>
      </c>
      <c r="B855" s="14">
        <v>17</v>
      </c>
      <c r="C855" s="52">
        <v>2</v>
      </c>
      <c r="D855" s="53">
        <v>8</v>
      </c>
      <c r="E855" s="54">
        <v>18</v>
      </c>
      <c r="F855" s="89" t="s">
        <v>518</v>
      </c>
      <c r="G855" s="57" t="s">
        <v>14</v>
      </c>
      <c r="H855" s="58" t="s">
        <v>591</v>
      </c>
      <c r="I855" s="18" t="s">
        <v>60</v>
      </c>
      <c r="J855" s="22">
        <v>25200</v>
      </c>
      <c r="K855" s="91"/>
      <c r="L855" s="22">
        <v>1200</v>
      </c>
      <c r="M855" s="23"/>
      <c r="N855" s="24"/>
      <c r="O855" s="13">
        <f>O854*22</f>
        <v>554400</v>
      </c>
      <c r="P855" s="13">
        <f t="shared" ref="P855:Q855" si="117">P854*22</f>
        <v>26400</v>
      </c>
      <c r="Q855" s="13">
        <f t="shared" si="117"/>
        <v>580800</v>
      </c>
      <c r="U855" s="33"/>
    </row>
    <row r="856" spans="1:21" s="13" customFormat="1" ht="16.5" customHeight="1" x14ac:dyDescent="0.45">
      <c r="A856" s="14">
        <v>855</v>
      </c>
      <c r="B856" s="14">
        <v>18</v>
      </c>
      <c r="C856" s="52">
        <v>2</v>
      </c>
      <c r="D856" s="53">
        <v>8</v>
      </c>
      <c r="E856" s="54">
        <v>21</v>
      </c>
      <c r="F856" s="89" t="s">
        <v>594</v>
      </c>
      <c r="G856" s="57" t="s">
        <v>14</v>
      </c>
      <c r="H856" s="58" t="s">
        <v>591</v>
      </c>
      <c r="I856" s="18" t="s">
        <v>60</v>
      </c>
      <c r="J856" s="22">
        <v>25200</v>
      </c>
      <c r="K856" s="91"/>
      <c r="L856" s="22">
        <v>1200</v>
      </c>
      <c r="M856" s="23"/>
      <c r="N856" s="24"/>
      <c r="U856" s="33"/>
    </row>
    <row r="857" spans="1:21" s="13" customFormat="1" ht="16.5" customHeight="1" x14ac:dyDescent="0.45">
      <c r="A857" s="14">
        <v>856</v>
      </c>
      <c r="B857" s="14">
        <v>19</v>
      </c>
      <c r="C857" s="52">
        <v>2</v>
      </c>
      <c r="D857" s="53">
        <v>10</v>
      </c>
      <c r="E857" s="54">
        <v>13</v>
      </c>
      <c r="F857" s="89" t="s">
        <v>519</v>
      </c>
      <c r="G857" s="57" t="s">
        <v>14</v>
      </c>
      <c r="H857" s="58" t="s">
        <v>591</v>
      </c>
      <c r="I857" s="18" t="s">
        <v>60</v>
      </c>
      <c r="J857" s="22">
        <v>25200</v>
      </c>
      <c r="K857" s="91"/>
      <c r="L857" s="22">
        <v>1200</v>
      </c>
      <c r="M857" s="23"/>
      <c r="N857" s="24"/>
      <c r="S857" s="34">
        <f>SUM(O848,O851,O855)</f>
        <v>1663200</v>
      </c>
      <c r="T857" s="34">
        <f>SUM(P848,P851,P855)</f>
        <v>79200</v>
      </c>
      <c r="U857" s="34">
        <f>SUM(Q848,Q851,Q855)</f>
        <v>1742400</v>
      </c>
    </row>
    <row r="858" spans="1:21" s="13" customFormat="1" ht="16.5" customHeight="1" x14ac:dyDescent="0.45">
      <c r="A858" s="14">
        <v>857</v>
      </c>
      <c r="B858" s="14">
        <v>20</v>
      </c>
      <c r="C858" s="52">
        <v>3</v>
      </c>
      <c r="D858" s="53">
        <v>7</v>
      </c>
      <c r="E858" s="54">
        <v>10</v>
      </c>
      <c r="F858" s="89" t="s">
        <v>595</v>
      </c>
      <c r="G858" s="57" t="s">
        <v>14</v>
      </c>
      <c r="H858" s="58" t="s">
        <v>592</v>
      </c>
      <c r="I858" s="18" t="s">
        <v>60</v>
      </c>
      <c r="J858" s="22">
        <v>25200</v>
      </c>
      <c r="K858" s="91"/>
      <c r="L858" s="22">
        <v>1200</v>
      </c>
      <c r="M858" s="23"/>
      <c r="N858" s="24"/>
      <c r="U858" s="33"/>
    </row>
    <row r="859" spans="1:21" s="13" customFormat="1" ht="16.5" customHeight="1" x14ac:dyDescent="0.45">
      <c r="A859" s="14">
        <v>858</v>
      </c>
      <c r="B859" s="14">
        <v>21</v>
      </c>
      <c r="C859" s="52">
        <v>3</v>
      </c>
      <c r="D859" s="53">
        <v>7</v>
      </c>
      <c r="E859" s="54">
        <v>17</v>
      </c>
      <c r="F859" s="89" t="s">
        <v>294</v>
      </c>
      <c r="G859" s="57" t="s">
        <v>14</v>
      </c>
      <c r="H859" s="58" t="s">
        <v>591</v>
      </c>
      <c r="I859" s="18" t="s">
        <v>60</v>
      </c>
      <c r="J859" s="22">
        <v>25200</v>
      </c>
      <c r="K859" s="91"/>
      <c r="L859" s="22">
        <v>1200</v>
      </c>
      <c r="M859" s="23"/>
      <c r="N859" s="24"/>
      <c r="U859" s="33"/>
    </row>
    <row r="860" spans="1:21" s="13" customFormat="1" ht="16.5" customHeight="1" x14ac:dyDescent="0.45">
      <c r="A860" s="14">
        <v>859</v>
      </c>
      <c r="B860" s="14">
        <v>22</v>
      </c>
      <c r="C860" s="52">
        <v>3</v>
      </c>
      <c r="D860" s="53">
        <v>8</v>
      </c>
      <c r="E860" s="54">
        <v>2</v>
      </c>
      <c r="F860" s="89" t="s">
        <v>596</v>
      </c>
      <c r="G860" s="57" t="s">
        <v>14</v>
      </c>
      <c r="H860" s="58" t="s">
        <v>591</v>
      </c>
      <c r="I860" s="18" t="s">
        <v>60</v>
      </c>
      <c r="J860" s="22">
        <v>25200</v>
      </c>
      <c r="K860" s="91"/>
      <c r="L860" s="22">
        <v>1200</v>
      </c>
      <c r="M860" s="23"/>
      <c r="N860" s="24"/>
      <c r="U860" s="33"/>
    </row>
    <row r="861" spans="1:21" s="13" customFormat="1" ht="16.5" customHeight="1" x14ac:dyDescent="0.45">
      <c r="A861" s="14">
        <v>860</v>
      </c>
      <c r="B861" s="35">
        <v>1</v>
      </c>
      <c r="C861" s="49">
        <v>3</v>
      </c>
      <c r="D861" s="50">
        <v>2</v>
      </c>
      <c r="E861" s="51">
        <v>4</v>
      </c>
      <c r="F861" s="87" t="s">
        <v>597</v>
      </c>
      <c r="G861" s="55" t="s">
        <v>14</v>
      </c>
      <c r="H861" s="56" t="s">
        <v>598</v>
      </c>
      <c r="I861" s="39" t="s">
        <v>60</v>
      </c>
      <c r="J861" s="44">
        <v>25200</v>
      </c>
      <c r="K861" s="88"/>
      <c r="L861" s="44">
        <v>1200</v>
      </c>
      <c r="M861" s="45">
        <f>SUM(J861:K874)</f>
        <v>352800</v>
      </c>
      <c r="N861" s="24"/>
      <c r="U861" s="33"/>
    </row>
    <row r="862" spans="1:21" s="13" customFormat="1" ht="16.5" customHeight="1" x14ac:dyDescent="0.45">
      <c r="A862" s="14">
        <v>861</v>
      </c>
      <c r="B862" s="14">
        <v>2</v>
      </c>
      <c r="C862" s="52">
        <v>4</v>
      </c>
      <c r="D862" s="53">
        <v>7</v>
      </c>
      <c r="E862" s="54">
        <v>3</v>
      </c>
      <c r="F862" s="89" t="s">
        <v>210</v>
      </c>
      <c r="G862" s="57" t="s">
        <v>14</v>
      </c>
      <c r="H862" s="58" t="s">
        <v>598</v>
      </c>
      <c r="I862" s="18" t="s">
        <v>60</v>
      </c>
      <c r="J862" s="22">
        <v>25200</v>
      </c>
      <c r="K862" s="91"/>
      <c r="L862" s="22">
        <v>1200</v>
      </c>
      <c r="M862" s="23"/>
      <c r="N862" s="24"/>
      <c r="O862" s="27">
        <f>SUM(J861:K874)</f>
        <v>352800</v>
      </c>
      <c r="U862" s="33"/>
    </row>
    <row r="863" spans="1:21" s="13" customFormat="1" ht="16.5" customHeight="1" x14ac:dyDescent="0.45">
      <c r="A863" s="14">
        <v>862</v>
      </c>
      <c r="B863" s="14">
        <v>3</v>
      </c>
      <c r="C863" s="52">
        <v>5</v>
      </c>
      <c r="D863" s="53">
        <v>1</v>
      </c>
      <c r="E863" s="54">
        <v>6</v>
      </c>
      <c r="F863" s="89" t="s">
        <v>599</v>
      </c>
      <c r="G863" s="57" t="s">
        <v>14</v>
      </c>
      <c r="H863" s="58" t="s">
        <v>598</v>
      </c>
      <c r="I863" s="18" t="s">
        <v>60</v>
      </c>
      <c r="J863" s="22">
        <v>25200</v>
      </c>
      <c r="K863" s="91"/>
      <c r="L863" s="22">
        <v>1200</v>
      </c>
      <c r="M863" s="23"/>
      <c r="N863" s="24"/>
      <c r="O863" s="27">
        <f>SUM(L861:L874)</f>
        <v>16800</v>
      </c>
      <c r="U863" s="33"/>
    </row>
    <row r="864" spans="1:21" s="13" customFormat="1" ht="16.5" customHeight="1" x14ac:dyDescent="0.45">
      <c r="A864" s="14">
        <v>863</v>
      </c>
      <c r="B864" s="14">
        <v>4</v>
      </c>
      <c r="C864" s="52">
        <v>5</v>
      </c>
      <c r="D864" s="53">
        <v>3</v>
      </c>
      <c r="E864" s="54">
        <v>5</v>
      </c>
      <c r="F864" s="89" t="s">
        <v>255</v>
      </c>
      <c r="G864" s="57" t="s">
        <v>14</v>
      </c>
      <c r="H864" s="58" t="s">
        <v>598</v>
      </c>
      <c r="I864" s="18" t="s">
        <v>60</v>
      </c>
      <c r="J864" s="22">
        <v>25200</v>
      </c>
      <c r="K864" s="91"/>
      <c r="L864" s="22">
        <v>1200</v>
      </c>
      <c r="M864" s="23"/>
      <c r="N864" s="24"/>
      <c r="O864" s="27">
        <f>SUM(O861:O863)</f>
        <v>369600</v>
      </c>
      <c r="U864" s="33"/>
    </row>
    <row r="865" spans="1:21" s="13" customFormat="1" ht="16.5" customHeight="1" x14ac:dyDescent="0.45">
      <c r="A865" s="14">
        <v>864</v>
      </c>
      <c r="B865" s="14">
        <v>5</v>
      </c>
      <c r="C865" s="52">
        <v>5</v>
      </c>
      <c r="D865" s="53">
        <v>3</v>
      </c>
      <c r="E865" s="54">
        <v>15</v>
      </c>
      <c r="F865" s="89" t="s">
        <v>600</v>
      </c>
      <c r="G865" s="57" t="s">
        <v>14</v>
      </c>
      <c r="H865" s="58" t="s">
        <v>598</v>
      </c>
      <c r="I865" s="18" t="s">
        <v>60</v>
      </c>
      <c r="J865" s="22">
        <v>25200</v>
      </c>
      <c r="K865" s="91"/>
      <c r="L865" s="22">
        <v>1200</v>
      </c>
      <c r="M865" s="23"/>
      <c r="N865" s="24"/>
      <c r="U865" s="33"/>
    </row>
    <row r="866" spans="1:21" s="13" customFormat="1" ht="16.5" customHeight="1" x14ac:dyDescent="0.45">
      <c r="A866" s="14">
        <v>865</v>
      </c>
      <c r="B866" s="14">
        <v>6</v>
      </c>
      <c r="C866" s="52">
        <v>5</v>
      </c>
      <c r="D866" s="53">
        <v>3</v>
      </c>
      <c r="E866" s="54">
        <v>21</v>
      </c>
      <c r="F866" s="89" t="s">
        <v>423</v>
      </c>
      <c r="G866" s="57" t="s">
        <v>14</v>
      </c>
      <c r="H866" s="58" t="s">
        <v>601</v>
      </c>
      <c r="I866" s="18" t="s">
        <v>60</v>
      </c>
      <c r="J866" s="22">
        <v>25200</v>
      </c>
      <c r="K866" s="91"/>
      <c r="L866" s="22">
        <v>1200</v>
      </c>
      <c r="M866" s="23"/>
      <c r="N866" s="24"/>
      <c r="O866" s="13">
        <v>25200</v>
      </c>
      <c r="P866" s="13">
        <v>1200</v>
      </c>
      <c r="Q866" s="13">
        <v>26400</v>
      </c>
      <c r="U866" s="33"/>
    </row>
    <row r="867" spans="1:21" s="13" customFormat="1" ht="16.5" customHeight="1" x14ac:dyDescent="0.45">
      <c r="A867" s="14">
        <v>866</v>
      </c>
      <c r="B867" s="14">
        <v>7</v>
      </c>
      <c r="C867" s="52">
        <v>5</v>
      </c>
      <c r="D867" s="53">
        <v>6</v>
      </c>
      <c r="E867" s="54">
        <v>2</v>
      </c>
      <c r="F867" s="89" t="s">
        <v>274</v>
      </c>
      <c r="G867" s="57" t="s">
        <v>14</v>
      </c>
      <c r="H867" s="58" t="s">
        <v>598</v>
      </c>
      <c r="I867" s="18" t="s">
        <v>60</v>
      </c>
      <c r="J867" s="22">
        <v>25200</v>
      </c>
      <c r="K867" s="91"/>
      <c r="L867" s="22">
        <v>1200</v>
      </c>
      <c r="M867" s="23"/>
      <c r="N867" s="24"/>
      <c r="O867" s="13">
        <f>O866*14</f>
        <v>352800</v>
      </c>
      <c r="P867" s="13">
        <f t="shared" ref="P867:Q867" si="118">P866*14</f>
        <v>16800</v>
      </c>
      <c r="Q867" s="13">
        <f t="shared" si="118"/>
        <v>369600</v>
      </c>
      <c r="U867" s="33"/>
    </row>
    <row r="868" spans="1:21" s="13" customFormat="1" ht="16.5" customHeight="1" x14ac:dyDescent="0.45">
      <c r="A868" s="14">
        <v>867</v>
      </c>
      <c r="B868" s="14">
        <v>8</v>
      </c>
      <c r="C868" s="52">
        <v>5</v>
      </c>
      <c r="D868" s="53">
        <v>6</v>
      </c>
      <c r="E868" s="54">
        <v>6</v>
      </c>
      <c r="F868" s="89" t="s">
        <v>568</v>
      </c>
      <c r="G868" s="57" t="s">
        <v>14</v>
      </c>
      <c r="H868" s="58" t="s">
        <v>598</v>
      </c>
      <c r="I868" s="18" t="s">
        <v>60</v>
      </c>
      <c r="J868" s="22">
        <v>25200</v>
      </c>
      <c r="K868" s="91"/>
      <c r="L868" s="22">
        <v>1200</v>
      </c>
      <c r="M868" s="23"/>
      <c r="N868" s="24"/>
      <c r="U868" s="33"/>
    </row>
    <row r="869" spans="1:21" s="13" customFormat="1" ht="16.5" customHeight="1" x14ac:dyDescent="0.45">
      <c r="A869" s="14">
        <v>868</v>
      </c>
      <c r="B869" s="14">
        <v>9</v>
      </c>
      <c r="C869" s="52">
        <v>5</v>
      </c>
      <c r="D869" s="53">
        <v>7</v>
      </c>
      <c r="E869" s="54">
        <v>10</v>
      </c>
      <c r="F869" s="89" t="s">
        <v>602</v>
      </c>
      <c r="G869" s="57" t="s">
        <v>14</v>
      </c>
      <c r="H869" s="58" t="s">
        <v>598</v>
      </c>
      <c r="I869" s="18" t="s">
        <v>60</v>
      </c>
      <c r="J869" s="22">
        <v>25200</v>
      </c>
      <c r="K869" s="91"/>
      <c r="L869" s="22">
        <v>1200</v>
      </c>
      <c r="M869" s="23"/>
      <c r="N869" s="24"/>
      <c r="O869" s="13">
        <v>18900</v>
      </c>
      <c r="P869" s="13">
        <v>900</v>
      </c>
      <c r="Q869" s="13">
        <v>19800</v>
      </c>
      <c r="U869" s="33"/>
    </row>
    <row r="870" spans="1:21" s="13" customFormat="1" ht="16.5" customHeight="1" x14ac:dyDescent="0.45">
      <c r="A870" s="14">
        <v>869</v>
      </c>
      <c r="B870" s="14">
        <v>10</v>
      </c>
      <c r="C870" s="52">
        <v>5</v>
      </c>
      <c r="D870" s="53">
        <v>7</v>
      </c>
      <c r="E870" s="54">
        <v>14</v>
      </c>
      <c r="F870" s="89" t="s">
        <v>603</v>
      </c>
      <c r="G870" s="57" t="s">
        <v>14</v>
      </c>
      <c r="H870" s="58" t="s">
        <v>598</v>
      </c>
      <c r="I870" s="18" t="s">
        <v>60</v>
      </c>
      <c r="J870" s="22">
        <v>25200</v>
      </c>
      <c r="K870" s="91"/>
      <c r="L870" s="22">
        <v>1200</v>
      </c>
      <c r="M870" s="23"/>
      <c r="N870" s="24"/>
      <c r="O870" s="13">
        <f>O869*14</f>
        <v>264600</v>
      </c>
      <c r="P870" s="13">
        <f t="shared" ref="P870:Q870" si="119">P869*14</f>
        <v>12600</v>
      </c>
      <c r="Q870" s="13">
        <f t="shared" si="119"/>
        <v>277200</v>
      </c>
      <c r="U870" s="33"/>
    </row>
    <row r="871" spans="1:21" s="13" customFormat="1" ht="16.5" customHeight="1" x14ac:dyDescent="0.45">
      <c r="A871" s="14">
        <v>870</v>
      </c>
      <c r="B871" s="14">
        <v>11</v>
      </c>
      <c r="C871" s="52">
        <v>5</v>
      </c>
      <c r="D871" s="53">
        <v>7</v>
      </c>
      <c r="E871" s="54">
        <v>15</v>
      </c>
      <c r="F871" s="89" t="s">
        <v>359</v>
      </c>
      <c r="G871" s="57" t="s">
        <v>14</v>
      </c>
      <c r="H871" s="58" t="s">
        <v>598</v>
      </c>
      <c r="I871" s="18" t="s">
        <v>60</v>
      </c>
      <c r="J871" s="22">
        <v>25200</v>
      </c>
      <c r="K871" s="91"/>
      <c r="L871" s="22">
        <v>1200</v>
      </c>
      <c r="M871" s="23"/>
      <c r="N871" s="24"/>
      <c r="U871" s="33"/>
    </row>
    <row r="872" spans="1:21" s="13" customFormat="1" ht="16.5" customHeight="1" x14ac:dyDescent="0.45">
      <c r="A872" s="14">
        <v>871</v>
      </c>
      <c r="B872" s="14">
        <v>12</v>
      </c>
      <c r="C872" s="52">
        <v>5</v>
      </c>
      <c r="D872" s="53">
        <v>7</v>
      </c>
      <c r="E872" s="54">
        <v>16</v>
      </c>
      <c r="F872" s="89" t="s">
        <v>259</v>
      </c>
      <c r="G872" s="57" t="s">
        <v>14</v>
      </c>
      <c r="H872" s="58" t="s">
        <v>598</v>
      </c>
      <c r="I872" s="18" t="s">
        <v>60</v>
      </c>
      <c r="J872" s="22">
        <v>25200</v>
      </c>
      <c r="K872" s="91"/>
      <c r="L872" s="22">
        <v>1200</v>
      </c>
      <c r="M872" s="23"/>
      <c r="N872" s="24"/>
      <c r="O872" s="13">
        <v>25200</v>
      </c>
      <c r="P872" s="13">
        <v>1200</v>
      </c>
      <c r="Q872" s="13">
        <v>26400</v>
      </c>
      <c r="U872" s="33"/>
    </row>
    <row r="873" spans="1:21" s="13" customFormat="1" ht="16.5" customHeight="1" x14ac:dyDescent="0.45">
      <c r="A873" s="14">
        <v>872</v>
      </c>
      <c r="B873" s="14">
        <v>13</v>
      </c>
      <c r="C873" s="52">
        <v>6</v>
      </c>
      <c r="D873" s="53">
        <v>1</v>
      </c>
      <c r="E873" s="54">
        <v>18</v>
      </c>
      <c r="F873" s="89" t="s">
        <v>569</v>
      </c>
      <c r="G873" s="57" t="s">
        <v>14</v>
      </c>
      <c r="H873" s="58" t="s">
        <v>598</v>
      </c>
      <c r="I873" s="18" t="s">
        <v>60</v>
      </c>
      <c r="J873" s="22">
        <v>25200</v>
      </c>
      <c r="K873" s="91"/>
      <c r="L873" s="22">
        <v>1200</v>
      </c>
      <c r="M873" s="23"/>
      <c r="N873" s="24"/>
      <c r="O873" s="13">
        <f>O872*14</f>
        <v>352800</v>
      </c>
      <c r="P873" s="13">
        <f t="shared" ref="P873:Q873" si="120">P872*14</f>
        <v>16800</v>
      </c>
      <c r="Q873" s="13">
        <f t="shared" si="120"/>
        <v>369600</v>
      </c>
      <c r="U873" s="33"/>
    </row>
    <row r="874" spans="1:21" s="13" customFormat="1" ht="16.5" customHeight="1" x14ac:dyDescent="0.45">
      <c r="A874" s="14">
        <v>873</v>
      </c>
      <c r="B874" s="156">
        <v>14</v>
      </c>
      <c r="C874" s="169">
        <v>6</v>
      </c>
      <c r="D874" s="170">
        <v>3</v>
      </c>
      <c r="E874" s="171">
        <v>24</v>
      </c>
      <c r="F874" s="48" t="s">
        <v>604</v>
      </c>
      <c r="G874" s="157" t="s">
        <v>14</v>
      </c>
      <c r="H874" s="158" t="s">
        <v>598</v>
      </c>
      <c r="I874" s="48" t="s">
        <v>60</v>
      </c>
      <c r="J874" s="68">
        <v>25200</v>
      </c>
      <c r="K874" s="159"/>
      <c r="L874" s="68">
        <v>1200</v>
      </c>
      <c r="M874" s="69"/>
      <c r="N874" s="24"/>
      <c r="U874" s="33"/>
    </row>
    <row r="875" spans="1:21" s="13" customFormat="1" ht="16.5" customHeight="1" x14ac:dyDescent="0.45">
      <c r="A875" s="14">
        <v>874</v>
      </c>
      <c r="B875" s="35">
        <v>1</v>
      </c>
      <c r="C875" s="36">
        <v>1</v>
      </c>
      <c r="D875" s="37">
        <v>4</v>
      </c>
      <c r="E875" s="38">
        <v>11</v>
      </c>
      <c r="F875" s="39" t="s">
        <v>448</v>
      </c>
      <c r="G875" s="40" t="s">
        <v>14</v>
      </c>
      <c r="H875" s="40" t="s">
        <v>605</v>
      </c>
      <c r="I875" s="41" t="s">
        <v>60</v>
      </c>
      <c r="J875" s="44">
        <v>25200</v>
      </c>
      <c r="K875" s="172"/>
      <c r="L875" s="71">
        <v>1200</v>
      </c>
      <c r="M875" s="45">
        <f>SUM(J875:K912)</f>
        <v>869400</v>
      </c>
      <c r="N875" s="24"/>
      <c r="S875" s="34">
        <f>SUM(O867,O870,O873)</f>
        <v>970200</v>
      </c>
      <c r="T875" s="34">
        <f>SUM(P867,P870,P873)</f>
        <v>46200</v>
      </c>
      <c r="U875" s="34">
        <f>SUM(Q867,Q870,Q873)</f>
        <v>1016400</v>
      </c>
    </row>
    <row r="876" spans="1:21" s="13" customFormat="1" ht="16.5" customHeight="1" x14ac:dyDescent="0.45">
      <c r="A876" s="14">
        <v>875</v>
      </c>
      <c r="B876" s="14">
        <v>2</v>
      </c>
      <c r="C876" s="15">
        <v>1</v>
      </c>
      <c r="D876" s="16">
        <v>5</v>
      </c>
      <c r="E876" s="17">
        <v>5</v>
      </c>
      <c r="F876" s="18" t="s">
        <v>62</v>
      </c>
      <c r="G876" s="19" t="s">
        <v>14</v>
      </c>
      <c r="H876" s="19" t="s">
        <v>605</v>
      </c>
      <c r="I876" s="20" t="s">
        <v>60</v>
      </c>
      <c r="J876" s="22">
        <v>25200</v>
      </c>
      <c r="K876" s="173"/>
      <c r="L876" s="77">
        <v>1200</v>
      </c>
      <c r="M876" s="23"/>
      <c r="N876" s="24"/>
      <c r="U876" s="33"/>
    </row>
    <row r="877" spans="1:21" s="13" customFormat="1" ht="16.5" customHeight="1" x14ac:dyDescent="0.45">
      <c r="A877" s="14">
        <v>876</v>
      </c>
      <c r="B877" s="14">
        <v>3</v>
      </c>
      <c r="C877" s="15">
        <v>1</v>
      </c>
      <c r="D877" s="16">
        <v>5</v>
      </c>
      <c r="E877" s="17">
        <v>12</v>
      </c>
      <c r="F877" s="18" t="s">
        <v>352</v>
      </c>
      <c r="G877" s="19" t="s">
        <v>14</v>
      </c>
      <c r="H877" s="19" t="s">
        <v>605</v>
      </c>
      <c r="I877" s="174" t="s">
        <v>16</v>
      </c>
      <c r="J877" s="30">
        <v>18900</v>
      </c>
      <c r="K877" s="175"/>
      <c r="L877" s="74">
        <v>900</v>
      </c>
      <c r="M877" s="23"/>
      <c r="N877" s="24"/>
      <c r="U877" s="33"/>
    </row>
    <row r="878" spans="1:21" s="13" customFormat="1" ht="16.5" customHeight="1" x14ac:dyDescent="0.45">
      <c r="A878" s="14">
        <v>877</v>
      </c>
      <c r="B878" s="14">
        <v>4</v>
      </c>
      <c r="C878" s="15">
        <v>1</v>
      </c>
      <c r="D878" s="16">
        <v>5</v>
      </c>
      <c r="E878" s="17">
        <v>20</v>
      </c>
      <c r="F878" s="18" t="s">
        <v>353</v>
      </c>
      <c r="G878" s="19" t="s">
        <v>14</v>
      </c>
      <c r="H878" s="19" t="s">
        <v>605</v>
      </c>
      <c r="I878" s="174" t="s">
        <v>16</v>
      </c>
      <c r="J878" s="30">
        <v>18900</v>
      </c>
      <c r="K878" s="175"/>
      <c r="L878" s="74">
        <v>900</v>
      </c>
      <c r="M878" s="23"/>
      <c r="N878" s="24"/>
      <c r="U878" s="33"/>
    </row>
    <row r="879" spans="1:21" s="13" customFormat="1" ht="16.5" customHeight="1" x14ac:dyDescent="0.45">
      <c r="A879" s="14">
        <v>878</v>
      </c>
      <c r="B879" s="14">
        <v>5</v>
      </c>
      <c r="C879" s="15">
        <v>1</v>
      </c>
      <c r="D879" s="16">
        <v>7</v>
      </c>
      <c r="E879" s="17">
        <v>1</v>
      </c>
      <c r="F879" s="18" t="s">
        <v>407</v>
      </c>
      <c r="G879" s="19" t="s">
        <v>14</v>
      </c>
      <c r="H879" s="19" t="s">
        <v>605</v>
      </c>
      <c r="I879" s="20" t="s">
        <v>60</v>
      </c>
      <c r="J879" s="22">
        <v>25200</v>
      </c>
      <c r="K879" s="173"/>
      <c r="L879" s="77">
        <v>1200</v>
      </c>
      <c r="M879" s="23"/>
      <c r="N879" s="24"/>
      <c r="O879" s="176">
        <f>SUM(J875:K912)</f>
        <v>869400</v>
      </c>
      <c r="U879" s="33"/>
    </row>
    <row r="880" spans="1:21" s="13" customFormat="1" ht="16.5" customHeight="1" x14ac:dyDescent="0.45">
      <c r="A880" s="14">
        <v>879</v>
      </c>
      <c r="B880" s="14">
        <v>6</v>
      </c>
      <c r="C880" s="15">
        <v>1</v>
      </c>
      <c r="D880" s="16">
        <v>7</v>
      </c>
      <c r="E880" s="17">
        <v>5</v>
      </c>
      <c r="F880" s="18" t="s">
        <v>64</v>
      </c>
      <c r="G880" s="19" t="s">
        <v>14</v>
      </c>
      <c r="H880" s="19" t="s">
        <v>605</v>
      </c>
      <c r="I880" s="20" t="s">
        <v>60</v>
      </c>
      <c r="J880" s="22">
        <v>25200</v>
      </c>
      <c r="K880" s="173"/>
      <c r="L880" s="77">
        <v>1200</v>
      </c>
      <c r="M880" s="23"/>
      <c r="N880" s="24"/>
      <c r="O880" s="176">
        <f>SUM(L875:L912)</f>
        <v>41400</v>
      </c>
      <c r="U880" s="33"/>
    </row>
    <row r="881" spans="1:21" s="13" customFormat="1" ht="16.5" customHeight="1" x14ac:dyDescent="0.45">
      <c r="A881" s="14">
        <v>880</v>
      </c>
      <c r="B881" s="14">
        <v>7</v>
      </c>
      <c r="C881" s="15">
        <v>1</v>
      </c>
      <c r="D881" s="16">
        <v>7</v>
      </c>
      <c r="E881" s="17">
        <v>10</v>
      </c>
      <c r="F881" s="18" t="s">
        <v>606</v>
      </c>
      <c r="G881" s="19" t="s">
        <v>14</v>
      </c>
      <c r="H881" s="19" t="s">
        <v>605</v>
      </c>
      <c r="I881" s="20" t="s">
        <v>60</v>
      </c>
      <c r="J881" s="22">
        <v>25200</v>
      </c>
      <c r="K881" s="173"/>
      <c r="L881" s="77">
        <v>1200</v>
      </c>
      <c r="M881" s="23"/>
      <c r="N881" s="24"/>
      <c r="O881" s="176">
        <f>SUM(O879:O880)</f>
        <v>910800</v>
      </c>
      <c r="U881" s="33"/>
    </row>
    <row r="882" spans="1:21" s="13" customFormat="1" ht="16.5" customHeight="1" x14ac:dyDescent="0.45">
      <c r="A882" s="14">
        <v>881</v>
      </c>
      <c r="B882" s="14">
        <v>8</v>
      </c>
      <c r="C882" s="15">
        <v>1</v>
      </c>
      <c r="D882" s="16">
        <v>8</v>
      </c>
      <c r="E882" s="17">
        <v>16</v>
      </c>
      <c r="F882" s="18" t="s">
        <v>66</v>
      </c>
      <c r="G882" s="19" t="s">
        <v>14</v>
      </c>
      <c r="H882" s="19" t="s">
        <v>605</v>
      </c>
      <c r="I882" s="20" t="s">
        <v>60</v>
      </c>
      <c r="J882" s="22">
        <v>25200</v>
      </c>
      <c r="K882" s="173"/>
      <c r="L882" s="77">
        <v>1200</v>
      </c>
      <c r="M882" s="23"/>
      <c r="N882" s="24"/>
      <c r="U882" s="33"/>
    </row>
    <row r="883" spans="1:21" s="13" customFormat="1" ht="16.5" customHeight="1" x14ac:dyDescent="0.45">
      <c r="A883" s="14">
        <v>882</v>
      </c>
      <c r="B883" s="14">
        <v>9</v>
      </c>
      <c r="C883" s="15">
        <v>1</v>
      </c>
      <c r="D883" s="16">
        <v>10</v>
      </c>
      <c r="E883" s="17">
        <v>23</v>
      </c>
      <c r="F883" s="18" t="s">
        <v>355</v>
      </c>
      <c r="G883" s="19" t="s">
        <v>14</v>
      </c>
      <c r="H883" s="19" t="s">
        <v>605</v>
      </c>
      <c r="I883" s="20" t="s">
        <v>60</v>
      </c>
      <c r="J883" s="22">
        <v>25200</v>
      </c>
      <c r="K883" s="173"/>
      <c r="L883" s="77">
        <v>1200</v>
      </c>
      <c r="M883" s="23"/>
      <c r="N883" s="24"/>
      <c r="O883" s="13">
        <v>25200</v>
      </c>
      <c r="P883" s="13">
        <v>1200</v>
      </c>
      <c r="Q883" s="13">
        <v>26400</v>
      </c>
      <c r="U883" s="33"/>
    </row>
    <row r="884" spans="1:21" s="13" customFormat="1" ht="16.5" customHeight="1" x14ac:dyDescent="0.45">
      <c r="A884" s="14">
        <v>883</v>
      </c>
      <c r="B884" s="14">
        <v>10</v>
      </c>
      <c r="C884" s="15">
        <v>1</v>
      </c>
      <c r="D884" s="16">
        <v>11</v>
      </c>
      <c r="E884" s="17">
        <v>8</v>
      </c>
      <c r="F884" s="18" t="s">
        <v>190</v>
      </c>
      <c r="G884" s="19" t="s">
        <v>14</v>
      </c>
      <c r="H884" s="19" t="s">
        <v>605</v>
      </c>
      <c r="I884" s="20" t="s">
        <v>60</v>
      </c>
      <c r="J884" s="22">
        <v>25200</v>
      </c>
      <c r="K884" s="173"/>
      <c r="L884" s="77">
        <v>1200</v>
      </c>
      <c r="M884" s="23"/>
      <c r="N884" s="24"/>
      <c r="O884" s="13">
        <f>O883*38</f>
        <v>957600</v>
      </c>
      <c r="P884" s="13">
        <f t="shared" ref="P884:Q884" si="121">P883*38</f>
        <v>45600</v>
      </c>
      <c r="Q884" s="13">
        <f t="shared" si="121"/>
        <v>1003200</v>
      </c>
      <c r="U884" s="33"/>
    </row>
    <row r="885" spans="1:21" s="13" customFormat="1" ht="16.5" customHeight="1" x14ac:dyDescent="0.45">
      <c r="A885" s="14">
        <v>884</v>
      </c>
      <c r="B885" s="14">
        <v>11</v>
      </c>
      <c r="C885" s="15">
        <v>2</v>
      </c>
      <c r="D885" s="16">
        <v>1</v>
      </c>
      <c r="E885" s="17">
        <v>9</v>
      </c>
      <c r="F885" s="18" t="s">
        <v>283</v>
      </c>
      <c r="G885" s="19" t="s">
        <v>14</v>
      </c>
      <c r="H885" s="19" t="s">
        <v>605</v>
      </c>
      <c r="I885" s="174" t="s">
        <v>16</v>
      </c>
      <c r="J885" s="30">
        <v>18900</v>
      </c>
      <c r="K885" s="175"/>
      <c r="L885" s="74">
        <v>900</v>
      </c>
      <c r="M885" s="23"/>
      <c r="N885" s="24"/>
      <c r="O885" s="13">
        <v>-88200</v>
      </c>
      <c r="P885" s="13">
        <v>-4200</v>
      </c>
      <c r="Q885" s="13">
        <v>-92400</v>
      </c>
      <c r="U885" s="33"/>
    </row>
    <row r="886" spans="1:21" s="13" customFormat="1" ht="16.5" customHeight="1" x14ac:dyDescent="0.45">
      <c r="A886" s="14">
        <v>885</v>
      </c>
      <c r="B886" s="14">
        <v>12</v>
      </c>
      <c r="C886" s="15">
        <v>2</v>
      </c>
      <c r="D886" s="16">
        <v>2</v>
      </c>
      <c r="E886" s="17">
        <v>11</v>
      </c>
      <c r="F886" s="18" t="s">
        <v>243</v>
      </c>
      <c r="G886" s="19" t="s">
        <v>14</v>
      </c>
      <c r="H886" s="19" t="s">
        <v>605</v>
      </c>
      <c r="I886" s="174" t="s">
        <v>16</v>
      </c>
      <c r="J886" s="30">
        <v>18900</v>
      </c>
      <c r="K886" s="175"/>
      <c r="L886" s="74">
        <v>900</v>
      </c>
      <c r="M886" s="23"/>
      <c r="N886" s="24"/>
      <c r="O886" s="13">
        <f>SUM(O884:O885)</f>
        <v>869400</v>
      </c>
      <c r="P886" s="13">
        <f t="shared" ref="P886:Q886" si="122">SUM(P884:P885)</f>
        <v>41400</v>
      </c>
      <c r="Q886" s="13">
        <f t="shared" si="122"/>
        <v>910800</v>
      </c>
      <c r="U886" s="33"/>
    </row>
    <row r="887" spans="1:21" s="13" customFormat="1" ht="16.5" customHeight="1" x14ac:dyDescent="0.45">
      <c r="A887" s="14">
        <v>886</v>
      </c>
      <c r="B887" s="14">
        <v>13</v>
      </c>
      <c r="C887" s="15">
        <v>2</v>
      </c>
      <c r="D887" s="16">
        <v>5</v>
      </c>
      <c r="E887" s="17">
        <v>3</v>
      </c>
      <c r="F887" s="18" t="s">
        <v>607</v>
      </c>
      <c r="G887" s="19" t="s">
        <v>14</v>
      </c>
      <c r="H887" s="19" t="s">
        <v>605</v>
      </c>
      <c r="I887" s="174" t="s">
        <v>21</v>
      </c>
      <c r="J887" s="30">
        <v>12600</v>
      </c>
      <c r="K887" s="175"/>
      <c r="L887" s="74">
        <v>600</v>
      </c>
      <c r="M887" s="23"/>
      <c r="N887" s="24"/>
      <c r="U887" s="33"/>
    </row>
    <row r="888" spans="1:21" s="13" customFormat="1" ht="16.5" customHeight="1" x14ac:dyDescent="0.45">
      <c r="A888" s="14">
        <v>887</v>
      </c>
      <c r="B888" s="14">
        <v>14</v>
      </c>
      <c r="C888" s="15">
        <v>2</v>
      </c>
      <c r="D888" s="16">
        <v>5</v>
      </c>
      <c r="E888" s="17">
        <v>18</v>
      </c>
      <c r="F888" s="18" t="s">
        <v>608</v>
      </c>
      <c r="G888" s="19" t="s">
        <v>14</v>
      </c>
      <c r="H888" s="19" t="s">
        <v>605</v>
      </c>
      <c r="I888" s="20" t="s">
        <v>60</v>
      </c>
      <c r="J888" s="22">
        <v>25200</v>
      </c>
      <c r="K888" s="173"/>
      <c r="L888" s="77">
        <v>1200</v>
      </c>
      <c r="M888" s="23"/>
      <c r="N888" s="24"/>
      <c r="U888" s="33"/>
    </row>
    <row r="889" spans="1:21" s="13" customFormat="1" ht="16.5" customHeight="1" x14ac:dyDescent="0.45">
      <c r="A889" s="14">
        <v>888</v>
      </c>
      <c r="B889" s="14">
        <v>15</v>
      </c>
      <c r="C889" s="15">
        <v>2</v>
      </c>
      <c r="D889" s="16">
        <v>6</v>
      </c>
      <c r="E889" s="17">
        <v>7</v>
      </c>
      <c r="F889" s="18" t="s">
        <v>609</v>
      </c>
      <c r="G889" s="19" t="s">
        <v>14</v>
      </c>
      <c r="H889" s="19" t="s">
        <v>605</v>
      </c>
      <c r="I889" s="20" t="s">
        <v>60</v>
      </c>
      <c r="J889" s="22">
        <v>25200</v>
      </c>
      <c r="K889" s="173"/>
      <c r="L889" s="77">
        <v>1200</v>
      </c>
      <c r="M889" s="23"/>
      <c r="N889" s="24"/>
      <c r="O889" s="13">
        <v>18900</v>
      </c>
      <c r="P889" s="13">
        <v>900</v>
      </c>
      <c r="Q889" s="13">
        <v>19800</v>
      </c>
      <c r="U889" s="33"/>
    </row>
    <row r="890" spans="1:21" s="13" customFormat="1" ht="16.5" customHeight="1" x14ac:dyDescent="0.45">
      <c r="A890" s="14">
        <v>889</v>
      </c>
      <c r="B890" s="14">
        <v>16</v>
      </c>
      <c r="C890" s="15">
        <v>2</v>
      </c>
      <c r="D890" s="16">
        <v>6</v>
      </c>
      <c r="E890" s="17">
        <v>10</v>
      </c>
      <c r="F890" s="18" t="s">
        <v>163</v>
      </c>
      <c r="G890" s="19" t="s">
        <v>14</v>
      </c>
      <c r="H890" s="19" t="s">
        <v>610</v>
      </c>
      <c r="I890" s="20" t="s">
        <v>60</v>
      </c>
      <c r="J890" s="22">
        <v>25200</v>
      </c>
      <c r="K890" s="173"/>
      <c r="L890" s="77">
        <v>1200</v>
      </c>
      <c r="M890" s="23"/>
      <c r="N890" s="24"/>
      <c r="O890" s="13">
        <f>O889*37</f>
        <v>699300</v>
      </c>
      <c r="P890" s="13">
        <f t="shared" ref="P890:Q890" si="123">P889*37</f>
        <v>33300</v>
      </c>
      <c r="Q890" s="13">
        <f t="shared" si="123"/>
        <v>732600</v>
      </c>
      <c r="U890" s="33"/>
    </row>
    <row r="891" spans="1:21" s="13" customFormat="1" ht="16.5" customHeight="1" x14ac:dyDescent="0.45">
      <c r="A891" s="14">
        <v>890</v>
      </c>
      <c r="B891" s="14">
        <v>17</v>
      </c>
      <c r="C891" s="15">
        <v>2</v>
      </c>
      <c r="D891" s="16">
        <v>6</v>
      </c>
      <c r="E891" s="17">
        <v>22</v>
      </c>
      <c r="F891" s="18" t="s">
        <v>165</v>
      </c>
      <c r="G891" s="19" t="s">
        <v>14</v>
      </c>
      <c r="H891" s="19" t="s">
        <v>605</v>
      </c>
      <c r="I891" s="20" t="s">
        <v>60</v>
      </c>
      <c r="J891" s="22">
        <v>25200</v>
      </c>
      <c r="K891" s="173"/>
      <c r="L891" s="77">
        <v>1200</v>
      </c>
      <c r="M891" s="23"/>
      <c r="N891" s="24"/>
      <c r="U891" s="33"/>
    </row>
    <row r="892" spans="1:21" s="13" customFormat="1" ht="16.5" customHeight="1" x14ac:dyDescent="0.45">
      <c r="A892" s="14">
        <v>891</v>
      </c>
      <c r="B892" s="14">
        <v>18</v>
      </c>
      <c r="C892" s="15">
        <v>2</v>
      </c>
      <c r="D892" s="16">
        <v>7</v>
      </c>
      <c r="E892" s="17">
        <v>13</v>
      </c>
      <c r="F892" s="18" t="s">
        <v>214</v>
      </c>
      <c r="G892" s="19" t="s">
        <v>14</v>
      </c>
      <c r="H892" s="19" t="s">
        <v>605</v>
      </c>
      <c r="I892" s="20" t="s">
        <v>60</v>
      </c>
      <c r="J892" s="22">
        <v>25200</v>
      </c>
      <c r="K892" s="173"/>
      <c r="L892" s="77">
        <v>1200</v>
      </c>
      <c r="M892" s="23"/>
      <c r="N892" s="24"/>
      <c r="O892" s="13">
        <v>25200</v>
      </c>
      <c r="P892" s="13">
        <v>1200</v>
      </c>
      <c r="Q892" s="13">
        <v>26400</v>
      </c>
      <c r="U892" s="33"/>
    </row>
    <row r="893" spans="1:21" s="13" customFormat="1" ht="16.5" customHeight="1" x14ac:dyDescent="0.45">
      <c r="A893" s="14">
        <v>892</v>
      </c>
      <c r="B893" s="14">
        <v>19</v>
      </c>
      <c r="C893" s="15">
        <v>2</v>
      </c>
      <c r="D893" s="16">
        <v>8</v>
      </c>
      <c r="E893" s="17">
        <v>17</v>
      </c>
      <c r="F893" s="18" t="s">
        <v>538</v>
      </c>
      <c r="G893" s="19" t="s">
        <v>14</v>
      </c>
      <c r="H893" s="19" t="s">
        <v>605</v>
      </c>
      <c r="I893" s="20" t="s">
        <v>60</v>
      </c>
      <c r="J893" s="22">
        <v>25200</v>
      </c>
      <c r="K893" s="173"/>
      <c r="L893" s="77">
        <v>1200</v>
      </c>
      <c r="M893" s="23"/>
      <c r="N893" s="24"/>
      <c r="O893" s="13">
        <f>O892*37</f>
        <v>932400</v>
      </c>
      <c r="P893" s="13">
        <f t="shared" ref="P893:Q893" si="124">P892*37</f>
        <v>44400</v>
      </c>
      <c r="Q893" s="13">
        <f t="shared" si="124"/>
        <v>976800</v>
      </c>
      <c r="U893" s="33"/>
    </row>
    <row r="894" spans="1:21" s="13" customFormat="1" ht="16.5" customHeight="1" x14ac:dyDescent="0.45">
      <c r="A894" s="14">
        <v>893</v>
      </c>
      <c r="B894" s="14">
        <v>20</v>
      </c>
      <c r="C894" s="15">
        <v>2</v>
      </c>
      <c r="D894" s="16">
        <v>9</v>
      </c>
      <c r="E894" s="17">
        <v>9</v>
      </c>
      <c r="F894" s="18" t="s">
        <v>611</v>
      </c>
      <c r="G894" s="19" t="s">
        <v>14</v>
      </c>
      <c r="H894" s="19" t="s">
        <v>605</v>
      </c>
      <c r="I894" s="20" t="s">
        <v>60</v>
      </c>
      <c r="J894" s="22">
        <v>25200</v>
      </c>
      <c r="K894" s="173"/>
      <c r="L894" s="77">
        <v>1200</v>
      </c>
      <c r="M894" s="23"/>
      <c r="N894" s="24"/>
      <c r="U894" s="33"/>
    </row>
    <row r="895" spans="1:21" s="13" customFormat="1" ht="16.5" customHeight="1" x14ac:dyDescent="0.45">
      <c r="A895" s="14">
        <v>894</v>
      </c>
      <c r="B895" s="14">
        <v>21</v>
      </c>
      <c r="C895" s="15">
        <v>1</v>
      </c>
      <c r="D895" s="16">
        <v>3</v>
      </c>
      <c r="E895" s="17">
        <v>10</v>
      </c>
      <c r="F895" s="18" t="s">
        <v>169</v>
      </c>
      <c r="G895" s="19" t="s">
        <v>14</v>
      </c>
      <c r="H895" s="19" t="s">
        <v>612</v>
      </c>
      <c r="I895" s="174" t="s">
        <v>16</v>
      </c>
      <c r="J895" s="30">
        <v>18900</v>
      </c>
      <c r="K895" s="175"/>
      <c r="L895" s="74">
        <v>900</v>
      </c>
      <c r="M895" s="23"/>
      <c r="N895" s="24"/>
      <c r="U895" s="33"/>
    </row>
    <row r="896" spans="1:21" s="13" customFormat="1" ht="16.5" customHeight="1" x14ac:dyDescent="0.45">
      <c r="A896" s="14">
        <v>895</v>
      </c>
      <c r="B896" s="14">
        <v>22</v>
      </c>
      <c r="C896" s="15">
        <v>1</v>
      </c>
      <c r="D896" s="16">
        <v>3</v>
      </c>
      <c r="E896" s="17">
        <v>12</v>
      </c>
      <c r="F896" s="18" t="s">
        <v>200</v>
      </c>
      <c r="G896" s="19" t="s">
        <v>14</v>
      </c>
      <c r="H896" s="19" t="s">
        <v>612</v>
      </c>
      <c r="I896" s="174" t="s">
        <v>16</v>
      </c>
      <c r="J896" s="30">
        <v>18900</v>
      </c>
      <c r="K896" s="175"/>
      <c r="L896" s="74">
        <v>900</v>
      </c>
      <c r="M896" s="23"/>
      <c r="N896" s="24"/>
      <c r="S896" s="34">
        <f>SUM(O886,O890,O893)</f>
        <v>2501100</v>
      </c>
      <c r="T896" s="34">
        <f>SUM(P886,P890,P893)</f>
        <v>119100</v>
      </c>
      <c r="U896" s="34">
        <f>SUM(Q886,Q890,Q893)</f>
        <v>2620200</v>
      </c>
    </row>
    <row r="897" spans="1:21" s="13" customFormat="1" ht="16.5" customHeight="1" x14ac:dyDescent="0.45">
      <c r="A897" s="14">
        <v>896</v>
      </c>
      <c r="B897" s="14">
        <v>23</v>
      </c>
      <c r="C897" s="15">
        <v>3</v>
      </c>
      <c r="D897" s="16">
        <v>4</v>
      </c>
      <c r="E897" s="17">
        <v>20</v>
      </c>
      <c r="F897" s="18" t="s">
        <v>318</v>
      </c>
      <c r="G897" s="19" t="s">
        <v>14</v>
      </c>
      <c r="H897" s="19" t="s">
        <v>612</v>
      </c>
      <c r="I897" s="20" t="s">
        <v>60</v>
      </c>
      <c r="J897" s="22">
        <v>25200</v>
      </c>
      <c r="K897" s="173"/>
      <c r="L897" s="77">
        <v>1200</v>
      </c>
      <c r="M897" s="23"/>
      <c r="N897" s="24"/>
      <c r="T897" s="130"/>
      <c r="U897" s="33"/>
    </row>
    <row r="898" spans="1:21" s="13" customFormat="1" ht="16.5" customHeight="1" x14ac:dyDescent="0.45">
      <c r="A898" s="14">
        <v>897</v>
      </c>
      <c r="B898" s="14">
        <v>24</v>
      </c>
      <c r="C898" s="15">
        <v>3</v>
      </c>
      <c r="D898" s="16">
        <v>5</v>
      </c>
      <c r="E898" s="17">
        <v>3</v>
      </c>
      <c r="F898" s="18" t="s">
        <v>613</v>
      </c>
      <c r="G898" s="19" t="s">
        <v>14</v>
      </c>
      <c r="H898" s="19" t="s">
        <v>612</v>
      </c>
      <c r="I898" s="174" t="s">
        <v>16</v>
      </c>
      <c r="J898" s="30">
        <v>18900</v>
      </c>
      <c r="K898" s="175"/>
      <c r="L898" s="74">
        <v>900</v>
      </c>
      <c r="M898" s="23"/>
      <c r="N898" s="24"/>
      <c r="T898" s="130"/>
      <c r="U898" s="33"/>
    </row>
    <row r="899" spans="1:21" s="13" customFormat="1" ht="16.5" customHeight="1" x14ac:dyDescent="0.45">
      <c r="A899" s="14">
        <v>898</v>
      </c>
      <c r="B899" s="14">
        <v>25</v>
      </c>
      <c r="C899" s="15">
        <v>3</v>
      </c>
      <c r="D899" s="16">
        <v>6</v>
      </c>
      <c r="E899" s="17">
        <v>8</v>
      </c>
      <c r="F899" s="18" t="s">
        <v>579</v>
      </c>
      <c r="G899" s="19" t="s">
        <v>14</v>
      </c>
      <c r="H899" s="19" t="s">
        <v>612</v>
      </c>
      <c r="I899" s="174" t="s">
        <v>16</v>
      </c>
      <c r="J899" s="30">
        <v>18900</v>
      </c>
      <c r="K899" s="175"/>
      <c r="L899" s="74">
        <v>900</v>
      </c>
      <c r="M899" s="23"/>
      <c r="N899" s="24"/>
      <c r="T899" s="130"/>
      <c r="U899" s="33"/>
    </row>
    <row r="900" spans="1:21" s="13" customFormat="1" ht="16.5" customHeight="1" x14ac:dyDescent="0.45">
      <c r="A900" s="14">
        <v>899</v>
      </c>
      <c r="B900" s="14">
        <v>26</v>
      </c>
      <c r="C900" s="15">
        <v>3</v>
      </c>
      <c r="D900" s="16">
        <v>6</v>
      </c>
      <c r="E900" s="17">
        <v>21</v>
      </c>
      <c r="F900" s="18" t="s">
        <v>440</v>
      </c>
      <c r="G900" s="19" t="s">
        <v>14</v>
      </c>
      <c r="H900" s="19" t="s">
        <v>612</v>
      </c>
      <c r="I900" s="20" t="s">
        <v>60</v>
      </c>
      <c r="J900" s="22">
        <v>25200</v>
      </c>
      <c r="K900" s="173"/>
      <c r="L900" s="77">
        <v>1200</v>
      </c>
      <c r="M900" s="23"/>
      <c r="N900" s="24"/>
      <c r="T900" s="130"/>
      <c r="U900" s="33"/>
    </row>
    <row r="901" spans="1:21" s="13" customFormat="1" ht="16.5" customHeight="1" x14ac:dyDescent="0.45">
      <c r="A901" s="14">
        <v>900</v>
      </c>
      <c r="B901" s="14">
        <v>27</v>
      </c>
      <c r="C901" s="15">
        <v>3</v>
      </c>
      <c r="D901" s="16">
        <v>8</v>
      </c>
      <c r="E901" s="17">
        <v>8</v>
      </c>
      <c r="F901" s="18" t="s">
        <v>320</v>
      </c>
      <c r="G901" s="19" t="s">
        <v>14</v>
      </c>
      <c r="H901" s="19" t="s">
        <v>612</v>
      </c>
      <c r="I901" s="20" t="s">
        <v>60</v>
      </c>
      <c r="J901" s="22">
        <v>25200</v>
      </c>
      <c r="K901" s="173"/>
      <c r="L901" s="77">
        <v>1200</v>
      </c>
      <c r="M901" s="23"/>
      <c r="N901" s="24"/>
      <c r="T901" s="130"/>
      <c r="U901" s="33"/>
    </row>
    <row r="902" spans="1:21" s="13" customFormat="1" ht="16.5" customHeight="1" x14ac:dyDescent="0.45">
      <c r="A902" s="14">
        <v>901</v>
      </c>
      <c r="B902" s="14">
        <v>28</v>
      </c>
      <c r="C902" s="15">
        <v>3</v>
      </c>
      <c r="D902" s="16">
        <v>9</v>
      </c>
      <c r="E902" s="17">
        <v>8</v>
      </c>
      <c r="F902" s="18" t="s">
        <v>90</v>
      </c>
      <c r="G902" s="19" t="s">
        <v>14</v>
      </c>
      <c r="H902" s="19" t="s">
        <v>612</v>
      </c>
      <c r="I902" s="20" t="s">
        <v>60</v>
      </c>
      <c r="J902" s="22">
        <v>25200</v>
      </c>
      <c r="K902" s="173"/>
      <c r="L902" s="77">
        <v>1200</v>
      </c>
      <c r="M902" s="23"/>
      <c r="N902" s="24"/>
      <c r="T902" s="130"/>
      <c r="U902" s="33"/>
    </row>
    <row r="903" spans="1:21" s="13" customFormat="1" ht="16.5" customHeight="1" x14ac:dyDescent="0.45">
      <c r="A903" s="14">
        <v>902</v>
      </c>
      <c r="B903" s="14">
        <v>29</v>
      </c>
      <c r="C903" s="15">
        <v>3</v>
      </c>
      <c r="D903" s="16">
        <v>9</v>
      </c>
      <c r="E903" s="17">
        <v>9</v>
      </c>
      <c r="F903" s="18" t="s">
        <v>321</v>
      </c>
      <c r="G903" s="19" t="s">
        <v>14</v>
      </c>
      <c r="H903" s="19" t="s">
        <v>612</v>
      </c>
      <c r="I903" s="20" t="s">
        <v>60</v>
      </c>
      <c r="J903" s="22">
        <v>25200</v>
      </c>
      <c r="K903" s="173"/>
      <c r="L903" s="77">
        <v>1200</v>
      </c>
      <c r="M903" s="23"/>
      <c r="N903" s="24"/>
      <c r="O903" s="13">
        <v>6300</v>
      </c>
      <c r="P903" s="13">
        <v>300</v>
      </c>
      <c r="Q903" s="13">
        <f>SUM(O903:P903)</f>
        <v>6600</v>
      </c>
      <c r="T903" s="130"/>
      <c r="U903" s="33"/>
    </row>
    <row r="904" spans="1:21" s="13" customFormat="1" ht="16.5" customHeight="1" x14ac:dyDescent="0.45">
      <c r="A904" s="14">
        <v>903</v>
      </c>
      <c r="B904" s="14">
        <v>30</v>
      </c>
      <c r="C904" s="15">
        <v>3</v>
      </c>
      <c r="D904" s="16">
        <v>9</v>
      </c>
      <c r="E904" s="17">
        <v>13</v>
      </c>
      <c r="F904" s="18" t="s">
        <v>614</v>
      </c>
      <c r="G904" s="19" t="s">
        <v>14</v>
      </c>
      <c r="H904" s="19" t="s">
        <v>612</v>
      </c>
      <c r="I904" s="20" t="s">
        <v>60</v>
      </c>
      <c r="J904" s="22">
        <v>25200</v>
      </c>
      <c r="K904" s="173"/>
      <c r="L904" s="77">
        <v>1200</v>
      </c>
      <c r="M904" s="23"/>
      <c r="N904" s="24"/>
      <c r="O904" s="13">
        <v>6300</v>
      </c>
      <c r="P904" s="13">
        <v>300</v>
      </c>
      <c r="Q904" s="13">
        <f t="shared" ref="Q904:Q905" si="125">SUM(O904:P904)</f>
        <v>6600</v>
      </c>
      <c r="T904" s="130"/>
      <c r="U904" s="33"/>
    </row>
    <row r="905" spans="1:21" s="13" customFormat="1" ht="16.5" customHeight="1" x14ac:dyDescent="0.45">
      <c r="A905" s="14">
        <v>904</v>
      </c>
      <c r="B905" s="14">
        <v>31</v>
      </c>
      <c r="C905" s="15">
        <v>4</v>
      </c>
      <c r="D905" s="16">
        <v>1</v>
      </c>
      <c r="E905" s="17">
        <v>3</v>
      </c>
      <c r="F905" s="18" t="s">
        <v>49</v>
      </c>
      <c r="G905" s="19" t="s">
        <v>14</v>
      </c>
      <c r="H905" s="19" t="s">
        <v>612</v>
      </c>
      <c r="I905" s="20" t="s">
        <v>60</v>
      </c>
      <c r="J905" s="22">
        <v>25200</v>
      </c>
      <c r="K905" s="173"/>
      <c r="L905" s="77">
        <v>1200</v>
      </c>
      <c r="M905" s="23"/>
      <c r="N905" s="24"/>
      <c r="O905" s="13">
        <f>SUM(O903:O904)</f>
        <v>12600</v>
      </c>
      <c r="P905" s="13">
        <f>SUM(P903:P904)</f>
        <v>600</v>
      </c>
      <c r="Q905" s="13">
        <f t="shared" si="125"/>
        <v>13200</v>
      </c>
      <c r="T905" s="130"/>
      <c r="U905" s="33"/>
    </row>
    <row r="906" spans="1:21" s="13" customFormat="1" ht="16.5" customHeight="1" x14ac:dyDescent="0.45">
      <c r="A906" s="14">
        <v>905</v>
      </c>
      <c r="B906" s="14">
        <v>32</v>
      </c>
      <c r="C906" s="15">
        <v>4</v>
      </c>
      <c r="D906" s="16">
        <v>2</v>
      </c>
      <c r="E906" s="17">
        <v>21</v>
      </c>
      <c r="F906" s="18" t="s">
        <v>615</v>
      </c>
      <c r="G906" s="19" t="s">
        <v>14</v>
      </c>
      <c r="H906" s="19" t="s">
        <v>612</v>
      </c>
      <c r="I906" s="174" t="s">
        <v>16</v>
      </c>
      <c r="J906" s="30">
        <v>18900</v>
      </c>
      <c r="K906" s="175"/>
      <c r="L906" s="74">
        <v>900</v>
      </c>
      <c r="M906" s="23"/>
      <c r="N906" s="24"/>
      <c r="T906" s="130"/>
      <c r="U906" s="33"/>
    </row>
    <row r="907" spans="1:21" s="13" customFormat="1" ht="16.5" customHeight="1" x14ac:dyDescent="0.45">
      <c r="A907" s="14">
        <v>906</v>
      </c>
      <c r="B907" s="14">
        <v>33</v>
      </c>
      <c r="C907" s="15">
        <v>4</v>
      </c>
      <c r="D907" s="16">
        <v>4</v>
      </c>
      <c r="E907" s="17">
        <v>6</v>
      </c>
      <c r="F907" s="18" t="s">
        <v>616</v>
      </c>
      <c r="G907" s="19" t="s">
        <v>14</v>
      </c>
      <c r="H907" s="19" t="s">
        <v>612</v>
      </c>
      <c r="I907" s="174" t="s">
        <v>16</v>
      </c>
      <c r="J907" s="30">
        <v>18900</v>
      </c>
      <c r="K907" s="175"/>
      <c r="L907" s="74">
        <v>900</v>
      </c>
      <c r="M907" s="23"/>
      <c r="N907" s="24"/>
      <c r="T907" s="130"/>
      <c r="U907" s="33"/>
    </row>
    <row r="908" spans="1:21" s="13" customFormat="1" ht="16.5" customHeight="1" x14ac:dyDescent="0.45">
      <c r="A908" s="14">
        <v>907</v>
      </c>
      <c r="B908" s="14">
        <v>34</v>
      </c>
      <c r="C908" s="15">
        <v>4</v>
      </c>
      <c r="D908" s="16">
        <v>5</v>
      </c>
      <c r="E908" s="17">
        <v>7</v>
      </c>
      <c r="F908" s="18" t="s">
        <v>617</v>
      </c>
      <c r="G908" s="19" t="s">
        <v>14</v>
      </c>
      <c r="H908" s="19" t="s">
        <v>612</v>
      </c>
      <c r="I908" s="20" t="s">
        <v>60</v>
      </c>
      <c r="J908" s="22">
        <v>25200</v>
      </c>
      <c r="K908" s="173"/>
      <c r="L908" s="77">
        <v>1200</v>
      </c>
      <c r="M908" s="23"/>
      <c r="N908" s="24"/>
      <c r="T908" s="130"/>
      <c r="U908" s="33"/>
    </row>
    <row r="909" spans="1:21" s="13" customFormat="1" ht="16.5" customHeight="1" x14ac:dyDescent="0.45">
      <c r="A909" s="14">
        <v>908</v>
      </c>
      <c r="B909" s="14">
        <v>35</v>
      </c>
      <c r="C909" s="15">
        <v>4</v>
      </c>
      <c r="D909" s="16">
        <v>8</v>
      </c>
      <c r="E909" s="17">
        <v>19</v>
      </c>
      <c r="F909" s="18" t="s">
        <v>618</v>
      </c>
      <c r="G909" s="19" t="s">
        <v>14</v>
      </c>
      <c r="H909" s="19" t="s">
        <v>612</v>
      </c>
      <c r="I909" s="20" t="s">
        <v>60</v>
      </c>
      <c r="J909" s="22">
        <v>25200</v>
      </c>
      <c r="K909" s="173"/>
      <c r="L909" s="77">
        <v>1200</v>
      </c>
      <c r="M909" s="23"/>
      <c r="N909" s="24"/>
      <c r="T909" s="130"/>
      <c r="U909" s="33"/>
    </row>
    <row r="910" spans="1:21" s="13" customFormat="1" ht="16.5" customHeight="1" x14ac:dyDescent="0.45">
      <c r="A910" s="14">
        <v>909</v>
      </c>
      <c r="B910" s="14">
        <v>36</v>
      </c>
      <c r="C910" s="15">
        <v>5</v>
      </c>
      <c r="D910" s="16">
        <v>2</v>
      </c>
      <c r="E910" s="17">
        <v>16</v>
      </c>
      <c r="F910" s="18" t="s">
        <v>269</v>
      </c>
      <c r="G910" s="19" t="s">
        <v>14</v>
      </c>
      <c r="H910" s="19" t="s">
        <v>612</v>
      </c>
      <c r="I910" s="20" t="s">
        <v>60</v>
      </c>
      <c r="J910" s="22">
        <v>25200</v>
      </c>
      <c r="K910" s="173"/>
      <c r="L910" s="77">
        <v>1200</v>
      </c>
      <c r="M910" s="23"/>
      <c r="N910" s="24"/>
      <c r="T910" s="130"/>
      <c r="U910" s="33"/>
    </row>
    <row r="911" spans="1:21" s="13" customFormat="1" ht="16.5" customHeight="1" x14ac:dyDescent="0.45">
      <c r="A911" s="14">
        <v>910</v>
      </c>
      <c r="B911" s="14">
        <v>37</v>
      </c>
      <c r="C911" s="15">
        <v>5</v>
      </c>
      <c r="D911" s="16">
        <v>6</v>
      </c>
      <c r="E911" s="17">
        <v>24</v>
      </c>
      <c r="F911" s="18" t="s">
        <v>619</v>
      </c>
      <c r="G911" s="19" t="s">
        <v>14</v>
      </c>
      <c r="H911" s="19" t="s">
        <v>612</v>
      </c>
      <c r="I911" s="20" t="s">
        <v>60</v>
      </c>
      <c r="J911" s="22">
        <v>25200</v>
      </c>
      <c r="K911" s="173"/>
      <c r="L911" s="77">
        <v>1200</v>
      </c>
      <c r="M911" s="23"/>
      <c r="N911" s="24"/>
      <c r="T911" s="130"/>
      <c r="U911" s="33"/>
    </row>
    <row r="912" spans="1:21" s="13" customFormat="1" ht="16.5" customHeight="1" x14ac:dyDescent="0.45">
      <c r="A912" s="14">
        <v>911</v>
      </c>
      <c r="B912" s="14">
        <v>38</v>
      </c>
      <c r="C912" s="78">
        <v>5</v>
      </c>
      <c r="D912" s="79">
        <v>7</v>
      </c>
      <c r="E912" s="80">
        <v>5</v>
      </c>
      <c r="F912" s="81" t="s">
        <v>211</v>
      </c>
      <c r="G912" s="82" t="s">
        <v>174</v>
      </c>
      <c r="H912" s="82" t="s">
        <v>612</v>
      </c>
      <c r="I912" s="174" t="s">
        <v>21</v>
      </c>
      <c r="J912" s="177"/>
      <c r="K912" s="30">
        <v>12600</v>
      </c>
      <c r="L912" s="74">
        <v>600</v>
      </c>
      <c r="M912" s="23"/>
      <c r="N912" s="24"/>
      <c r="T912" s="130"/>
      <c r="U912" s="33"/>
    </row>
    <row r="913" spans="1:21" s="13" customFormat="1" ht="16.5" customHeight="1" x14ac:dyDescent="0.45">
      <c r="A913" s="14">
        <v>912</v>
      </c>
      <c r="B913" s="35">
        <v>1</v>
      </c>
      <c r="C913" s="49">
        <v>1</v>
      </c>
      <c r="D913" s="50">
        <v>1</v>
      </c>
      <c r="E913" s="51">
        <v>17</v>
      </c>
      <c r="F913" s="87" t="s">
        <v>371</v>
      </c>
      <c r="G913" s="55" t="s">
        <v>14</v>
      </c>
      <c r="H913" s="56" t="s">
        <v>620</v>
      </c>
      <c r="I913" s="178" t="s">
        <v>16</v>
      </c>
      <c r="J913" s="44">
        <v>18900</v>
      </c>
      <c r="K913" s="172"/>
      <c r="L913" s="71">
        <v>900</v>
      </c>
      <c r="M913" s="45">
        <f>SUM(J913:K952)</f>
        <v>718200</v>
      </c>
      <c r="N913" s="24"/>
      <c r="T913" s="130"/>
      <c r="U913" s="33"/>
    </row>
    <row r="914" spans="1:21" s="13" customFormat="1" ht="16.5" customHeight="1" x14ac:dyDescent="0.45">
      <c r="A914" s="14">
        <v>913</v>
      </c>
      <c r="B914" s="14">
        <v>2</v>
      </c>
      <c r="C914" s="52">
        <v>1</v>
      </c>
      <c r="D914" s="53">
        <v>3</v>
      </c>
      <c r="E914" s="54">
        <v>16</v>
      </c>
      <c r="F914" s="89" t="s">
        <v>531</v>
      </c>
      <c r="G914" s="57" t="s">
        <v>14</v>
      </c>
      <c r="H914" s="58" t="s">
        <v>620</v>
      </c>
      <c r="I914" s="114" t="s">
        <v>16</v>
      </c>
      <c r="J914" s="22">
        <v>18900</v>
      </c>
      <c r="K914" s="173"/>
      <c r="L914" s="77">
        <v>900</v>
      </c>
      <c r="M914" s="23"/>
      <c r="N914" s="24"/>
      <c r="T914" s="130"/>
      <c r="U914" s="33"/>
    </row>
    <row r="915" spans="1:21" s="13" customFormat="1" ht="16.5" customHeight="1" x14ac:dyDescent="0.45">
      <c r="A915" s="14">
        <v>914</v>
      </c>
      <c r="B915" s="14">
        <v>3</v>
      </c>
      <c r="C915" s="52">
        <v>1</v>
      </c>
      <c r="D915" s="53">
        <v>4</v>
      </c>
      <c r="E915" s="54">
        <v>4</v>
      </c>
      <c r="F915" s="18" t="s">
        <v>510</v>
      </c>
      <c r="G915" s="19" t="s">
        <v>14</v>
      </c>
      <c r="H915" s="20" t="s">
        <v>620</v>
      </c>
      <c r="I915" s="114" t="s">
        <v>16</v>
      </c>
      <c r="J915" s="22">
        <v>18900</v>
      </c>
      <c r="K915" s="173"/>
      <c r="L915" s="77">
        <v>900</v>
      </c>
      <c r="M915" s="23"/>
      <c r="N915" s="24"/>
      <c r="O915" s="27">
        <f>SUM(J913:K952)</f>
        <v>718200</v>
      </c>
      <c r="T915" s="130"/>
      <c r="U915" s="33"/>
    </row>
    <row r="916" spans="1:21" s="13" customFormat="1" ht="16.5" customHeight="1" x14ac:dyDescent="0.45">
      <c r="A916" s="14">
        <v>915</v>
      </c>
      <c r="B916" s="14">
        <v>4</v>
      </c>
      <c r="C916" s="52">
        <v>1</v>
      </c>
      <c r="D916" s="53">
        <v>6</v>
      </c>
      <c r="E916" s="54">
        <v>13</v>
      </c>
      <c r="F916" s="18" t="s">
        <v>621</v>
      </c>
      <c r="G916" s="19" t="s">
        <v>14</v>
      </c>
      <c r="H916" s="20" t="s">
        <v>620</v>
      </c>
      <c r="I916" s="114" t="s">
        <v>16</v>
      </c>
      <c r="J916" s="22">
        <v>18900</v>
      </c>
      <c r="K916" s="173"/>
      <c r="L916" s="77">
        <v>900</v>
      </c>
      <c r="M916" s="23"/>
      <c r="N916" s="24"/>
      <c r="O916" s="27">
        <f>SUM(L913:L952)</f>
        <v>34200</v>
      </c>
      <c r="T916" s="130"/>
      <c r="U916" s="33"/>
    </row>
    <row r="917" spans="1:21" s="13" customFormat="1" ht="16.5" customHeight="1" x14ac:dyDescent="0.45">
      <c r="A917" s="14">
        <v>916</v>
      </c>
      <c r="B917" s="14">
        <v>5</v>
      </c>
      <c r="C917" s="52">
        <v>1</v>
      </c>
      <c r="D917" s="53">
        <v>6</v>
      </c>
      <c r="E917" s="54">
        <v>15</v>
      </c>
      <c r="F917" s="18" t="s">
        <v>217</v>
      </c>
      <c r="G917" s="19" t="s">
        <v>14</v>
      </c>
      <c r="H917" s="20" t="s">
        <v>620</v>
      </c>
      <c r="I917" s="114" t="s">
        <v>16</v>
      </c>
      <c r="J917" s="22">
        <v>18900</v>
      </c>
      <c r="K917" s="173"/>
      <c r="L917" s="77">
        <v>900</v>
      </c>
      <c r="M917" s="23"/>
      <c r="N917" s="24"/>
      <c r="O917" s="27">
        <f>SUM(O915:O916)</f>
        <v>752400</v>
      </c>
      <c r="T917" s="130"/>
      <c r="U917" s="33"/>
    </row>
    <row r="918" spans="1:21" s="13" customFormat="1" ht="16.5" customHeight="1" x14ac:dyDescent="0.45">
      <c r="A918" s="14">
        <v>917</v>
      </c>
      <c r="B918" s="14">
        <v>6</v>
      </c>
      <c r="C918" s="52">
        <v>1</v>
      </c>
      <c r="D918" s="53">
        <v>6</v>
      </c>
      <c r="E918" s="54">
        <v>16</v>
      </c>
      <c r="F918" s="18" t="s">
        <v>451</v>
      </c>
      <c r="G918" s="19" t="s">
        <v>14</v>
      </c>
      <c r="H918" s="20" t="s">
        <v>620</v>
      </c>
      <c r="I918" s="114" t="s">
        <v>16</v>
      </c>
      <c r="J918" s="22">
        <v>18900</v>
      </c>
      <c r="K918" s="173"/>
      <c r="L918" s="77">
        <v>900</v>
      </c>
      <c r="M918" s="23"/>
      <c r="N918" s="24"/>
      <c r="O918" s="137"/>
      <c r="P918" s="130"/>
      <c r="Q918" s="130"/>
      <c r="R918" s="130"/>
      <c r="S918" s="130"/>
      <c r="T918" s="130"/>
      <c r="U918" s="33"/>
    </row>
    <row r="919" spans="1:21" s="13" customFormat="1" ht="16.5" customHeight="1" x14ac:dyDescent="0.45">
      <c r="A919" s="14">
        <v>918</v>
      </c>
      <c r="B919" s="14">
        <v>7</v>
      </c>
      <c r="C919" s="52">
        <v>1</v>
      </c>
      <c r="D919" s="53">
        <v>6</v>
      </c>
      <c r="E919" s="54">
        <v>17</v>
      </c>
      <c r="F919" s="18" t="s">
        <v>452</v>
      </c>
      <c r="G919" s="19" t="s">
        <v>14</v>
      </c>
      <c r="H919" s="20" t="s">
        <v>620</v>
      </c>
      <c r="I919" s="114" t="s">
        <v>16</v>
      </c>
      <c r="J919" s="22">
        <v>18900</v>
      </c>
      <c r="K919" s="173"/>
      <c r="L919" s="77">
        <v>900</v>
      </c>
      <c r="M919" s="23"/>
      <c r="N919" s="24"/>
      <c r="O919" s="130"/>
      <c r="P919" s="130"/>
      <c r="Q919" s="130"/>
      <c r="R919" s="130"/>
      <c r="S919" s="130"/>
      <c r="T919" s="130"/>
      <c r="U919" s="33"/>
    </row>
    <row r="920" spans="1:21" s="13" customFormat="1" ht="16.5" customHeight="1" x14ac:dyDescent="0.45">
      <c r="A920" s="14">
        <v>919</v>
      </c>
      <c r="B920" s="14">
        <v>8</v>
      </c>
      <c r="C920" s="52">
        <v>1</v>
      </c>
      <c r="D920" s="53">
        <v>6</v>
      </c>
      <c r="E920" s="54">
        <v>19</v>
      </c>
      <c r="F920" s="18" t="s">
        <v>20</v>
      </c>
      <c r="G920" s="19" t="s">
        <v>14</v>
      </c>
      <c r="H920" s="20" t="s">
        <v>620</v>
      </c>
      <c r="I920" s="28" t="s">
        <v>21</v>
      </c>
      <c r="J920" s="30">
        <v>12600</v>
      </c>
      <c r="K920" s="175"/>
      <c r="L920" s="74">
        <v>600</v>
      </c>
      <c r="M920" s="23"/>
      <c r="N920" s="24"/>
      <c r="U920" s="33"/>
    </row>
    <row r="921" spans="1:21" s="13" customFormat="1" ht="16.5" customHeight="1" x14ac:dyDescent="0.45">
      <c r="A921" s="14">
        <v>920</v>
      </c>
      <c r="B921" s="14">
        <v>9</v>
      </c>
      <c r="C921" s="52">
        <v>1</v>
      </c>
      <c r="D921" s="53">
        <v>7</v>
      </c>
      <c r="E921" s="54">
        <v>4</v>
      </c>
      <c r="F921" s="18" t="s">
        <v>188</v>
      </c>
      <c r="G921" s="19" t="s">
        <v>14</v>
      </c>
      <c r="H921" s="20" t="s">
        <v>620</v>
      </c>
      <c r="I921" s="114" t="s">
        <v>16</v>
      </c>
      <c r="J921" s="22">
        <v>18900</v>
      </c>
      <c r="K921" s="173"/>
      <c r="L921" s="77">
        <v>900</v>
      </c>
      <c r="M921" s="23"/>
      <c r="N921" s="24"/>
      <c r="O921" s="13">
        <v>18900</v>
      </c>
      <c r="P921" s="13">
        <v>900</v>
      </c>
      <c r="Q921" s="13">
        <v>19800</v>
      </c>
      <c r="U921" s="33"/>
    </row>
    <row r="922" spans="1:21" s="13" customFormat="1" ht="16.5" customHeight="1" x14ac:dyDescent="0.45">
      <c r="A922" s="14">
        <v>921</v>
      </c>
      <c r="B922" s="14">
        <v>10</v>
      </c>
      <c r="C922" s="52">
        <v>1</v>
      </c>
      <c r="D922" s="53">
        <v>8</v>
      </c>
      <c r="E922" s="54">
        <v>20</v>
      </c>
      <c r="F922" s="18" t="s">
        <v>471</v>
      </c>
      <c r="G922" s="19" t="s">
        <v>14</v>
      </c>
      <c r="H922" s="20" t="s">
        <v>620</v>
      </c>
      <c r="I922" s="114" t="s">
        <v>16</v>
      </c>
      <c r="J922" s="22">
        <v>18900</v>
      </c>
      <c r="K922" s="173"/>
      <c r="L922" s="77">
        <v>900</v>
      </c>
      <c r="M922" s="23"/>
      <c r="N922" s="24"/>
      <c r="O922" s="13">
        <f>O921*40</f>
        <v>756000</v>
      </c>
      <c r="P922" s="13">
        <f t="shared" ref="P922:Q922" si="126">P921*40</f>
        <v>36000</v>
      </c>
      <c r="Q922" s="13">
        <f t="shared" si="126"/>
        <v>792000</v>
      </c>
      <c r="U922" s="33"/>
    </row>
    <row r="923" spans="1:21" s="13" customFormat="1" ht="16.5" customHeight="1" x14ac:dyDescent="0.45">
      <c r="A923" s="14">
        <v>922</v>
      </c>
      <c r="B923" s="14">
        <v>11</v>
      </c>
      <c r="C923" s="52">
        <v>1</v>
      </c>
      <c r="D923" s="53">
        <v>8</v>
      </c>
      <c r="E923" s="54">
        <v>21</v>
      </c>
      <c r="F923" s="18" t="s">
        <v>622</v>
      </c>
      <c r="G923" s="19" t="s">
        <v>14</v>
      </c>
      <c r="H923" s="20" t="s">
        <v>620</v>
      </c>
      <c r="I923" s="114" t="s">
        <v>16</v>
      </c>
      <c r="J923" s="22">
        <v>18900</v>
      </c>
      <c r="K923" s="173"/>
      <c r="L923" s="77">
        <v>900</v>
      </c>
      <c r="M923" s="23"/>
      <c r="N923" s="24"/>
      <c r="O923" s="13">
        <v>-37800</v>
      </c>
      <c r="P923" s="13">
        <v>-1800</v>
      </c>
      <c r="Q923" s="13">
        <v>-39600</v>
      </c>
      <c r="U923" s="33"/>
    </row>
    <row r="924" spans="1:21" s="13" customFormat="1" ht="16.5" customHeight="1" x14ac:dyDescent="0.45">
      <c r="A924" s="14">
        <v>923</v>
      </c>
      <c r="B924" s="14">
        <v>12</v>
      </c>
      <c r="C924" s="52">
        <v>1</v>
      </c>
      <c r="D924" s="53">
        <v>9</v>
      </c>
      <c r="E924" s="54">
        <v>18</v>
      </c>
      <c r="F924" s="18" t="s">
        <v>134</v>
      </c>
      <c r="G924" s="19" t="s">
        <v>14</v>
      </c>
      <c r="H924" s="20" t="s">
        <v>620</v>
      </c>
      <c r="I924" s="114" t="s">
        <v>16</v>
      </c>
      <c r="J924" s="22">
        <v>18900</v>
      </c>
      <c r="K924" s="173"/>
      <c r="L924" s="77">
        <v>900</v>
      </c>
      <c r="M924" s="23"/>
      <c r="N924" s="24"/>
      <c r="O924" s="13">
        <f>SUM(O922:O923)</f>
        <v>718200</v>
      </c>
      <c r="P924" s="13">
        <f t="shared" ref="P924:R924" si="127">SUM(P922:P923)</f>
        <v>34200</v>
      </c>
      <c r="Q924" s="13">
        <f t="shared" si="127"/>
        <v>752400</v>
      </c>
      <c r="R924" s="13">
        <f t="shared" si="127"/>
        <v>0</v>
      </c>
      <c r="U924" s="33"/>
    </row>
    <row r="925" spans="1:21" s="13" customFormat="1" ht="16.5" customHeight="1" x14ac:dyDescent="0.45">
      <c r="A925" s="14">
        <v>924</v>
      </c>
      <c r="B925" s="14">
        <v>13</v>
      </c>
      <c r="C925" s="52">
        <v>1</v>
      </c>
      <c r="D925" s="53">
        <v>10</v>
      </c>
      <c r="E925" s="54">
        <v>3</v>
      </c>
      <c r="F925" s="18" t="s">
        <v>22</v>
      </c>
      <c r="G925" s="19" t="s">
        <v>14</v>
      </c>
      <c r="H925" s="20" t="s">
        <v>620</v>
      </c>
      <c r="I925" s="28" t="s">
        <v>21</v>
      </c>
      <c r="J925" s="30">
        <v>12600</v>
      </c>
      <c r="K925" s="175"/>
      <c r="L925" s="74">
        <v>600</v>
      </c>
      <c r="M925" s="23"/>
      <c r="N925" s="24"/>
      <c r="U925" s="33"/>
    </row>
    <row r="926" spans="1:21" s="13" customFormat="1" ht="16.5" customHeight="1" x14ac:dyDescent="0.45">
      <c r="A926" s="14">
        <v>925</v>
      </c>
      <c r="B926" s="14">
        <v>14</v>
      </c>
      <c r="C926" s="52">
        <v>1</v>
      </c>
      <c r="D926" s="53">
        <v>12</v>
      </c>
      <c r="E926" s="54">
        <v>5</v>
      </c>
      <c r="F926" s="18" t="s">
        <v>192</v>
      </c>
      <c r="G926" s="19" t="s">
        <v>14</v>
      </c>
      <c r="H926" s="20" t="s">
        <v>620</v>
      </c>
      <c r="I926" s="114" t="s">
        <v>16</v>
      </c>
      <c r="J926" s="22">
        <v>18900</v>
      </c>
      <c r="K926" s="173"/>
      <c r="L926" s="77">
        <v>900</v>
      </c>
      <c r="M926" s="23"/>
      <c r="N926" s="24"/>
      <c r="U926" s="33"/>
    </row>
    <row r="927" spans="1:21" s="13" customFormat="1" ht="16.5" customHeight="1" x14ac:dyDescent="0.45">
      <c r="A927" s="14">
        <v>926</v>
      </c>
      <c r="B927" s="14">
        <v>15</v>
      </c>
      <c r="C927" s="52">
        <v>1</v>
      </c>
      <c r="D927" s="53">
        <v>12</v>
      </c>
      <c r="E927" s="54">
        <v>16</v>
      </c>
      <c r="F927" s="18" t="s">
        <v>311</v>
      </c>
      <c r="G927" s="19" t="s">
        <v>14</v>
      </c>
      <c r="H927" s="20" t="s">
        <v>620</v>
      </c>
      <c r="I927" s="114" t="s">
        <v>16</v>
      </c>
      <c r="J927" s="22">
        <v>18900</v>
      </c>
      <c r="K927" s="173"/>
      <c r="L927" s="77">
        <v>900</v>
      </c>
      <c r="M927" s="23"/>
      <c r="N927" s="24"/>
      <c r="O927" s="13">
        <v>18900</v>
      </c>
      <c r="P927" s="13">
        <v>900</v>
      </c>
      <c r="Q927" s="13">
        <v>19800</v>
      </c>
      <c r="U927" s="33"/>
    </row>
    <row r="928" spans="1:21" s="13" customFormat="1" ht="16.5" customHeight="1" x14ac:dyDescent="0.45">
      <c r="A928" s="14">
        <v>927</v>
      </c>
      <c r="B928" s="14">
        <v>16</v>
      </c>
      <c r="C928" s="52">
        <v>1</v>
      </c>
      <c r="D928" s="53">
        <v>12</v>
      </c>
      <c r="E928" s="54">
        <v>17</v>
      </c>
      <c r="F928" s="18" t="s">
        <v>409</v>
      </c>
      <c r="G928" s="19" t="s">
        <v>14</v>
      </c>
      <c r="H928" s="20" t="s">
        <v>620</v>
      </c>
      <c r="I928" s="114" t="s">
        <v>16</v>
      </c>
      <c r="J928" s="22">
        <v>18900</v>
      </c>
      <c r="K928" s="173"/>
      <c r="L928" s="77">
        <v>900</v>
      </c>
      <c r="M928" s="23"/>
      <c r="N928" s="24"/>
      <c r="O928" s="13">
        <f>O927*40</f>
        <v>756000</v>
      </c>
      <c r="P928" s="13">
        <f t="shared" ref="P928:Q928" si="128">P927*40</f>
        <v>36000</v>
      </c>
      <c r="Q928" s="13">
        <f t="shared" si="128"/>
        <v>792000</v>
      </c>
      <c r="U928" s="33"/>
    </row>
    <row r="929" spans="1:21" s="13" customFormat="1" ht="16.5" customHeight="1" x14ac:dyDescent="0.45">
      <c r="A929" s="14">
        <v>928</v>
      </c>
      <c r="B929" s="14">
        <v>17</v>
      </c>
      <c r="C929" s="52">
        <v>2</v>
      </c>
      <c r="D929" s="53">
        <v>6</v>
      </c>
      <c r="E929" s="54">
        <v>4</v>
      </c>
      <c r="F929" s="18" t="s">
        <v>623</v>
      </c>
      <c r="G929" s="19" t="s">
        <v>14</v>
      </c>
      <c r="H929" s="20" t="s">
        <v>620</v>
      </c>
      <c r="I929" s="114" t="s">
        <v>16</v>
      </c>
      <c r="J929" s="22">
        <v>18900</v>
      </c>
      <c r="K929" s="173"/>
      <c r="L929" s="77">
        <v>900</v>
      </c>
      <c r="M929" s="23"/>
      <c r="N929" s="24"/>
      <c r="U929" s="33"/>
    </row>
    <row r="930" spans="1:21" s="13" customFormat="1" ht="16.5" customHeight="1" x14ac:dyDescent="0.45">
      <c r="A930" s="14">
        <v>929</v>
      </c>
      <c r="B930" s="14">
        <v>18</v>
      </c>
      <c r="C930" s="52">
        <v>2</v>
      </c>
      <c r="D930" s="53">
        <v>8</v>
      </c>
      <c r="E930" s="54">
        <v>2</v>
      </c>
      <c r="F930" s="18" t="s">
        <v>624</v>
      </c>
      <c r="G930" s="19" t="s">
        <v>14</v>
      </c>
      <c r="H930" s="20" t="s">
        <v>620</v>
      </c>
      <c r="I930" s="114" t="s">
        <v>16</v>
      </c>
      <c r="J930" s="22">
        <v>18900</v>
      </c>
      <c r="K930" s="173"/>
      <c r="L930" s="77">
        <v>900</v>
      </c>
      <c r="M930" s="23"/>
      <c r="N930" s="24"/>
      <c r="O930" s="13">
        <v>25200</v>
      </c>
      <c r="P930" s="13">
        <v>1200</v>
      </c>
      <c r="Q930" s="13">
        <v>26400</v>
      </c>
      <c r="U930" s="33"/>
    </row>
    <row r="931" spans="1:21" s="13" customFormat="1" ht="16.5" customHeight="1" x14ac:dyDescent="0.45">
      <c r="A931" s="14">
        <v>930</v>
      </c>
      <c r="B931" s="14">
        <v>19</v>
      </c>
      <c r="C931" s="52">
        <v>2</v>
      </c>
      <c r="D931" s="53">
        <v>9</v>
      </c>
      <c r="E931" s="54">
        <v>3</v>
      </c>
      <c r="F931" s="18" t="s">
        <v>221</v>
      </c>
      <c r="G931" s="19" t="s">
        <v>14</v>
      </c>
      <c r="H931" s="20" t="s">
        <v>620</v>
      </c>
      <c r="I931" s="114" t="s">
        <v>16</v>
      </c>
      <c r="J931" s="22">
        <v>18900</v>
      </c>
      <c r="K931" s="173"/>
      <c r="L931" s="77">
        <v>900</v>
      </c>
      <c r="M931" s="23"/>
      <c r="N931" s="24"/>
      <c r="O931" s="13">
        <f>O930*40</f>
        <v>1008000</v>
      </c>
      <c r="P931" s="13">
        <f t="shared" ref="P931:Q931" si="129">P930*40</f>
        <v>48000</v>
      </c>
      <c r="Q931" s="13">
        <f t="shared" si="129"/>
        <v>1056000</v>
      </c>
      <c r="U931" s="33"/>
    </row>
    <row r="932" spans="1:21" s="13" customFormat="1" ht="16.5" customHeight="1" x14ac:dyDescent="0.45">
      <c r="A932" s="14">
        <v>931</v>
      </c>
      <c r="B932" s="14">
        <v>20</v>
      </c>
      <c r="C932" s="52">
        <v>2</v>
      </c>
      <c r="D932" s="53">
        <v>9</v>
      </c>
      <c r="E932" s="54">
        <v>10</v>
      </c>
      <c r="F932" s="18" t="s">
        <v>625</v>
      </c>
      <c r="G932" s="19" t="s">
        <v>14</v>
      </c>
      <c r="H932" s="20" t="s">
        <v>626</v>
      </c>
      <c r="I932" s="114" t="s">
        <v>16</v>
      </c>
      <c r="J932" s="22">
        <v>18900</v>
      </c>
      <c r="K932" s="173"/>
      <c r="L932" s="77">
        <v>900</v>
      </c>
      <c r="M932" s="23"/>
      <c r="N932" s="24"/>
      <c r="U932" s="33"/>
    </row>
    <row r="933" spans="1:21" s="13" customFormat="1" ht="16.5" customHeight="1" x14ac:dyDescent="0.45">
      <c r="A933" s="14">
        <v>932</v>
      </c>
      <c r="B933" s="14">
        <v>21</v>
      </c>
      <c r="C933" s="52">
        <v>1</v>
      </c>
      <c r="D933" s="53">
        <v>8</v>
      </c>
      <c r="E933" s="54">
        <v>10</v>
      </c>
      <c r="F933" s="18" t="s">
        <v>82</v>
      </c>
      <c r="G933" s="19" t="s">
        <v>14</v>
      </c>
      <c r="H933" s="20" t="s">
        <v>627</v>
      </c>
      <c r="I933" s="114" t="s">
        <v>16</v>
      </c>
      <c r="J933" s="22">
        <v>18900</v>
      </c>
      <c r="K933" s="173"/>
      <c r="L933" s="77">
        <v>900</v>
      </c>
      <c r="M933" s="23"/>
      <c r="N933" s="24"/>
      <c r="S933" s="34">
        <f>SUM(O924,O928,O931)</f>
        <v>2482200</v>
      </c>
      <c r="T933" s="34">
        <f>SUM(P924,P928,P931)</f>
        <v>118200</v>
      </c>
      <c r="U933" s="34">
        <f>SUM(Q924,Q928,Q931)</f>
        <v>2600400</v>
      </c>
    </row>
    <row r="934" spans="1:21" s="13" customFormat="1" ht="16.5" customHeight="1" x14ac:dyDescent="0.45">
      <c r="A934" s="14">
        <v>933</v>
      </c>
      <c r="B934" s="14">
        <v>22</v>
      </c>
      <c r="C934" s="52">
        <v>2</v>
      </c>
      <c r="D934" s="53">
        <v>1</v>
      </c>
      <c r="E934" s="54">
        <v>5</v>
      </c>
      <c r="F934" s="18" t="s">
        <v>159</v>
      </c>
      <c r="G934" s="19" t="s">
        <v>14</v>
      </c>
      <c r="H934" s="20" t="s">
        <v>627</v>
      </c>
      <c r="I934" s="114" t="s">
        <v>16</v>
      </c>
      <c r="J934" s="22">
        <v>18900</v>
      </c>
      <c r="K934" s="173"/>
      <c r="L934" s="77">
        <v>900</v>
      </c>
      <c r="M934" s="23"/>
      <c r="N934" s="24"/>
      <c r="U934" s="33"/>
    </row>
    <row r="935" spans="1:21" s="13" customFormat="1" ht="16.5" customHeight="1" x14ac:dyDescent="0.45">
      <c r="A935" s="14">
        <v>934</v>
      </c>
      <c r="B935" s="14">
        <v>23</v>
      </c>
      <c r="C935" s="52">
        <v>2</v>
      </c>
      <c r="D935" s="53">
        <v>4</v>
      </c>
      <c r="E935" s="54">
        <v>9</v>
      </c>
      <c r="F935" s="18" t="s">
        <v>628</v>
      </c>
      <c r="G935" s="19" t="s">
        <v>14</v>
      </c>
      <c r="H935" s="20" t="s">
        <v>627</v>
      </c>
      <c r="I935" s="114" t="s">
        <v>16</v>
      </c>
      <c r="J935" s="22">
        <v>18900</v>
      </c>
      <c r="K935" s="173"/>
      <c r="L935" s="77">
        <v>900</v>
      </c>
      <c r="M935" s="23"/>
      <c r="N935" s="24"/>
      <c r="U935" s="33"/>
    </row>
    <row r="936" spans="1:21" s="13" customFormat="1" ht="16.5" customHeight="1" x14ac:dyDescent="0.45">
      <c r="A936" s="14">
        <v>935</v>
      </c>
      <c r="B936" s="14">
        <v>24</v>
      </c>
      <c r="C936" s="52">
        <v>2</v>
      </c>
      <c r="D936" s="53">
        <v>8</v>
      </c>
      <c r="E936" s="54">
        <v>13</v>
      </c>
      <c r="F936" s="18" t="s">
        <v>43</v>
      </c>
      <c r="G936" s="19" t="s">
        <v>14</v>
      </c>
      <c r="H936" s="20" t="s">
        <v>627</v>
      </c>
      <c r="I936" s="114" t="s">
        <v>16</v>
      </c>
      <c r="J936" s="22">
        <v>18900</v>
      </c>
      <c r="K936" s="173"/>
      <c r="L936" s="77">
        <v>900</v>
      </c>
      <c r="M936" s="23"/>
      <c r="N936" s="24"/>
      <c r="U936" s="33"/>
    </row>
    <row r="937" spans="1:21" s="13" customFormat="1" ht="16.5" customHeight="1" x14ac:dyDescent="0.45">
      <c r="A937" s="14">
        <v>936</v>
      </c>
      <c r="B937" s="14">
        <v>25</v>
      </c>
      <c r="C937" s="52">
        <v>2</v>
      </c>
      <c r="D937" s="53">
        <v>8</v>
      </c>
      <c r="E937" s="54">
        <v>24</v>
      </c>
      <c r="F937" s="18" t="s">
        <v>246</v>
      </c>
      <c r="G937" s="19" t="s">
        <v>14</v>
      </c>
      <c r="H937" s="20" t="s">
        <v>627</v>
      </c>
      <c r="I937" s="114" t="s">
        <v>16</v>
      </c>
      <c r="J937" s="22">
        <v>18900</v>
      </c>
      <c r="K937" s="173"/>
      <c r="L937" s="77">
        <v>900</v>
      </c>
      <c r="M937" s="23"/>
      <c r="N937" s="24"/>
      <c r="U937" s="33"/>
    </row>
    <row r="938" spans="1:21" s="13" customFormat="1" ht="16.5" customHeight="1" x14ac:dyDescent="0.45">
      <c r="A938" s="14">
        <v>937</v>
      </c>
      <c r="B938" s="14">
        <v>26</v>
      </c>
      <c r="C938" s="52">
        <v>2</v>
      </c>
      <c r="D938" s="53">
        <v>11</v>
      </c>
      <c r="E938" s="54">
        <v>13</v>
      </c>
      <c r="F938" s="18" t="s">
        <v>289</v>
      </c>
      <c r="G938" s="19" t="s">
        <v>14</v>
      </c>
      <c r="H938" s="20" t="s">
        <v>627</v>
      </c>
      <c r="I938" s="114" t="s">
        <v>296</v>
      </c>
      <c r="J938" s="22">
        <v>6300</v>
      </c>
      <c r="K938" s="173"/>
      <c r="L938" s="77">
        <v>300</v>
      </c>
      <c r="M938" s="23"/>
      <c r="N938" s="24"/>
      <c r="U938" s="33"/>
    </row>
    <row r="939" spans="1:21" s="13" customFormat="1" ht="16.5" customHeight="1" x14ac:dyDescent="0.45">
      <c r="A939" s="14">
        <v>938</v>
      </c>
      <c r="B939" s="14">
        <v>27</v>
      </c>
      <c r="C939" s="52">
        <v>3</v>
      </c>
      <c r="D939" s="53">
        <v>1</v>
      </c>
      <c r="E939" s="54">
        <v>20</v>
      </c>
      <c r="F939" s="18" t="s">
        <v>316</v>
      </c>
      <c r="G939" s="19" t="s">
        <v>14</v>
      </c>
      <c r="H939" s="20" t="s">
        <v>627</v>
      </c>
      <c r="I939" s="114" t="s">
        <v>16</v>
      </c>
      <c r="J939" s="22">
        <v>18900</v>
      </c>
      <c r="K939" s="173"/>
      <c r="L939" s="77">
        <v>900</v>
      </c>
      <c r="M939" s="23"/>
      <c r="N939" s="24"/>
      <c r="U939" s="33"/>
    </row>
    <row r="940" spans="1:21" s="13" customFormat="1" ht="16.5" customHeight="1" x14ac:dyDescent="0.45">
      <c r="A940" s="14">
        <v>939</v>
      </c>
      <c r="B940" s="14">
        <v>28</v>
      </c>
      <c r="C940" s="52">
        <v>3</v>
      </c>
      <c r="D940" s="53">
        <v>2</v>
      </c>
      <c r="E940" s="54">
        <v>6</v>
      </c>
      <c r="F940" s="18" t="s">
        <v>629</v>
      </c>
      <c r="G940" s="19" t="s">
        <v>14</v>
      </c>
      <c r="H940" s="20" t="s">
        <v>627</v>
      </c>
      <c r="I940" s="114" t="s">
        <v>16</v>
      </c>
      <c r="J940" s="22">
        <v>18900</v>
      </c>
      <c r="K940" s="173"/>
      <c r="L940" s="77">
        <v>900</v>
      </c>
      <c r="M940" s="23"/>
      <c r="N940" s="24"/>
      <c r="U940" s="33"/>
    </row>
    <row r="941" spans="1:21" s="13" customFormat="1" ht="16.5" customHeight="1" x14ac:dyDescent="0.45">
      <c r="A941" s="14">
        <v>940</v>
      </c>
      <c r="B941" s="14">
        <v>29</v>
      </c>
      <c r="C941" s="52">
        <v>3</v>
      </c>
      <c r="D941" s="53">
        <v>3</v>
      </c>
      <c r="E941" s="54">
        <v>13</v>
      </c>
      <c r="F941" s="18" t="s">
        <v>86</v>
      </c>
      <c r="G941" s="19" t="s">
        <v>14</v>
      </c>
      <c r="H941" s="20" t="s">
        <v>627</v>
      </c>
      <c r="I941" s="114" t="s">
        <v>16</v>
      </c>
      <c r="J941" s="22">
        <v>18900</v>
      </c>
      <c r="K941" s="173"/>
      <c r="L941" s="77">
        <v>900</v>
      </c>
      <c r="M941" s="23"/>
      <c r="N941" s="24"/>
      <c r="U941" s="33"/>
    </row>
    <row r="942" spans="1:21" s="13" customFormat="1" ht="16.5" customHeight="1" x14ac:dyDescent="0.45">
      <c r="A942" s="14">
        <v>941</v>
      </c>
      <c r="B942" s="14">
        <v>30</v>
      </c>
      <c r="C942" s="52">
        <v>3</v>
      </c>
      <c r="D942" s="53">
        <v>5</v>
      </c>
      <c r="E942" s="54">
        <v>16</v>
      </c>
      <c r="F942" s="18" t="s">
        <v>87</v>
      </c>
      <c r="G942" s="19" t="s">
        <v>14</v>
      </c>
      <c r="H942" s="20" t="s">
        <v>627</v>
      </c>
      <c r="I942" s="114" t="s">
        <v>16</v>
      </c>
      <c r="J942" s="22">
        <v>18900</v>
      </c>
      <c r="K942" s="173"/>
      <c r="L942" s="77">
        <v>900</v>
      </c>
      <c r="M942" s="23"/>
      <c r="N942" s="24"/>
      <c r="U942" s="33"/>
    </row>
    <row r="943" spans="1:21" s="13" customFormat="1" ht="16.5" customHeight="1" x14ac:dyDescent="0.45">
      <c r="A943" s="14">
        <v>942</v>
      </c>
      <c r="B943" s="14">
        <v>31</v>
      </c>
      <c r="C943" s="52">
        <v>3</v>
      </c>
      <c r="D943" s="53">
        <v>5</v>
      </c>
      <c r="E943" s="54">
        <v>20</v>
      </c>
      <c r="F943" s="18" t="s">
        <v>630</v>
      </c>
      <c r="G943" s="19" t="s">
        <v>14</v>
      </c>
      <c r="H943" s="20" t="s">
        <v>627</v>
      </c>
      <c r="I943" s="28" t="s">
        <v>21</v>
      </c>
      <c r="J943" s="30">
        <v>12600</v>
      </c>
      <c r="K943" s="175"/>
      <c r="L943" s="74">
        <v>600</v>
      </c>
      <c r="M943" s="23"/>
      <c r="N943" s="24"/>
      <c r="U943" s="33"/>
    </row>
    <row r="944" spans="1:21" s="13" customFormat="1" ht="16.5" customHeight="1" x14ac:dyDescent="0.45">
      <c r="A944" s="14">
        <v>943</v>
      </c>
      <c r="B944" s="14">
        <v>32</v>
      </c>
      <c r="C944" s="52">
        <v>3</v>
      </c>
      <c r="D944" s="53">
        <v>6</v>
      </c>
      <c r="E944" s="54">
        <v>12</v>
      </c>
      <c r="F944" s="18" t="s">
        <v>339</v>
      </c>
      <c r="G944" s="19" t="s">
        <v>14</v>
      </c>
      <c r="H944" s="20" t="s">
        <v>627</v>
      </c>
      <c r="I944" s="114" t="s">
        <v>16</v>
      </c>
      <c r="J944" s="22">
        <v>18900</v>
      </c>
      <c r="K944" s="173"/>
      <c r="L944" s="77">
        <v>900</v>
      </c>
      <c r="M944" s="23"/>
      <c r="N944" s="24"/>
      <c r="U944" s="33"/>
    </row>
    <row r="945" spans="1:21" s="13" customFormat="1" ht="16.5" customHeight="1" x14ac:dyDescent="0.45">
      <c r="A945" s="14">
        <v>944</v>
      </c>
      <c r="B945" s="14">
        <v>33</v>
      </c>
      <c r="C945" s="52">
        <v>3</v>
      </c>
      <c r="D945" s="53">
        <v>9</v>
      </c>
      <c r="E945" s="54">
        <v>5</v>
      </c>
      <c r="F945" s="18" t="s">
        <v>36</v>
      </c>
      <c r="G945" s="19" t="s">
        <v>14</v>
      </c>
      <c r="H945" s="20" t="s">
        <v>627</v>
      </c>
      <c r="I945" s="114" t="s">
        <v>16</v>
      </c>
      <c r="J945" s="22">
        <v>18900</v>
      </c>
      <c r="K945" s="173"/>
      <c r="L945" s="77">
        <v>900</v>
      </c>
      <c r="M945" s="23"/>
      <c r="N945" s="24"/>
      <c r="U945" s="33"/>
    </row>
    <row r="946" spans="1:21" s="13" customFormat="1" ht="16.5" customHeight="1" x14ac:dyDescent="0.45">
      <c r="A946" s="14">
        <v>945</v>
      </c>
      <c r="B946" s="14">
        <v>34</v>
      </c>
      <c r="C946" s="52">
        <v>4</v>
      </c>
      <c r="D946" s="53">
        <v>6</v>
      </c>
      <c r="E946" s="54">
        <v>6</v>
      </c>
      <c r="F946" s="18" t="s">
        <v>631</v>
      </c>
      <c r="G946" s="19" t="s">
        <v>14</v>
      </c>
      <c r="H946" s="20" t="s">
        <v>627</v>
      </c>
      <c r="I946" s="114" t="s">
        <v>16</v>
      </c>
      <c r="J946" s="22">
        <v>18900</v>
      </c>
      <c r="K946" s="173"/>
      <c r="L946" s="77">
        <v>900</v>
      </c>
      <c r="M946" s="23"/>
      <c r="N946" s="24"/>
      <c r="U946" s="33"/>
    </row>
    <row r="947" spans="1:21" s="13" customFormat="1" ht="16.5" customHeight="1" x14ac:dyDescent="0.45">
      <c r="A947" s="14">
        <v>946</v>
      </c>
      <c r="B947" s="14">
        <v>35</v>
      </c>
      <c r="C947" s="52">
        <v>4</v>
      </c>
      <c r="D947" s="53">
        <v>7</v>
      </c>
      <c r="E947" s="54">
        <v>16</v>
      </c>
      <c r="F947" s="18" t="s">
        <v>435</v>
      </c>
      <c r="G947" s="19" t="s">
        <v>14</v>
      </c>
      <c r="H947" s="20" t="s">
        <v>627</v>
      </c>
      <c r="I947" s="114" t="s">
        <v>16</v>
      </c>
      <c r="J947" s="22">
        <v>18900</v>
      </c>
      <c r="K947" s="173"/>
      <c r="L947" s="77">
        <v>900</v>
      </c>
      <c r="M947" s="23"/>
      <c r="N947" s="24"/>
      <c r="U947" s="33"/>
    </row>
    <row r="948" spans="1:21" s="13" customFormat="1" ht="16.5" customHeight="1" x14ac:dyDescent="0.45">
      <c r="A948" s="14">
        <v>947</v>
      </c>
      <c r="B948" s="14">
        <v>36</v>
      </c>
      <c r="C948" s="52">
        <v>4</v>
      </c>
      <c r="D948" s="53">
        <v>7</v>
      </c>
      <c r="E948" s="54">
        <v>19</v>
      </c>
      <c r="F948" s="18" t="s">
        <v>389</v>
      </c>
      <c r="G948" s="19" t="s">
        <v>14</v>
      </c>
      <c r="H948" s="20" t="s">
        <v>627</v>
      </c>
      <c r="I948" s="114" t="s">
        <v>16</v>
      </c>
      <c r="J948" s="22">
        <v>18900</v>
      </c>
      <c r="K948" s="173"/>
      <c r="L948" s="77">
        <v>900</v>
      </c>
      <c r="M948" s="23"/>
      <c r="N948" s="24"/>
      <c r="U948" s="33"/>
    </row>
    <row r="949" spans="1:21" s="13" customFormat="1" ht="16.5" customHeight="1" x14ac:dyDescent="0.45">
      <c r="A949" s="14">
        <v>948</v>
      </c>
      <c r="B949" s="14">
        <v>37</v>
      </c>
      <c r="C949" s="52">
        <v>5</v>
      </c>
      <c r="D949" s="53">
        <v>5</v>
      </c>
      <c r="E949" s="54">
        <v>8</v>
      </c>
      <c r="F949" s="18" t="s">
        <v>54</v>
      </c>
      <c r="G949" s="19" t="s">
        <v>14</v>
      </c>
      <c r="H949" s="20" t="s">
        <v>627</v>
      </c>
      <c r="I949" s="28" t="s">
        <v>21</v>
      </c>
      <c r="J949" s="30">
        <v>12600</v>
      </c>
      <c r="K949" s="175"/>
      <c r="L949" s="74">
        <v>600</v>
      </c>
      <c r="M949" s="23"/>
      <c r="N949" s="24"/>
      <c r="U949" s="33"/>
    </row>
    <row r="950" spans="1:21" s="13" customFormat="1" ht="16.5" customHeight="1" x14ac:dyDescent="0.45">
      <c r="A950" s="14">
        <v>949</v>
      </c>
      <c r="B950" s="14">
        <v>38</v>
      </c>
      <c r="C950" s="52">
        <v>5</v>
      </c>
      <c r="D950" s="53">
        <v>5</v>
      </c>
      <c r="E950" s="54">
        <v>27</v>
      </c>
      <c r="F950" s="18" t="s">
        <v>301</v>
      </c>
      <c r="G950" s="19" t="s">
        <v>14</v>
      </c>
      <c r="H950" s="20" t="s">
        <v>627</v>
      </c>
      <c r="I950" s="114" t="s">
        <v>16</v>
      </c>
      <c r="J950" s="22">
        <v>18900</v>
      </c>
      <c r="K950" s="173"/>
      <c r="L950" s="77">
        <v>900</v>
      </c>
      <c r="M950" s="23"/>
      <c r="N950" s="24"/>
      <c r="U950" s="33"/>
    </row>
    <row r="951" spans="1:21" s="13" customFormat="1" ht="16.5" customHeight="1" x14ac:dyDescent="0.45">
      <c r="A951" s="14">
        <v>950</v>
      </c>
      <c r="B951" s="14">
        <v>39</v>
      </c>
      <c r="C951" s="52">
        <v>6</v>
      </c>
      <c r="D951" s="53">
        <v>4</v>
      </c>
      <c r="E951" s="54">
        <v>2</v>
      </c>
      <c r="F951" s="18" t="s">
        <v>632</v>
      </c>
      <c r="G951" s="19" t="s">
        <v>14</v>
      </c>
      <c r="H951" s="20" t="s">
        <v>627</v>
      </c>
      <c r="I951" s="114" t="s">
        <v>16</v>
      </c>
      <c r="J951" s="22">
        <v>18900</v>
      </c>
      <c r="K951" s="173"/>
      <c r="L951" s="77">
        <v>900</v>
      </c>
      <c r="M951" s="23"/>
      <c r="N951" s="24"/>
      <c r="U951" s="33"/>
    </row>
    <row r="952" spans="1:21" s="13" customFormat="1" ht="16.5" customHeight="1" x14ac:dyDescent="0.45">
      <c r="A952" s="14">
        <v>951</v>
      </c>
      <c r="B952" s="14">
        <v>40</v>
      </c>
      <c r="C952" s="52">
        <v>6</v>
      </c>
      <c r="D952" s="53">
        <v>6</v>
      </c>
      <c r="E952" s="54">
        <v>7</v>
      </c>
      <c r="F952" s="89" t="s">
        <v>633</v>
      </c>
      <c r="G952" s="57" t="s">
        <v>14</v>
      </c>
      <c r="H952" s="58" t="s">
        <v>627</v>
      </c>
      <c r="I952" s="179" t="s">
        <v>16</v>
      </c>
      <c r="J952" s="22">
        <v>18900</v>
      </c>
      <c r="K952" s="173"/>
      <c r="L952" s="77">
        <v>900</v>
      </c>
      <c r="M952" s="23"/>
      <c r="N952" s="24"/>
      <c r="U952" s="33"/>
    </row>
    <row r="953" spans="1:21" s="13" customFormat="1" ht="16.5" customHeight="1" x14ac:dyDescent="0.45">
      <c r="A953" s="14">
        <v>952</v>
      </c>
      <c r="B953" s="35">
        <v>1</v>
      </c>
      <c r="C953" s="49">
        <v>1</v>
      </c>
      <c r="D953" s="37">
        <v>1</v>
      </c>
      <c r="E953" s="38">
        <v>20</v>
      </c>
      <c r="F953" s="39" t="s">
        <v>349</v>
      </c>
      <c r="G953" s="40" t="s">
        <v>14</v>
      </c>
      <c r="H953" s="161" t="s">
        <v>634</v>
      </c>
      <c r="I953" s="110" t="s">
        <v>16</v>
      </c>
      <c r="J953" s="151">
        <v>18900</v>
      </c>
      <c r="K953" s="180"/>
      <c r="L953" s="113">
        <v>900</v>
      </c>
      <c r="M953" s="45">
        <f>SUM(J953:K986)</f>
        <v>768600</v>
      </c>
      <c r="N953" s="24"/>
      <c r="U953" s="33"/>
    </row>
    <row r="954" spans="1:21" s="13" customFormat="1" ht="16.5" customHeight="1" x14ac:dyDescent="0.45">
      <c r="A954" s="14">
        <v>953</v>
      </c>
      <c r="B954" s="14">
        <v>2</v>
      </c>
      <c r="C954" s="52">
        <v>1</v>
      </c>
      <c r="D954" s="16">
        <v>3</v>
      </c>
      <c r="E954" s="17">
        <v>14</v>
      </c>
      <c r="F954" s="18" t="s">
        <v>154</v>
      </c>
      <c r="G954" s="19" t="s">
        <v>14</v>
      </c>
      <c r="H954" s="153" t="s">
        <v>634</v>
      </c>
      <c r="I954" s="28" t="s">
        <v>16</v>
      </c>
      <c r="J954" s="30">
        <v>18900</v>
      </c>
      <c r="K954" s="175"/>
      <c r="L954" s="74">
        <v>900</v>
      </c>
      <c r="M954" s="23"/>
      <c r="N954" s="24"/>
      <c r="U954" s="33"/>
    </row>
    <row r="955" spans="1:21" s="13" customFormat="1" ht="16.5" customHeight="1" x14ac:dyDescent="0.45">
      <c r="A955" s="14">
        <v>954</v>
      </c>
      <c r="B955" s="14">
        <v>3</v>
      </c>
      <c r="C955" s="52">
        <v>1</v>
      </c>
      <c r="D955" s="16">
        <v>5</v>
      </c>
      <c r="E955" s="17">
        <v>16</v>
      </c>
      <c r="F955" s="18" t="s">
        <v>18</v>
      </c>
      <c r="G955" s="19" t="s">
        <v>14</v>
      </c>
      <c r="H955" s="153" t="s">
        <v>634</v>
      </c>
      <c r="I955" s="18" t="s">
        <v>60</v>
      </c>
      <c r="J955" s="22">
        <v>25200</v>
      </c>
      <c r="K955" s="173"/>
      <c r="L955" s="77">
        <v>1200</v>
      </c>
      <c r="M955" s="23"/>
      <c r="N955" s="24"/>
      <c r="U955" s="33"/>
    </row>
    <row r="956" spans="1:21" s="13" customFormat="1" ht="16.5" customHeight="1" x14ac:dyDescent="0.45">
      <c r="A956" s="14">
        <v>955</v>
      </c>
      <c r="B956" s="14">
        <v>4</v>
      </c>
      <c r="C956" s="52">
        <v>1</v>
      </c>
      <c r="D956" s="16">
        <v>5</v>
      </c>
      <c r="E956" s="17">
        <v>17</v>
      </c>
      <c r="F956" s="18" t="s">
        <v>186</v>
      </c>
      <c r="G956" s="19" t="s">
        <v>14</v>
      </c>
      <c r="H956" s="153" t="s">
        <v>634</v>
      </c>
      <c r="I956" s="18" t="s">
        <v>60</v>
      </c>
      <c r="J956" s="22">
        <v>25200</v>
      </c>
      <c r="K956" s="173"/>
      <c r="L956" s="77">
        <v>1200</v>
      </c>
      <c r="M956" s="23"/>
      <c r="N956" s="24"/>
      <c r="U956" s="33"/>
    </row>
    <row r="957" spans="1:21" s="13" customFormat="1" ht="16.5" customHeight="1" x14ac:dyDescent="0.45">
      <c r="A957" s="14">
        <v>956</v>
      </c>
      <c r="B957" s="14">
        <v>5</v>
      </c>
      <c r="C957" s="52">
        <v>1</v>
      </c>
      <c r="D957" s="16">
        <v>9</v>
      </c>
      <c r="E957" s="17">
        <v>9</v>
      </c>
      <c r="F957" s="18" t="s">
        <v>132</v>
      </c>
      <c r="G957" s="19" t="s">
        <v>14</v>
      </c>
      <c r="H957" s="153" t="s">
        <v>634</v>
      </c>
      <c r="I957" s="18" t="s">
        <v>60</v>
      </c>
      <c r="J957" s="22">
        <v>25200</v>
      </c>
      <c r="K957" s="173"/>
      <c r="L957" s="77">
        <v>1200</v>
      </c>
      <c r="M957" s="23"/>
      <c r="N957" s="24"/>
      <c r="O957" s="27">
        <f>SUM(J953:K986)</f>
        <v>768600</v>
      </c>
      <c r="U957" s="33"/>
    </row>
    <row r="958" spans="1:21" s="13" customFormat="1" ht="16.5" customHeight="1" x14ac:dyDescent="0.45">
      <c r="A958" s="14">
        <v>957</v>
      </c>
      <c r="B958" s="14">
        <v>6</v>
      </c>
      <c r="C958" s="52">
        <v>1</v>
      </c>
      <c r="D958" s="16">
        <v>9</v>
      </c>
      <c r="E958" s="17">
        <v>14</v>
      </c>
      <c r="F958" s="18" t="s">
        <v>374</v>
      </c>
      <c r="G958" s="19" t="s">
        <v>14</v>
      </c>
      <c r="H958" s="153" t="s">
        <v>634</v>
      </c>
      <c r="I958" s="28" t="s">
        <v>16</v>
      </c>
      <c r="J958" s="30">
        <v>18900</v>
      </c>
      <c r="K958" s="175"/>
      <c r="L958" s="74">
        <v>900</v>
      </c>
      <c r="M958" s="23"/>
      <c r="N958" s="24"/>
      <c r="O958" s="27">
        <f>SUM(L953:L986)</f>
        <v>36600</v>
      </c>
      <c r="U958" s="33"/>
    </row>
    <row r="959" spans="1:21" s="13" customFormat="1" ht="16.5" customHeight="1" x14ac:dyDescent="0.45">
      <c r="A959" s="14">
        <v>958</v>
      </c>
      <c r="B959" s="14">
        <v>7</v>
      </c>
      <c r="C959" s="52">
        <v>1</v>
      </c>
      <c r="D959" s="16">
        <v>10</v>
      </c>
      <c r="E959" s="17">
        <v>5</v>
      </c>
      <c r="F959" s="18" t="s">
        <v>109</v>
      </c>
      <c r="G959" s="19" t="s">
        <v>14</v>
      </c>
      <c r="H959" s="153" t="s">
        <v>634</v>
      </c>
      <c r="I959" s="28" t="s">
        <v>16</v>
      </c>
      <c r="J959" s="30">
        <v>18900</v>
      </c>
      <c r="K959" s="175"/>
      <c r="L959" s="74">
        <v>900</v>
      </c>
      <c r="M959" s="23"/>
      <c r="N959" s="24"/>
      <c r="O959" s="27">
        <f>SUM(O957:O958)</f>
        <v>805200</v>
      </c>
      <c r="U959" s="33"/>
    </row>
    <row r="960" spans="1:21" s="13" customFormat="1" ht="16.5" customHeight="1" x14ac:dyDescent="0.45">
      <c r="A960" s="14">
        <v>959</v>
      </c>
      <c r="B960" s="14">
        <v>8</v>
      </c>
      <c r="C960" s="52">
        <v>1</v>
      </c>
      <c r="D960" s="16">
        <v>10</v>
      </c>
      <c r="E960" s="17">
        <v>14</v>
      </c>
      <c r="F960" s="18" t="s">
        <v>23</v>
      </c>
      <c r="G960" s="19" t="s">
        <v>14</v>
      </c>
      <c r="H960" s="153" t="s">
        <v>635</v>
      </c>
      <c r="I960" s="18" t="s">
        <v>60</v>
      </c>
      <c r="J960" s="22">
        <v>25200</v>
      </c>
      <c r="K960" s="173"/>
      <c r="L960" s="77">
        <v>1200</v>
      </c>
      <c r="M960" s="23"/>
      <c r="N960" s="24"/>
      <c r="U960" s="33"/>
    </row>
    <row r="961" spans="1:21" s="13" customFormat="1" ht="16.5" customHeight="1" x14ac:dyDescent="0.45">
      <c r="A961" s="14">
        <v>960</v>
      </c>
      <c r="B961" s="14">
        <v>9</v>
      </c>
      <c r="C961" s="52">
        <v>1</v>
      </c>
      <c r="D961" s="16">
        <v>11</v>
      </c>
      <c r="E961" s="17">
        <v>1</v>
      </c>
      <c r="F961" s="18" t="s">
        <v>158</v>
      </c>
      <c r="G961" s="19" t="s">
        <v>14</v>
      </c>
      <c r="H961" s="153" t="s">
        <v>634</v>
      </c>
      <c r="I961" s="18" t="s">
        <v>60</v>
      </c>
      <c r="J961" s="22">
        <v>25200</v>
      </c>
      <c r="K961" s="173"/>
      <c r="L961" s="77">
        <v>1200</v>
      </c>
      <c r="M961" s="23"/>
      <c r="N961" s="24"/>
      <c r="U961" s="33"/>
    </row>
    <row r="962" spans="1:21" s="13" customFormat="1" ht="16.5" customHeight="1" x14ac:dyDescent="0.45">
      <c r="A962" s="14">
        <v>961</v>
      </c>
      <c r="B962" s="14">
        <v>10</v>
      </c>
      <c r="C962" s="52">
        <v>1</v>
      </c>
      <c r="D962" s="16">
        <v>11</v>
      </c>
      <c r="E962" s="17">
        <v>6</v>
      </c>
      <c r="F962" s="18" t="s">
        <v>113</v>
      </c>
      <c r="G962" s="19" t="s">
        <v>14</v>
      </c>
      <c r="H962" s="153" t="s">
        <v>634</v>
      </c>
      <c r="I962" s="18" t="s">
        <v>60</v>
      </c>
      <c r="J962" s="22">
        <v>25200</v>
      </c>
      <c r="K962" s="173"/>
      <c r="L962" s="77">
        <v>1200</v>
      </c>
      <c r="M962" s="23"/>
      <c r="N962" s="24"/>
      <c r="O962" s="13">
        <v>25200</v>
      </c>
      <c r="P962" s="13">
        <v>1200</v>
      </c>
      <c r="Q962" s="13">
        <v>26400</v>
      </c>
      <c r="R962" s="13">
        <f>SUM(R960:R961)</f>
        <v>0</v>
      </c>
      <c r="U962" s="33"/>
    </row>
    <row r="963" spans="1:21" s="13" customFormat="1" ht="16.5" customHeight="1" x14ac:dyDescent="0.45">
      <c r="A963" s="14">
        <v>962</v>
      </c>
      <c r="B963" s="14">
        <v>11</v>
      </c>
      <c r="C963" s="52">
        <v>1</v>
      </c>
      <c r="D963" s="16">
        <v>11</v>
      </c>
      <c r="E963" s="17">
        <v>13</v>
      </c>
      <c r="F963" s="18" t="s">
        <v>43</v>
      </c>
      <c r="G963" s="19" t="s">
        <v>14</v>
      </c>
      <c r="H963" s="153" t="s">
        <v>634</v>
      </c>
      <c r="I963" s="28" t="s">
        <v>16</v>
      </c>
      <c r="J963" s="30">
        <v>18900</v>
      </c>
      <c r="K963" s="175"/>
      <c r="L963" s="74">
        <v>900</v>
      </c>
      <c r="M963" s="23"/>
      <c r="N963" s="24"/>
      <c r="O963" s="13">
        <f>O962*34</f>
        <v>856800</v>
      </c>
      <c r="P963" s="13">
        <f t="shared" ref="P963:Q963" si="130">P962*34</f>
        <v>40800</v>
      </c>
      <c r="Q963" s="13">
        <f t="shared" si="130"/>
        <v>897600</v>
      </c>
      <c r="U963" s="33"/>
    </row>
    <row r="964" spans="1:21" s="13" customFormat="1" ht="16.5" customHeight="1" x14ac:dyDescent="0.45">
      <c r="A964" s="14">
        <v>963</v>
      </c>
      <c r="B964" s="14">
        <v>12</v>
      </c>
      <c r="C964" s="52">
        <v>1</v>
      </c>
      <c r="D964" s="16">
        <v>11</v>
      </c>
      <c r="E964" s="17">
        <v>18</v>
      </c>
      <c r="F964" s="18" t="s">
        <v>191</v>
      </c>
      <c r="G964" s="19" t="s">
        <v>14</v>
      </c>
      <c r="H964" s="153" t="s">
        <v>634</v>
      </c>
      <c r="I964" s="18" t="s">
        <v>60</v>
      </c>
      <c r="J964" s="22">
        <v>25200</v>
      </c>
      <c r="K964" s="173"/>
      <c r="L964" s="77">
        <v>1200</v>
      </c>
      <c r="M964" s="23"/>
      <c r="N964" s="24"/>
      <c r="O964" s="13">
        <v>-88200</v>
      </c>
      <c r="P964" s="13">
        <v>-4200</v>
      </c>
      <c r="Q964" s="13">
        <v>-92400</v>
      </c>
      <c r="U964" s="33"/>
    </row>
    <row r="965" spans="1:21" s="13" customFormat="1" ht="16.5" customHeight="1" x14ac:dyDescent="0.45">
      <c r="A965" s="14">
        <v>964</v>
      </c>
      <c r="B965" s="14">
        <v>13</v>
      </c>
      <c r="C965" s="52">
        <v>1</v>
      </c>
      <c r="D965" s="16">
        <v>12</v>
      </c>
      <c r="E965" s="17">
        <v>7</v>
      </c>
      <c r="F965" s="18" t="s">
        <v>193</v>
      </c>
      <c r="G965" s="19" t="s">
        <v>14</v>
      </c>
      <c r="H965" s="153" t="s">
        <v>634</v>
      </c>
      <c r="I965" s="18" t="s">
        <v>60</v>
      </c>
      <c r="J965" s="22">
        <v>25200</v>
      </c>
      <c r="K965" s="173"/>
      <c r="L965" s="77">
        <v>1200</v>
      </c>
      <c r="M965" s="23"/>
      <c r="N965" s="24"/>
      <c r="O965" s="13">
        <f>SUM(O963:O964)</f>
        <v>768600</v>
      </c>
      <c r="P965" s="13">
        <f>SUM(P963:P964)</f>
        <v>36600</v>
      </c>
      <c r="Q965" s="13">
        <f>SUM(Q963:Q964)</f>
        <v>805200</v>
      </c>
      <c r="U965" s="33"/>
    </row>
    <row r="966" spans="1:21" s="13" customFormat="1" ht="16.5" customHeight="1" x14ac:dyDescent="0.45">
      <c r="A966" s="14">
        <v>965</v>
      </c>
      <c r="B966" s="14">
        <v>14</v>
      </c>
      <c r="C966" s="52">
        <v>2</v>
      </c>
      <c r="D966" s="16">
        <v>1</v>
      </c>
      <c r="E966" s="17">
        <v>2</v>
      </c>
      <c r="F966" s="18" t="s">
        <v>576</v>
      </c>
      <c r="G966" s="19" t="s">
        <v>14</v>
      </c>
      <c r="H966" s="153" t="s">
        <v>634</v>
      </c>
      <c r="I966" s="28" t="s">
        <v>16</v>
      </c>
      <c r="J966" s="30">
        <v>18900</v>
      </c>
      <c r="K966" s="175"/>
      <c r="L966" s="74">
        <v>900</v>
      </c>
      <c r="M966" s="23"/>
      <c r="N966" s="24"/>
      <c r="U966" s="33"/>
    </row>
    <row r="967" spans="1:21" s="13" customFormat="1" ht="16.5" customHeight="1" x14ac:dyDescent="0.45">
      <c r="A967" s="14">
        <v>966</v>
      </c>
      <c r="B967" s="14">
        <v>15</v>
      </c>
      <c r="C967" s="52">
        <v>2</v>
      </c>
      <c r="D967" s="16">
        <v>2</v>
      </c>
      <c r="E967" s="17">
        <v>18</v>
      </c>
      <c r="F967" s="18" t="s">
        <v>636</v>
      </c>
      <c r="G967" s="19" t="s">
        <v>14</v>
      </c>
      <c r="H967" s="153" t="s">
        <v>634</v>
      </c>
      <c r="I967" s="18" t="s">
        <v>60</v>
      </c>
      <c r="J967" s="22">
        <v>25200</v>
      </c>
      <c r="K967" s="173"/>
      <c r="L967" s="77">
        <v>1200</v>
      </c>
      <c r="M967" s="23"/>
      <c r="N967" s="24"/>
      <c r="O967" s="13">
        <v>18900</v>
      </c>
      <c r="P967" s="13">
        <v>900</v>
      </c>
      <c r="Q967" s="13">
        <v>19800</v>
      </c>
      <c r="U967" s="33"/>
    </row>
    <row r="968" spans="1:21" s="13" customFormat="1" ht="16.5" customHeight="1" x14ac:dyDescent="0.45">
      <c r="A968" s="14">
        <v>967</v>
      </c>
      <c r="B968" s="14">
        <v>16</v>
      </c>
      <c r="C968" s="52">
        <v>2</v>
      </c>
      <c r="D968" s="16">
        <v>3</v>
      </c>
      <c r="E968" s="17">
        <v>12</v>
      </c>
      <c r="F968" s="18" t="s">
        <v>637</v>
      </c>
      <c r="G968" s="19" t="s">
        <v>14</v>
      </c>
      <c r="H968" s="153" t="s">
        <v>634</v>
      </c>
      <c r="I968" s="18" t="s">
        <v>60</v>
      </c>
      <c r="J968" s="22">
        <v>25200</v>
      </c>
      <c r="K968" s="173"/>
      <c r="L968" s="77">
        <v>1200</v>
      </c>
      <c r="M968" s="23"/>
      <c r="N968" s="24"/>
      <c r="O968" s="13">
        <f>O967*35</f>
        <v>661500</v>
      </c>
      <c r="P968" s="13">
        <f t="shared" ref="P968:Q968" si="131">P967*35</f>
        <v>31500</v>
      </c>
      <c r="Q968" s="13">
        <f t="shared" si="131"/>
        <v>693000</v>
      </c>
      <c r="U968" s="33"/>
    </row>
    <row r="969" spans="1:21" s="13" customFormat="1" ht="16.5" customHeight="1" x14ac:dyDescent="0.45">
      <c r="A969" s="14">
        <v>968</v>
      </c>
      <c r="B969" s="14">
        <v>17</v>
      </c>
      <c r="C969" s="52">
        <v>2</v>
      </c>
      <c r="D969" s="16">
        <v>7</v>
      </c>
      <c r="E969" s="17">
        <v>14</v>
      </c>
      <c r="F969" s="18" t="s">
        <v>417</v>
      </c>
      <c r="G969" s="19" t="s">
        <v>14</v>
      </c>
      <c r="H969" s="153" t="s">
        <v>634</v>
      </c>
      <c r="I969" s="18" t="s">
        <v>60</v>
      </c>
      <c r="J969" s="22">
        <v>25200</v>
      </c>
      <c r="K969" s="173"/>
      <c r="L969" s="77">
        <v>1200</v>
      </c>
      <c r="M969" s="23"/>
      <c r="N969" s="24"/>
      <c r="U969" s="33"/>
    </row>
    <row r="970" spans="1:21" s="13" customFormat="1" ht="16.5" customHeight="1" x14ac:dyDescent="0.45">
      <c r="A970" s="14">
        <v>969</v>
      </c>
      <c r="B970" s="14">
        <v>18</v>
      </c>
      <c r="C970" s="52">
        <v>2</v>
      </c>
      <c r="D970" s="16">
        <v>7</v>
      </c>
      <c r="E970" s="17">
        <v>22</v>
      </c>
      <c r="F970" s="18" t="s">
        <v>135</v>
      </c>
      <c r="G970" s="19" t="s">
        <v>14</v>
      </c>
      <c r="H970" s="153" t="s">
        <v>634</v>
      </c>
      <c r="I970" s="28" t="s">
        <v>16</v>
      </c>
      <c r="J970" s="30">
        <v>18900</v>
      </c>
      <c r="K970" s="175"/>
      <c r="L970" s="74">
        <v>900</v>
      </c>
      <c r="M970" s="23"/>
      <c r="N970" s="24"/>
      <c r="O970" s="13">
        <v>25200</v>
      </c>
      <c r="P970" s="13">
        <v>1200</v>
      </c>
      <c r="Q970" s="13">
        <v>26400</v>
      </c>
      <c r="U970" s="33"/>
    </row>
    <row r="971" spans="1:21" s="13" customFormat="1" ht="16.5" customHeight="1" x14ac:dyDescent="0.45">
      <c r="A971" s="14">
        <v>970</v>
      </c>
      <c r="B971" s="14">
        <v>19</v>
      </c>
      <c r="C971" s="52">
        <v>2</v>
      </c>
      <c r="D971" s="16">
        <v>9</v>
      </c>
      <c r="E971" s="17">
        <v>13</v>
      </c>
      <c r="F971" s="18" t="s">
        <v>427</v>
      </c>
      <c r="G971" s="19" t="s">
        <v>14</v>
      </c>
      <c r="H971" s="153" t="s">
        <v>634</v>
      </c>
      <c r="I971" s="28" t="s">
        <v>16</v>
      </c>
      <c r="J971" s="30">
        <v>18900</v>
      </c>
      <c r="K971" s="175"/>
      <c r="L971" s="74">
        <v>900</v>
      </c>
      <c r="M971" s="23"/>
      <c r="N971" s="24"/>
      <c r="O971" s="13">
        <f>O970*35</f>
        <v>882000</v>
      </c>
      <c r="P971" s="13">
        <f t="shared" ref="P971:Q971" si="132">P970*35</f>
        <v>42000</v>
      </c>
      <c r="Q971" s="13">
        <f t="shared" si="132"/>
        <v>924000</v>
      </c>
      <c r="U971" s="33"/>
    </row>
    <row r="972" spans="1:21" s="13" customFormat="1" ht="16.5" customHeight="1" x14ac:dyDescent="0.45">
      <c r="A972" s="14">
        <v>971</v>
      </c>
      <c r="B972" s="14">
        <v>20</v>
      </c>
      <c r="C972" s="52">
        <v>2</v>
      </c>
      <c r="D972" s="16">
        <v>11</v>
      </c>
      <c r="E972" s="17">
        <v>16</v>
      </c>
      <c r="F972" s="18" t="s">
        <v>111</v>
      </c>
      <c r="G972" s="19" t="s">
        <v>14</v>
      </c>
      <c r="H972" s="153" t="s">
        <v>634</v>
      </c>
      <c r="I972" s="28" t="s">
        <v>16</v>
      </c>
      <c r="J972" s="30">
        <v>18900</v>
      </c>
      <c r="K972" s="175"/>
      <c r="L972" s="74">
        <v>900</v>
      </c>
      <c r="M972" s="23"/>
      <c r="N972" s="24"/>
      <c r="U972" s="33"/>
    </row>
    <row r="973" spans="1:21" s="13" customFormat="1" ht="16.5" customHeight="1" x14ac:dyDescent="0.45">
      <c r="A973" s="14">
        <v>972</v>
      </c>
      <c r="B973" s="14">
        <v>21</v>
      </c>
      <c r="C973" s="52">
        <v>1</v>
      </c>
      <c r="D973" s="16">
        <v>1</v>
      </c>
      <c r="E973" s="17">
        <v>7</v>
      </c>
      <c r="F973" s="18" t="s">
        <v>198</v>
      </c>
      <c r="G973" s="19" t="s">
        <v>14</v>
      </c>
      <c r="H973" s="153" t="s">
        <v>638</v>
      </c>
      <c r="I973" s="18" t="s">
        <v>60</v>
      </c>
      <c r="J973" s="22">
        <v>25200</v>
      </c>
      <c r="K973" s="173"/>
      <c r="L973" s="77">
        <v>1200</v>
      </c>
      <c r="M973" s="23"/>
      <c r="N973" s="24"/>
      <c r="S973" s="34">
        <f>SUM(O965,O968,O971)</f>
        <v>2312100</v>
      </c>
      <c r="T973" s="34">
        <f>SUM(P965,P968,P971)</f>
        <v>110100</v>
      </c>
      <c r="U973" s="34">
        <f>SUM(Q965,Q968,Q971)</f>
        <v>2422200</v>
      </c>
    </row>
    <row r="974" spans="1:21" s="13" customFormat="1" ht="16.5" customHeight="1" x14ac:dyDescent="0.45">
      <c r="A974" s="14">
        <v>973</v>
      </c>
      <c r="B974" s="14">
        <v>22</v>
      </c>
      <c r="C974" s="52">
        <v>1</v>
      </c>
      <c r="D974" s="16">
        <v>3</v>
      </c>
      <c r="E974" s="17">
        <v>9</v>
      </c>
      <c r="F974" s="18" t="s">
        <v>639</v>
      </c>
      <c r="G974" s="19" t="s">
        <v>14</v>
      </c>
      <c r="H974" s="153" t="s">
        <v>638</v>
      </c>
      <c r="I974" s="28" t="s">
        <v>16</v>
      </c>
      <c r="J974" s="30">
        <v>18900</v>
      </c>
      <c r="K974" s="175"/>
      <c r="L974" s="74">
        <v>900</v>
      </c>
      <c r="M974" s="23"/>
      <c r="N974" s="24"/>
      <c r="U974" s="33"/>
    </row>
    <row r="975" spans="1:21" s="13" customFormat="1" ht="16.5" customHeight="1" x14ac:dyDescent="0.45">
      <c r="A975" s="14">
        <v>974</v>
      </c>
      <c r="B975" s="14">
        <v>23</v>
      </c>
      <c r="C975" s="52">
        <v>1</v>
      </c>
      <c r="D975" s="16">
        <v>5</v>
      </c>
      <c r="E975" s="17">
        <v>12</v>
      </c>
      <c r="F975" s="18" t="s">
        <v>352</v>
      </c>
      <c r="G975" s="19" t="s">
        <v>14</v>
      </c>
      <c r="H975" s="153" t="s">
        <v>638</v>
      </c>
      <c r="I975" s="28" t="s">
        <v>16</v>
      </c>
      <c r="J975" s="30">
        <v>18900</v>
      </c>
      <c r="K975" s="175"/>
      <c r="L975" s="74">
        <v>900</v>
      </c>
      <c r="M975" s="23"/>
      <c r="N975" s="24"/>
      <c r="U975" s="33"/>
    </row>
    <row r="976" spans="1:21" s="13" customFormat="1" ht="16.5" customHeight="1" x14ac:dyDescent="0.45">
      <c r="A976" s="14">
        <v>975</v>
      </c>
      <c r="B976" s="14">
        <v>24</v>
      </c>
      <c r="C976" s="52">
        <v>1</v>
      </c>
      <c r="D976" s="16">
        <v>9</v>
      </c>
      <c r="E976" s="17">
        <v>1</v>
      </c>
      <c r="F976" s="18" t="s">
        <v>41</v>
      </c>
      <c r="G976" s="19" t="s">
        <v>14</v>
      </c>
      <c r="H976" s="153" t="s">
        <v>638</v>
      </c>
      <c r="I976" s="18" t="s">
        <v>60</v>
      </c>
      <c r="J976" s="22">
        <v>25200</v>
      </c>
      <c r="K976" s="173"/>
      <c r="L976" s="77">
        <v>1200</v>
      </c>
      <c r="M976" s="23"/>
      <c r="N976" s="24"/>
      <c r="U976" s="33"/>
    </row>
    <row r="977" spans="1:21" s="13" customFormat="1" ht="16.5" customHeight="1" x14ac:dyDescent="0.45">
      <c r="A977" s="14">
        <v>976</v>
      </c>
      <c r="B977" s="14">
        <v>25</v>
      </c>
      <c r="C977" s="52">
        <v>1</v>
      </c>
      <c r="D977" s="16">
        <v>10</v>
      </c>
      <c r="E977" s="17">
        <v>23</v>
      </c>
      <c r="F977" s="18" t="s">
        <v>355</v>
      </c>
      <c r="G977" s="19" t="s">
        <v>14</v>
      </c>
      <c r="H977" s="153" t="s">
        <v>638</v>
      </c>
      <c r="I977" s="18" t="s">
        <v>60</v>
      </c>
      <c r="J977" s="22">
        <v>25200</v>
      </c>
      <c r="K977" s="173"/>
      <c r="L977" s="77">
        <v>1200</v>
      </c>
      <c r="M977" s="23"/>
      <c r="N977" s="24"/>
      <c r="U977" s="33"/>
    </row>
    <row r="978" spans="1:21" s="13" customFormat="1" ht="16.5" customHeight="1" x14ac:dyDescent="0.45">
      <c r="A978" s="14">
        <v>977</v>
      </c>
      <c r="B978" s="14">
        <v>26</v>
      </c>
      <c r="C978" s="52">
        <v>2</v>
      </c>
      <c r="D978" s="16">
        <v>4</v>
      </c>
      <c r="E978" s="17">
        <v>1</v>
      </c>
      <c r="F978" s="18" t="s">
        <v>640</v>
      </c>
      <c r="G978" s="19" t="s">
        <v>14</v>
      </c>
      <c r="H978" s="153" t="s">
        <v>638</v>
      </c>
      <c r="I978" s="18" t="s">
        <v>60</v>
      </c>
      <c r="J978" s="22">
        <v>25200</v>
      </c>
      <c r="K978" s="173"/>
      <c r="L978" s="77">
        <v>1200</v>
      </c>
      <c r="M978" s="23"/>
      <c r="N978" s="24"/>
      <c r="U978" s="33"/>
    </row>
    <row r="979" spans="1:21" s="13" customFormat="1" ht="16.5" customHeight="1" x14ac:dyDescent="0.45">
      <c r="A979" s="14">
        <v>978</v>
      </c>
      <c r="B979" s="14">
        <v>27</v>
      </c>
      <c r="C979" s="52">
        <v>2</v>
      </c>
      <c r="D979" s="16">
        <v>5</v>
      </c>
      <c r="E979" s="17">
        <v>18</v>
      </c>
      <c r="F979" s="18" t="s">
        <v>608</v>
      </c>
      <c r="G979" s="19" t="s">
        <v>14</v>
      </c>
      <c r="H979" s="153" t="s">
        <v>638</v>
      </c>
      <c r="I979" s="18" t="s">
        <v>60</v>
      </c>
      <c r="J979" s="22">
        <v>25200</v>
      </c>
      <c r="K979" s="173"/>
      <c r="L979" s="77">
        <v>1200</v>
      </c>
      <c r="M979" s="23"/>
      <c r="N979" s="24"/>
      <c r="U979" s="33"/>
    </row>
    <row r="980" spans="1:21" s="13" customFormat="1" ht="16.5" customHeight="1" x14ac:dyDescent="0.45">
      <c r="A980" s="14">
        <v>979</v>
      </c>
      <c r="B980" s="14">
        <v>28</v>
      </c>
      <c r="C980" s="52">
        <v>2</v>
      </c>
      <c r="D980" s="16">
        <v>5</v>
      </c>
      <c r="E980" s="17">
        <v>22</v>
      </c>
      <c r="F980" s="18" t="s">
        <v>162</v>
      </c>
      <c r="G980" s="19" t="s">
        <v>14</v>
      </c>
      <c r="H980" s="153" t="s">
        <v>638</v>
      </c>
      <c r="I980" s="18" t="s">
        <v>60</v>
      </c>
      <c r="J980" s="22">
        <v>25200</v>
      </c>
      <c r="K980" s="173"/>
      <c r="L980" s="77">
        <v>1200</v>
      </c>
      <c r="M980" s="23"/>
      <c r="N980" s="24"/>
      <c r="U980" s="33"/>
    </row>
    <row r="981" spans="1:21" s="13" customFormat="1" ht="16.5" customHeight="1" x14ac:dyDescent="0.45">
      <c r="A981" s="14">
        <v>980</v>
      </c>
      <c r="B981" s="14">
        <v>29</v>
      </c>
      <c r="C981" s="52">
        <v>2</v>
      </c>
      <c r="D981" s="16">
        <v>7</v>
      </c>
      <c r="E981" s="17">
        <v>12</v>
      </c>
      <c r="F981" s="18" t="s">
        <v>42</v>
      </c>
      <c r="G981" s="19" t="s">
        <v>14</v>
      </c>
      <c r="H981" s="153" t="s">
        <v>638</v>
      </c>
      <c r="I981" s="28" t="s">
        <v>16</v>
      </c>
      <c r="J981" s="30">
        <v>18900</v>
      </c>
      <c r="K981" s="175"/>
      <c r="L981" s="74">
        <v>900</v>
      </c>
      <c r="M981" s="23"/>
      <c r="N981" s="24"/>
      <c r="U981" s="33"/>
    </row>
    <row r="982" spans="1:21" s="13" customFormat="1" ht="16.5" customHeight="1" x14ac:dyDescent="0.45">
      <c r="A982" s="14">
        <v>981</v>
      </c>
      <c r="B982" s="14">
        <v>30</v>
      </c>
      <c r="C982" s="52">
        <v>2</v>
      </c>
      <c r="D982" s="16">
        <v>10</v>
      </c>
      <c r="E982" s="17">
        <v>19</v>
      </c>
      <c r="F982" s="18" t="s">
        <v>44</v>
      </c>
      <c r="G982" s="19" t="s">
        <v>14</v>
      </c>
      <c r="H982" s="153" t="s">
        <v>638</v>
      </c>
      <c r="I982" s="28" t="s">
        <v>16</v>
      </c>
      <c r="J982" s="30">
        <v>18900</v>
      </c>
      <c r="K982" s="175"/>
      <c r="L982" s="74">
        <v>900</v>
      </c>
      <c r="M982" s="23"/>
      <c r="N982" s="24"/>
      <c r="U982" s="33"/>
    </row>
    <row r="983" spans="1:21" s="13" customFormat="1" ht="16.5" customHeight="1" x14ac:dyDescent="0.45">
      <c r="A983" s="14">
        <v>982</v>
      </c>
      <c r="B983" s="14">
        <v>31</v>
      </c>
      <c r="C983" s="52">
        <v>3</v>
      </c>
      <c r="D983" s="16">
        <v>1</v>
      </c>
      <c r="E983" s="17">
        <v>22</v>
      </c>
      <c r="F983" s="18" t="s">
        <v>149</v>
      </c>
      <c r="G983" s="19" t="s">
        <v>14</v>
      </c>
      <c r="H983" s="153" t="s">
        <v>638</v>
      </c>
      <c r="I983" s="18" t="s">
        <v>60</v>
      </c>
      <c r="J983" s="22">
        <v>25200</v>
      </c>
      <c r="K983" s="173"/>
      <c r="L983" s="77">
        <v>1200</v>
      </c>
      <c r="M983" s="23"/>
      <c r="N983" s="24"/>
      <c r="U983" s="33"/>
    </row>
    <row r="984" spans="1:21" s="13" customFormat="1" ht="16.5" customHeight="1" x14ac:dyDescent="0.45">
      <c r="A984" s="14">
        <v>983</v>
      </c>
      <c r="B984" s="14">
        <v>32</v>
      </c>
      <c r="C984" s="52">
        <v>3</v>
      </c>
      <c r="D984" s="16">
        <v>2</v>
      </c>
      <c r="E984" s="17">
        <v>17</v>
      </c>
      <c r="F984" s="18" t="s">
        <v>641</v>
      </c>
      <c r="G984" s="19" t="s">
        <v>14</v>
      </c>
      <c r="H984" s="153" t="s">
        <v>638</v>
      </c>
      <c r="I984" s="18" t="s">
        <v>60</v>
      </c>
      <c r="J984" s="22">
        <v>25200</v>
      </c>
      <c r="K984" s="173"/>
      <c r="L984" s="77">
        <v>1200</v>
      </c>
      <c r="M984" s="23"/>
      <c r="N984" s="24"/>
      <c r="U984" s="33"/>
    </row>
    <row r="985" spans="1:21" s="13" customFormat="1" ht="16.5" customHeight="1" x14ac:dyDescent="0.45">
      <c r="A985" s="14">
        <v>984</v>
      </c>
      <c r="B985" s="14">
        <v>33</v>
      </c>
      <c r="C985" s="52">
        <v>4</v>
      </c>
      <c r="D985" s="16">
        <v>3</v>
      </c>
      <c r="E985" s="17">
        <v>15</v>
      </c>
      <c r="F985" s="18" t="s">
        <v>482</v>
      </c>
      <c r="G985" s="19" t="s">
        <v>14</v>
      </c>
      <c r="H985" s="153" t="s">
        <v>638</v>
      </c>
      <c r="I985" s="28" t="s">
        <v>16</v>
      </c>
      <c r="J985" s="30">
        <v>18900</v>
      </c>
      <c r="K985" s="175"/>
      <c r="L985" s="74">
        <v>900</v>
      </c>
      <c r="M985" s="23"/>
      <c r="N985" s="24"/>
      <c r="U985" s="33"/>
    </row>
    <row r="986" spans="1:21" s="13" customFormat="1" ht="16.5" customHeight="1" x14ac:dyDescent="0.45">
      <c r="A986" s="14">
        <v>985</v>
      </c>
      <c r="B986" s="14">
        <v>34</v>
      </c>
      <c r="C986" s="52">
        <v>4</v>
      </c>
      <c r="D986" s="16">
        <v>6</v>
      </c>
      <c r="E986" s="17">
        <v>17</v>
      </c>
      <c r="F986" s="18" t="s">
        <v>642</v>
      </c>
      <c r="G986" s="19" t="s">
        <v>14</v>
      </c>
      <c r="H986" s="162" t="s">
        <v>638</v>
      </c>
      <c r="I986" s="48" t="s">
        <v>60</v>
      </c>
      <c r="J986" s="68">
        <v>25200</v>
      </c>
      <c r="K986" s="181"/>
      <c r="L986" s="182">
        <v>1200</v>
      </c>
      <c r="M986" s="69"/>
      <c r="N986" s="24"/>
      <c r="U986" s="33"/>
    </row>
    <row r="987" spans="1:21" s="13" customFormat="1" ht="16.5" customHeight="1" x14ac:dyDescent="0.45">
      <c r="A987" s="14">
        <v>986</v>
      </c>
      <c r="B987" s="35">
        <v>1</v>
      </c>
      <c r="C987" s="49">
        <v>1</v>
      </c>
      <c r="D987" s="50">
        <v>3</v>
      </c>
      <c r="E987" s="51">
        <v>9</v>
      </c>
      <c r="F987" s="87" t="s">
        <v>639</v>
      </c>
      <c r="G987" s="55" t="s">
        <v>14</v>
      </c>
      <c r="H987" s="56" t="s">
        <v>643</v>
      </c>
      <c r="I987" s="110" t="s">
        <v>16</v>
      </c>
      <c r="J987" s="151">
        <v>18900</v>
      </c>
      <c r="K987" s="180"/>
      <c r="L987" s="113">
        <v>900</v>
      </c>
      <c r="M987" s="45">
        <f>SUM(J987:K1026)</f>
        <v>900900</v>
      </c>
      <c r="N987" s="24"/>
      <c r="U987" s="33"/>
    </row>
    <row r="988" spans="1:21" s="13" customFormat="1" ht="16.5" customHeight="1" x14ac:dyDescent="0.45">
      <c r="A988" s="14">
        <v>987</v>
      </c>
      <c r="B988" s="14">
        <v>2</v>
      </c>
      <c r="C988" s="52">
        <v>1</v>
      </c>
      <c r="D988" s="53">
        <v>3</v>
      </c>
      <c r="E988" s="54">
        <v>21</v>
      </c>
      <c r="F988" s="89" t="s">
        <v>305</v>
      </c>
      <c r="G988" s="57" t="s">
        <v>14</v>
      </c>
      <c r="H988" s="58" t="s">
        <v>644</v>
      </c>
      <c r="I988" s="28" t="s">
        <v>16</v>
      </c>
      <c r="J988" s="30">
        <v>18900</v>
      </c>
      <c r="K988" s="175"/>
      <c r="L988" s="74">
        <v>900</v>
      </c>
      <c r="M988" s="23"/>
      <c r="N988" s="24"/>
      <c r="U988" s="33"/>
    </row>
    <row r="989" spans="1:21" s="13" customFormat="1" ht="16.5" customHeight="1" x14ac:dyDescent="0.45">
      <c r="A989" s="14">
        <v>988</v>
      </c>
      <c r="B989" s="14">
        <v>3</v>
      </c>
      <c r="C989" s="52">
        <v>1</v>
      </c>
      <c r="D989" s="53">
        <v>5</v>
      </c>
      <c r="E989" s="54">
        <v>8</v>
      </c>
      <c r="F989" s="89" t="s">
        <v>645</v>
      </c>
      <c r="G989" s="57" t="s">
        <v>14</v>
      </c>
      <c r="H989" s="58" t="s">
        <v>643</v>
      </c>
      <c r="I989" s="28" t="s">
        <v>16</v>
      </c>
      <c r="J989" s="30">
        <v>18900</v>
      </c>
      <c r="K989" s="175"/>
      <c r="L989" s="74">
        <v>900</v>
      </c>
      <c r="M989" s="23"/>
      <c r="N989" s="24"/>
      <c r="O989" s="27">
        <f>SUM(J987:K1026)</f>
        <v>900900</v>
      </c>
      <c r="U989" s="33"/>
    </row>
    <row r="990" spans="1:21" s="13" customFormat="1" ht="16.5" customHeight="1" x14ac:dyDescent="0.45">
      <c r="A990" s="14">
        <v>989</v>
      </c>
      <c r="B990" s="14">
        <v>4</v>
      </c>
      <c r="C990" s="52">
        <v>1</v>
      </c>
      <c r="D990" s="53">
        <v>6</v>
      </c>
      <c r="E990" s="54">
        <v>2</v>
      </c>
      <c r="F990" s="89" t="s">
        <v>19</v>
      </c>
      <c r="G990" s="57" t="s">
        <v>14</v>
      </c>
      <c r="H990" s="58" t="s">
        <v>643</v>
      </c>
      <c r="I990" s="18" t="s">
        <v>60</v>
      </c>
      <c r="J990" s="22">
        <v>25200</v>
      </c>
      <c r="K990" s="173"/>
      <c r="L990" s="77">
        <v>1200</v>
      </c>
      <c r="M990" s="23"/>
      <c r="N990" s="24"/>
      <c r="O990" s="27">
        <f>SUM(L987:L1026)</f>
        <v>42900</v>
      </c>
      <c r="U990" s="33"/>
    </row>
    <row r="991" spans="1:21" s="13" customFormat="1" ht="16.5" customHeight="1" x14ac:dyDescent="0.45">
      <c r="A991" s="14">
        <v>990</v>
      </c>
      <c r="B991" s="14">
        <v>5</v>
      </c>
      <c r="C991" s="52">
        <v>1</v>
      </c>
      <c r="D991" s="53">
        <v>6</v>
      </c>
      <c r="E991" s="54">
        <v>4</v>
      </c>
      <c r="F991" s="89" t="s">
        <v>187</v>
      </c>
      <c r="G991" s="57" t="s">
        <v>14</v>
      </c>
      <c r="H991" s="58" t="s">
        <v>643</v>
      </c>
      <c r="I991" s="18" t="s">
        <v>60</v>
      </c>
      <c r="J991" s="22">
        <v>25200</v>
      </c>
      <c r="K991" s="173"/>
      <c r="L991" s="77">
        <v>1200</v>
      </c>
      <c r="M991" s="23"/>
      <c r="N991" s="24"/>
      <c r="O991" s="27">
        <f>SUM(O989:O990)</f>
        <v>943800</v>
      </c>
      <c r="U991" s="33"/>
    </row>
    <row r="992" spans="1:21" s="13" customFormat="1" ht="16.5" customHeight="1" x14ac:dyDescent="0.45">
      <c r="A992" s="14">
        <v>991</v>
      </c>
      <c r="B992" s="14">
        <v>6</v>
      </c>
      <c r="C992" s="52">
        <v>1</v>
      </c>
      <c r="D992" s="53">
        <v>7</v>
      </c>
      <c r="E992" s="54">
        <v>2</v>
      </c>
      <c r="F992" s="89" t="s">
        <v>646</v>
      </c>
      <c r="G992" s="57" t="s">
        <v>14</v>
      </c>
      <c r="H992" s="58" t="s">
        <v>643</v>
      </c>
      <c r="I992" s="18" t="s">
        <v>60</v>
      </c>
      <c r="J992" s="22">
        <v>25200</v>
      </c>
      <c r="K992" s="173"/>
      <c r="L992" s="77">
        <v>1200</v>
      </c>
      <c r="M992" s="23"/>
      <c r="N992" s="24"/>
      <c r="U992" s="33"/>
    </row>
    <row r="993" spans="1:21" s="13" customFormat="1" ht="16.5" customHeight="1" x14ac:dyDescent="0.45">
      <c r="A993" s="14">
        <v>992</v>
      </c>
      <c r="B993" s="14">
        <v>7</v>
      </c>
      <c r="C993" s="52">
        <v>1</v>
      </c>
      <c r="D993" s="53">
        <v>8</v>
      </c>
      <c r="E993" s="54">
        <v>19</v>
      </c>
      <c r="F993" s="89" t="s">
        <v>238</v>
      </c>
      <c r="G993" s="57" t="s">
        <v>14</v>
      </c>
      <c r="H993" s="58" t="s">
        <v>643</v>
      </c>
      <c r="I993" s="18" t="s">
        <v>60</v>
      </c>
      <c r="J993" s="22">
        <v>25200</v>
      </c>
      <c r="K993" s="173"/>
      <c r="L993" s="77">
        <v>1200</v>
      </c>
      <c r="M993" s="23"/>
      <c r="N993" s="24"/>
      <c r="R993" s="13">
        <f>SUM(R991:R992)</f>
        <v>0</v>
      </c>
      <c r="U993" s="33"/>
    </row>
    <row r="994" spans="1:21" s="13" customFormat="1" ht="16.5" customHeight="1" x14ac:dyDescent="0.45">
      <c r="A994" s="14">
        <v>993</v>
      </c>
      <c r="B994" s="14">
        <v>8</v>
      </c>
      <c r="C994" s="52">
        <v>1</v>
      </c>
      <c r="D994" s="53">
        <v>10</v>
      </c>
      <c r="E994" s="54">
        <v>2</v>
      </c>
      <c r="F994" s="89" t="s">
        <v>647</v>
      </c>
      <c r="G994" s="57" t="s">
        <v>14</v>
      </c>
      <c r="H994" s="58" t="s">
        <v>643</v>
      </c>
      <c r="I994" s="18" t="s">
        <v>60</v>
      </c>
      <c r="J994" s="22">
        <v>25200</v>
      </c>
      <c r="K994" s="173"/>
      <c r="L994" s="77">
        <v>1200</v>
      </c>
      <c r="M994" s="23"/>
      <c r="N994" s="24"/>
      <c r="O994" s="13">
        <v>25200</v>
      </c>
      <c r="P994" s="13">
        <v>1200</v>
      </c>
      <c r="Q994" s="13">
        <v>26400</v>
      </c>
      <c r="U994" s="33"/>
    </row>
    <row r="995" spans="1:21" s="13" customFormat="1" ht="16.5" customHeight="1" x14ac:dyDescent="0.45">
      <c r="A995" s="14">
        <v>994</v>
      </c>
      <c r="B995" s="14">
        <v>9</v>
      </c>
      <c r="C995" s="52">
        <v>1</v>
      </c>
      <c r="D995" s="53">
        <v>11</v>
      </c>
      <c r="E995" s="54">
        <v>11</v>
      </c>
      <c r="F995" s="89" t="s">
        <v>146</v>
      </c>
      <c r="G995" s="57" t="s">
        <v>14</v>
      </c>
      <c r="H995" s="58" t="s">
        <v>643</v>
      </c>
      <c r="I995" s="18" t="s">
        <v>60</v>
      </c>
      <c r="J995" s="22">
        <v>25200</v>
      </c>
      <c r="K995" s="173"/>
      <c r="L995" s="77">
        <v>1200</v>
      </c>
      <c r="M995" s="23"/>
      <c r="N995" s="24"/>
      <c r="O995" s="13">
        <f>O994*40</f>
        <v>1008000</v>
      </c>
      <c r="P995" s="13">
        <f t="shared" ref="P995:Q995" si="133">P994*40</f>
        <v>48000</v>
      </c>
      <c r="Q995" s="13">
        <f t="shared" si="133"/>
        <v>1056000</v>
      </c>
      <c r="U995" s="33"/>
    </row>
    <row r="996" spans="1:21" s="13" customFormat="1" ht="16.5" customHeight="1" x14ac:dyDescent="0.45">
      <c r="A996" s="14">
        <v>995</v>
      </c>
      <c r="B996" s="14">
        <v>10</v>
      </c>
      <c r="C996" s="52">
        <v>1</v>
      </c>
      <c r="D996" s="53">
        <v>11</v>
      </c>
      <c r="E996" s="54">
        <v>19</v>
      </c>
      <c r="F996" s="89" t="s">
        <v>115</v>
      </c>
      <c r="G996" s="57" t="s">
        <v>14</v>
      </c>
      <c r="H996" s="58" t="s">
        <v>643</v>
      </c>
      <c r="I996" s="18" t="s">
        <v>60</v>
      </c>
      <c r="J996" s="22">
        <v>25200</v>
      </c>
      <c r="K996" s="173"/>
      <c r="L996" s="77">
        <v>1200</v>
      </c>
      <c r="M996" s="23"/>
      <c r="N996" s="24"/>
      <c r="O996" s="13">
        <v>-107100</v>
      </c>
      <c r="P996" s="13">
        <v>-5100</v>
      </c>
      <c r="Q996" s="13">
        <v>-112200</v>
      </c>
      <c r="U996" s="33"/>
    </row>
    <row r="997" spans="1:21" s="13" customFormat="1" ht="16.5" customHeight="1" x14ac:dyDescent="0.45">
      <c r="A997" s="14">
        <v>996</v>
      </c>
      <c r="B997" s="14">
        <v>11</v>
      </c>
      <c r="C997" s="52">
        <v>2</v>
      </c>
      <c r="D997" s="53">
        <v>2</v>
      </c>
      <c r="E997" s="54">
        <v>2</v>
      </c>
      <c r="F997" s="89" t="s">
        <v>461</v>
      </c>
      <c r="G997" s="57" t="s">
        <v>14</v>
      </c>
      <c r="H997" s="58" t="s">
        <v>643</v>
      </c>
      <c r="I997" s="28" t="s">
        <v>16</v>
      </c>
      <c r="J997" s="30">
        <v>18900</v>
      </c>
      <c r="K997" s="175"/>
      <c r="L997" s="74">
        <v>900</v>
      </c>
      <c r="M997" s="23"/>
      <c r="N997" s="24"/>
      <c r="O997" s="13">
        <f>SUM(O995:O996)</f>
        <v>900900</v>
      </c>
      <c r="P997" s="13">
        <f t="shared" ref="P997:Q997" si="134">SUM(P995:P996)</f>
        <v>42900</v>
      </c>
      <c r="Q997" s="13">
        <f t="shared" si="134"/>
        <v>943800</v>
      </c>
      <c r="U997" s="33"/>
    </row>
    <row r="998" spans="1:21" s="13" customFormat="1" ht="16.5" customHeight="1" x14ac:dyDescent="0.45">
      <c r="A998" s="14">
        <v>997</v>
      </c>
      <c r="B998" s="14">
        <v>12</v>
      </c>
      <c r="C998" s="52">
        <v>2</v>
      </c>
      <c r="D998" s="53">
        <v>4</v>
      </c>
      <c r="E998" s="54">
        <v>5</v>
      </c>
      <c r="F998" s="89" t="s">
        <v>284</v>
      </c>
      <c r="G998" s="57" t="s">
        <v>14</v>
      </c>
      <c r="H998" s="58" t="s">
        <v>643</v>
      </c>
      <c r="I998" s="18" t="s">
        <v>60</v>
      </c>
      <c r="J998" s="22">
        <v>25200</v>
      </c>
      <c r="K998" s="173"/>
      <c r="L998" s="77">
        <v>1200</v>
      </c>
      <c r="M998" s="23"/>
      <c r="N998" s="24"/>
      <c r="U998" s="33"/>
    </row>
    <row r="999" spans="1:21" s="13" customFormat="1" ht="16.5" customHeight="1" x14ac:dyDescent="0.45">
      <c r="A999" s="14">
        <v>998</v>
      </c>
      <c r="B999" s="14">
        <v>13</v>
      </c>
      <c r="C999" s="52">
        <v>2</v>
      </c>
      <c r="D999" s="53">
        <v>5</v>
      </c>
      <c r="E999" s="54">
        <v>11</v>
      </c>
      <c r="F999" s="89" t="s">
        <v>648</v>
      </c>
      <c r="G999" s="57" t="s">
        <v>14</v>
      </c>
      <c r="H999" s="58" t="s">
        <v>643</v>
      </c>
      <c r="I999" s="18" t="s">
        <v>60</v>
      </c>
      <c r="J999" s="22">
        <v>25200</v>
      </c>
      <c r="K999" s="173"/>
      <c r="L999" s="77">
        <v>1200</v>
      </c>
      <c r="M999" s="23"/>
      <c r="N999" s="24"/>
      <c r="O999" s="13">
        <v>18900</v>
      </c>
      <c r="P999" s="13">
        <v>900</v>
      </c>
      <c r="Q999" s="13">
        <v>19800</v>
      </c>
      <c r="U999" s="33"/>
    </row>
    <row r="1000" spans="1:21" s="13" customFormat="1" ht="16.5" customHeight="1" x14ac:dyDescent="0.45">
      <c r="A1000" s="14">
        <v>999</v>
      </c>
      <c r="B1000" s="14">
        <v>14</v>
      </c>
      <c r="C1000" s="52">
        <v>2</v>
      </c>
      <c r="D1000" s="53">
        <v>5</v>
      </c>
      <c r="E1000" s="54">
        <v>13</v>
      </c>
      <c r="F1000" s="89" t="s">
        <v>649</v>
      </c>
      <c r="G1000" s="57" t="s">
        <v>14</v>
      </c>
      <c r="H1000" s="58" t="s">
        <v>643</v>
      </c>
      <c r="I1000" s="28" t="s">
        <v>16</v>
      </c>
      <c r="J1000" s="30">
        <v>18900</v>
      </c>
      <c r="K1000" s="175"/>
      <c r="L1000" s="74">
        <v>900</v>
      </c>
      <c r="M1000" s="23"/>
      <c r="N1000" s="24"/>
      <c r="O1000" s="13">
        <f>O999*40</f>
        <v>756000</v>
      </c>
      <c r="P1000" s="13">
        <f t="shared" ref="P1000:Q1000" si="135">P999*40</f>
        <v>36000</v>
      </c>
      <c r="Q1000" s="13">
        <f t="shared" si="135"/>
        <v>792000</v>
      </c>
      <c r="U1000" s="33"/>
    </row>
    <row r="1001" spans="1:21" s="13" customFormat="1" ht="16.5" customHeight="1" x14ac:dyDescent="0.45">
      <c r="A1001" s="14">
        <v>1000</v>
      </c>
      <c r="B1001" s="14">
        <v>15</v>
      </c>
      <c r="C1001" s="52">
        <v>2</v>
      </c>
      <c r="D1001" s="53">
        <v>7</v>
      </c>
      <c r="E1001" s="54">
        <v>3</v>
      </c>
      <c r="F1001" s="89" t="s">
        <v>378</v>
      </c>
      <c r="G1001" s="57" t="s">
        <v>14</v>
      </c>
      <c r="H1001" s="58" t="s">
        <v>643</v>
      </c>
      <c r="I1001" s="18" t="s">
        <v>60</v>
      </c>
      <c r="J1001" s="22">
        <v>25200</v>
      </c>
      <c r="K1001" s="173"/>
      <c r="L1001" s="77">
        <v>1200</v>
      </c>
      <c r="M1001" s="23"/>
      <c r="N1001" s="24"/>
      <c r="U1001" s="33"/>
    </row>
    <row r="1002" spans="1:21" s="13" customFormat="1" ht="16.5" customHeight="1" x14ac:dyDescent="0.45">
      <c r="A1002" s="14">
        <v>1001</v>
      </c>
      <c r="B1002" s="14">
        <v>16</v>
      </c>
      <c r="C1002" s="52">
        <v>2</v>
      </c>
      <c r="D1002" s="53">
        <v>7</v>
      </c>
      <c r="E1002" s="54">
        <v>16</v>
      </c>
      <c r="F1002" s="89" t="s">
        <v>650</v>
      </c>
      <c r="G1002" s="57" t="s">
        <v>14</v>
      </c>
      <c r="H1002" s="58" t="s">
        <v>643</v>
      </c>
      <c r="I1002" s="28" t="s">
        <v>16</v>
      </c>
      <c r="J1002" s="30">
        <v>18900</v>
      </c>
      <c r="K1002" s="175"/>
      <c r="L1002" s="74">
        <v>900</v>
      </c>
      <c r="M1002" s="23"/>
      <c r="N1002" s="24"/>
      <c r="O1002" s="13">
        <v>25200</v>
      </c>
      <c r="P1002" s="13">
        <v>1200</v>
      </c>
      <c r="Q1002" s="13">
        <v>26400</v>
      </c>
      <c r="U1002" s="33"/>
    </row>
    <row r="1003" spans="1:21" s="13" customFormat="1" ht="16.5" customHeight="1" x14ac:dyDescent="0.45">
      <c r="A1003" s="14">
        <v>1002</v>
      </c>
      <c r="B1003" s="14">
        <v>17</v>
      </c>
      <c r="C1003" s="52">
        <v>2</v>
      </c>
      <c r="D1003" s="53">
        <v>8</v>
      </c>
      <c r="E1003" s="54">
        <v>12</v>
      </c>
      <c r="F1003" s="89" t="s">
        <v>290</v>
      </c>
      <c r="G1003" s="57" t="s">
        <v>14</v>
      </c>
      <c r="H1003" s="58" t="s">
        <v>643</v>
      </c>
      <c r="I1003" s="28" t="s">
        <v>16</v>
      </c>
      <c r="J1003" s="30">
        <v>18900</v>
      </c>
      <c r="K1003" s="175"/>
      <c r="L1003" s="74">
        <v>900</v>
      </c>
      <c r="M1003" s="23"/>
      <c r="N1003" s="24"/>
      <c r="O1003" s="13">
        <f>O1002*40</f>
        <v>1008000</v>
      </c>
      <c r="P1003" s="13">
        <f t="shared" ref="P1003:Q1003" si="136">P1002*40</f>
        <v>48000</v>
      </c>
      <c r="Q1003" s="13">
        <f t="shared" si="136"/>
        <v>1056000</v>
      </c>
      <c r="U1003" s="33"/>
    </row>
    <row r="1004" spans="1:21" s="13" customFormat="1" ht="16.5" customHeight="1" x14ac:dyDescent="0.45">
      <c r="A1004" s="14">
        <v>1003</v>
      </c>
      <c r="B1004" s="14">
        <v>18</v>
      </c>
      <c r="C1004" s="52">
        <v>2</v>
      </c>
      <c r="D1004" s="53">
        <v>8</v>
      </c>
      <c r="E1004" s="54">
        <v>15</v>
      </c>
      <c r="F1004" s="89" t="s">
        <v>219</v>
      </c>
      <c r="G1004" s="57" t="s">
        <v>14</v>
      </c>
      <c r="H1004" s="58" t="s">
        <v>643</v>
      </c>
      <c r="I1004" s="28" t="s">
        <v>21</v>
      </c>
      <c r="J1004" s="30">
        <v>12600</v>
      </c>
      <c r="K1004" s="175"/>
      <c r="L1004" s="74">
        <v>600</v>
      </c>
      <c r="M1004" s="23"/>
      <c r="N1004" s="24"/>
      <c r="U1004" s="33"/>
    </row>
    <row r="1005" spans="1:21" s="13" customFormat="1" ht="16.5" customHeight="1" x14ac:dyDescent="0.45">
      <c r="A1005" s="14">
        <v>1004</v>
      </c>
      <c r="B1005" s="14">
        <v>19</v>
      </c>
      <c r="C1005" s="52">
        <v>2</v>
      </c>
      <c r="D1005" s="53">
        <v>10</v>
      </c>
      <c r="E1005" s="54">
        <v>12</v>
      </c>
      <c r="F1005" s="89" t="s">
        <v>31</v>
      </c>
      <c r="G1005" s="57" t="s">
        <v>14</v>
      </c>
      <c r="H1005" s="58" t="s">
        <v>643</v>
      </c>
      <c r="I1005" s="18" t="s">
        <v>60</v>
      </c>
      <c r="J1005" s="22">
        <v>25200</v>
      </c>
      <c r="K1005" s="173"/>
      <c r="L1005" s="77">
        <v>1200</v>
      </c>
      <c r="M1005" s="23"/>
      <c r="N1005" s="24"/>
      <c r="S1005" s="34">
        <f>SUM(O997,O1000,O1003)</f>
        <v>2664900</v>
      </c>
      <c r="T1005" s="34">
        <f>SUM(P997,P1000,P1003)</f>
        <v>126900</v>
      </c>
      <c r="U1005" s="34">
        <f>SUM(Q997,Q1000,Q1003)</f>
        <v>2791800</v>
      </c>
    </row>
    <row r="1006" spans="1:21" s="13" customFormat="1" ht="16.5" customHeight="1" x14ac:dyDescent="0.45">
      <c r="A1006" s="14">
        <v>1005</v>
      </c>
      <c r="B1006" s="14">
        <v>20</v>
      </c>
      <c r="C1006" s="52">
        <v>2</v>
      </c>
      <c r="D1006" s="53">
        <v>11</v>
      </c>
      <c r="E1006" s="54">
        <v>13</v>
      </c>
      <c r="F1006" s="89" t="s">
        <v>289</v>
      </c>
      <c r="G1006" s="57" t="s">
        <v>14</v>
      </c>
      <c r="H1006" s="58" t="s">
        <v>643</v>
      </c>
      <c r="I1006" s="28" t="s">
        <v>21</v>
      </c>
      <c r="J1006" s="30">
        <v>12600</v>
      </c>
      <c r="K1006" s="175"/>
      <c r="L1006" s="74">
        <v>600</v>
      </c>
      <c r="M1006" s="23"/>
      <c r="N1006" s="24"/>
      <c r="U1006" s="33"/>
    </row>
    <row r="1007" spans="1:21" s="13" customFormat="1" ht="16.5" customHeight="1" x14ac:dyDescent="0.45">
      <c r="A1007" s="14">
        <v>1006</v>
      </c>
      <c r="B1007" s="14">
        <v>21</v>
      </c>
      <c r="C1007" s="52">
        <v>1</v>
      </c>
      <c r="D1007" s="53">
        <v>4</v>
      </c>
      <c r="E1007" s="54">
        <v>9</v>
      </c>
      <c r="F1007" s="89" t="s">
        <v>494</v>
      </c>
      <c r="G1007" s="57" t="s">
        <v>14</v>
      </c>
      <c r="H1007" s="58" t="s">
        <v>651</v>
      </c>
      <c r="I1007" s="18" t="s">
        <v>60</v>
      </c>
      <c r="J1007" s="22">
        <v>25200</v>
      </c>
      <c r="K1007" s="173"/>
      <c r="L1007" s="77">
        <v>1200</v>
      </c>
      <c r="M1007" s="23"/>
      <c r="N1007" s="24"/>
      <c r="U1007" s="33"/>
    </row>
    <row r="1008" spans="1:21" s="13" customFormat="1" ht="16.5" customHeight="1" x14ac:dyDescent="0.45">
      <c r="A1008" s="14">
        <v>1007</v>
      </c>
      <c r="B1008" s="14">
        <v>22</v>
      </c>
      <c r="C1008" s="52">
        <v>2</v>
      </c>
      <c r="D1008" s="53">
        <v>1</v>
      </c>
      <c r="E1008" s="54">
        <v>12</v>
      </c>
      <c r="F1008" s="89" t="s">
        <v>83</v>
      </c>
      <c r="G1008" s="57" t="s">
        <v>14</v>
      </c>
      <c r="H1008" s="58" t="s">
        <v>651</v>
      </c>
      <c r="I1008" s="18" t="s">
        <v>60</v>
      </c>
      <c r="J1008" s="22">
        <v>25200</v>
      </c>
      <c r="K1008" s="173"/>
      <c r="L1008" s="77">
        <v>1200</v>
      </c>
      <c r="M1008" s="23"/>
      <c r="N1008" s="24"/>
      <c r="U1008" s="33"/>
    </row>
    <row r="1009" spans="1:21" s="13" customFormat="1" ht="16.5" customHeight="1" x14ac:dyDescent="0.45">
      <c r="A1009" s="14">
        <v>1008</v>
      </c>
      <c r="B1009" s="14">
        <v>23</v>
      </c>
      <c r="C1009" s="52">
        <v>2</v>
      </c>
      <c r="D1009" s="53">
        <v>4</v>
      </c>
      <c r="E1009" s="54">
        <v>4</v>
      </c>
      <c r="F1009" s="89" t="s">
        <v>484</v>
      </c>
      <c r="G1009" s="57" t="s">
        <v>14</v>
      </c>
      <c r="H1009" s="58" t="s">
        <v>651</v>
      </c>
      <c r="I1009" s="28" t="s">
        <v>16</v>
      </c>
      <c r="J1009" s="30">
        <v>18900</v>
      </c>
      <c r="K1009" s="175"/>
      <c r="L1009" s="74">
        <v>900</v>
      </c>
      <c r="M1009" s="23"/>
      <c r="N1009" s="24"/>
      <c r="U1009" s="33"/>
    </row>
    <row r="1010" spans="1:21" s="13" customFormat="1" ht="16.5" customHeight="1" x14ac:dyDescent="0.45">
      <c r="A1010" s="14">
        <v>1009</v>
      </c>
      <c r="B1010" s="14">
        <v>24</v>
      </c>
      <c r="C1010" s="52">
        <v>3</v>
      </c>
      <c r="D1010" s="53">
        <v>1</v>
      </c>
      <c r="E1010" s="54">
        <v>6</v>
      </c>
      <c r="F1010" s="89" t="s">
        <v>486</v>
      </c>
      <c r="G1010" s="57" t="s">
        <v>14</v>
      </c>
      <c r="H1010" s="58" t="s">
        <v>651</v>
      </c>
      <c r="I1010" s="28" t="s">
        <v>16</v>
      </c>
      <c r="J1010" s="30">
        <v>18900</v>
      </c>
      <c r="K1010" s="175"/>
      <c r="L1010" s="74">
        <v>900</v>
      </c>
      <c r="M1010" s="23"/>
      <c r="N1010" s="24"/>
      <c r="U1010" s="33"/>
    </row>
    <row r="1011" spans="1:21" s="13" customFormat="1" ht="16.5" customHeight="1" x14ac:dyDescent="0.45">
      <c r="A1011" s="14">
        <v>1010</v>
      </c>
      <c r="B1011" s="14">
        <v>25</v>
      </c>
      <c r="C1011" s="52">
        <v>3</v>
      </c>
      <c r="D1011" s="53">
        <v>2</v>
      </c>
      <c r="E1011" s="54">
        <v>16</v>
      </c>
      <c r="F1011" s="89" t="s">
        <v>304</v>
      </c>
      <c r="G1011" s="57" t="s">
        <v>14</v>
      </c>
      <c r="H1011" s="58" t="s">
        <v>651</v>
      </c>
      <c r="I1011" s="18" t="s">
        <v>60</v>
      </c>
      <c r="J1011" s="22">
        <v>25200</v>
      </c>
      <c r="K1011" s="173"/>
      <c r="L1011" s="77">
        <v>1200</v>
      </c>
      <c r="M1011" s="23"/>
      <c r="N1011" s="24"/>
      <c r="U1011" s="33"/>
    </row>
    <row r="1012" spans="1:21" s="13" customFormat="1" ht="16.5" customHeight="1" x14ac:dyDescent="0.45">
      <c r="A1012" s="14">
        <v>1011</v>
      </c>
      <c r="B1012" s="14">
        <v>26</v>
      </c>
      <c r="C1012" s="52">
        <v>3</v>
      </c>
      <c r="D1012" s="53">
        <v>2</v>
      </c>
      <c r="E1012" s="54">
        <v>19</v>
      </c>
      <c r="F1012" s="89" t="s">
        <v>652</v>
      </c>
      <c r="G1012" s="57" t="s">
        <v>14</v>
      </c>
      <c r="H1012" s="58" t="s">
        <v>651</v>
      </c>
      <c r="I1012" s="18" t="s">
        <v>60</v>
      </c>
      <c r="J1012" s="22">
        <v>25200</v>
      </c>
      <c r="K1012" s="173"/>
      <c r="L1012" s="77">
        <v>1200</v>
      </c>
      <c r="M1012" s="23"/>
      <c r="N1012" s="24"/>
      <c r="U1012" s="33"/>
    </row>
    <row r="1013" spans="1:21" s="13" customFormat="1" ht="16.5" customHeight="1" x14ac:dyDescent="0.45">
      <c r="A1013" s="14">
        <v>1012</v>
      </c>
      <c r="B1013" s="14">
        <v>27</v>
      </c>
      <c r="C1013" s="52">
        <v>3</v>
      </c>
      <c r="D1013" s="53">
        <v>3</v>
      </c>
      <c r="E1013" s="54">
        <v>12</v>
      </c>
      <c r="F1013" s="89" t="s">
        <v>653</v>
      </c>
      <c r="G1013" s="57" t="s">
        <v>14</v>
      </c>
      <c r="H1013" s="58" t="s">
        <v>651</v>
      </c>
      <c r="I1013" s="18" t="s">
        <v>60</v>
      </c>
      <c r="J1013" s="22">
        <v>25200</v>
      </c>
      <c r="K1013" s="173"/>
      <c r="L1013" s="77">
        <v>1200</v>
      </c>
      <c r="M1013" s="23"/>
      <c r="N1013" s="24"/>
      <c r="U1013" s="33"/>
    </row>
    <row r="1014" spans="1:21" s="13" customFormat="1" ht="16.5" customHeight="1" x14ac:dyDescent="0.45">
      <c r="A1014" s="14">
        <v>1013</v>
      </c>
      <c r="B1014" s="14">
        <v>28</v>
      </c>
      <c r="C1014" s="52">
        <v>3</v>
      </c>
      <c r="D1014" s="53">
        <v>5</v>
      </c>
      <c r="E1014" s="54">
        <v>7</v>
      </c>
      <c r="F1014" s="89" t="s">
        <v>175</v>
      </c>
      <c r="G1014" s="57" t="s">
        <v>14</v>
      </c>
      <c r="H1014" s="58" t="s">
        <v>651</v>
      </c>
      <c r="I1014" s="18" t="s">
        <v>60</v>
      </c>
      <c r="J1014" s="22">
        <v>25200</v>
      </c>
      <c r="K1014" s="173"/>
      <c r="L1014" s="77">
        <v>1200</v>
      </c>
      <c r="M1014" s="23"/>
      <c r="N1014" s="24"/>
      <c r="U1014" s="33"/>
    </row>
    <row r="1015" spans="1:21" s="13" customFormat="1" ht="16.5" customHeight="1" x14ac:dyDescent="0.45">
      <c r="A1015" s="14">
        <v>1014</v>
      </c>
      <c r="B1015" s="14">
        <v>29</v>
      </c>
      <c r="C1015" s="52">
        <v>3</v>
      </c>
      <c r="D1015" s="53">
        <v>7</v>
      </c>
      <c r="E1015" s="54">
        <v>15</v>
      </c>
      <c r="F1015" s="89" t="s">
        <v>488</v>
      </c>
      <c r="G1015" s="57" t="s">
        <v>14</v>
      </c>
      <c r="H1015" s="58" t="s">
        <v>651</v>
      </c>
      <c r="I1015" s="28" t="s">
        <v>16</v>
      </c>
      <c r="J1015" s="30">
        <v>18900</v>
      </c>
      <c r="K1015" s="175"/>
      <c r="L1015" s="74">
        <v>900</v>
      </c>
      <c r="M1015" s="23"/>
      <c r="N1015" s="24"/>
      <c r="U1015" s="33"/>
    </row>
    <row r="1016" spans="1:21" s="13" customFormat="1" ht="16.5" customHeight="1" x14ac:dyDescent="0.45">
      <c r="A1016" s="14">
        <v>1015</v>
      </c>
      <c r="B1016" s="14">
        <v>30</v>
      </c>
      <c r="C1016" s="52">
        <v>3</v>
      </c>
      <c r="D1016" s="53">
        <v>7</v>
      </c>
      <c r="E1016" s="54">
        <v>18</v>
      </c>
      <c r="F1016" s="89" t="s">
        <v>463</v>
      </c>
      <c r="G1016" s="57" t="s">
        <v>14</v>
      </c>
      <c r="H1016" s="58" t="s">
        <v>651</v>
      </c>
      <c r="I1016" s="18" t="s">
        <v>60</v>
      </c>
      <c r="J1016" s="22">
        <v>25200</v>
      </c>
      <c r="K1016" s="173"/>
      <c r="L1016" s="77">
        <v>1200</v>
      </c>
      <c r="M1016" s="23"/>
      <c r="N1016" s="24"/>
      <c r="U1016" s="33"/>
    </row>
    <row r="1017" spans="1:21" s="13" customFormat="1" ht="16.5" customHeight="1" x14ac:dyDescent="0.45">
      <c r="A1017" s="14">
        <v>1016</v>
      </c>
      <c r="B1017" s="14">
        <v>31</v>
      </c>
      <c r="C1017" s="52">
        <v>3</v>
      </c>
      <c r="D1017" s="53">
        <v>8</v>
      </c>
      <c r="E1017" s="54">
        <v>22</v>
      </c>
      <c r="F1017" s="89" t="s">
        <v>654</v>
      </c>
      <c r="G1017" s="57" t="s">
        <v>14</v>
      </c>
      <c r="H1017" s="58" t="s">
        <v>651</v>
      </c>
      <c r="I1017" s="28" t="s">
        <v>21</v>
      </c>
      <c r="J1017" s="30">
        <v>12600</v>
      </c>
      <c r="K1017" s="175"/>
      <c r="L1017" s="74">
        <v>600</v>
      </c>
      <c r="M1017" s="23"/>
      <c r="N1017" s="24"/>
      <c r="U1017" s="33"/>
    </row>
    <row r="1018" spans="1:21" s="13" customFormat="1" ht="16.5" customHeight="1" x14ac:dyDescent="0.45">
      <c r="A1018" s="14">
        <v>1017</v>
      </c>
      <c r="B1018" s="14">
        <v>32</v>
      </c>
      <c r="C1018" s="52">
        <v>4</v>
      </c>
      <c r="D1018" s="53">
        <v>2</v>
      </c>
      <c r="E1018" s="54">
        <v>8</v>
      </c>
      <c r="F1018" s="89" t="s">
        <v>655</v>
      </c>
      <c r="G1018" s="57" t="s">
        <v>14</v>
      </c>
      <c r="H1018" s="58" t="s">
        <v>651</v>
      </c>
      <c r="I1018" s="18" t="s">
        <v>60</v>
      </c>
      <c r="J1018" s="22">
        <v>25200</v>
      </c>
      <c r="K1018" s="173"/>
      <c r="L1018" s="77">
        <v>1200</v>
      </c>
      <c r="M1018" s="23"/>
      <c r="N1018" s="24"/>
      <c r="U1018" s="33"/>
    </row>
    <row r="1019" spans="1:21" s="13" customFormat="1" ht="16.5" customHeight="1" x14ac:dyDescent="0.45">
      <c r="A1019" s="14">
        <v>1018</v>
      </c>
      <c r="B1019" s="14">
        <v>33</v>
      </c>
      <c r="C1019" s="52">
        <v>4</v>
      </c>
      <c r="D1019" s="53">
        <v>2</v>
      </c>
      <c r="E1019" s="54">
        <v>23</v>
      </c>
      <c r="F1019" s="89" t="s">
        <v>387</v>
      </c>
      <c r="G1019" s="57" t="s">
        <v>14</v>
      </c>
      <c r="H1019" s="58" t="s">
        <v>651</v>
      </c>
      <c r="I1019" s="18" t="s">
        <v>60</v>
      </c>
      <c r="J1019" s="22">
        <v>25200</v>
      </c>
      <c r="K1019" s="173"/>
      <c r="L1019" s="77">
        <v>1200</v>
      </c>
      <c r="M1019" s="23"/>
      <c r="N1019" s="24"/>
      <c r="U1019" s="33"/>
    </row>
    <row r="1020" spans="1:21" s="13" customFormat="1" ht="16.5" customHeight="1" x14ac:dyDescent="0.45">
      <c r="A1020" s="14">
        <v>1019</v>
      </c>
      <c r="B1020" s="14">
        <v>34</v>
      </c>
      <c r="C1020" s="52">
        <v>4</v>
      </c>
      <c r="D1020" s="53">
        <v>4</v>
      </c>
      <c r="E1020" s="54">
        <v>13</v>
      </c>
      <c r="F1020" s="89" t="s">
        <v>52</v>
      </c>
      <c r="G1020" s="57" t="s">
        <v>14</v>
      </c>
      <c r="H1020" s="58" t="s">
        <v>651</v>
      </c>
      <c r="I1020" s="18" t="s">
        <v>60</v>
      </c>
      <c r="J1020" s="22">
        <v>25200</v>
      </c>
      <c r="K1020" s="173"/>
      <c r="L1020" s="77">
        <v>1200</v>
      </c>
      <c r="M1020" s="23"/>
      <c r="N1020" s="24"/>
      <c r="U1020" s="33"/>
    </row>
    <row r="1021" spans="1:21" s="13" customFormat="1" ht="16.5" customHeight="1" x14ac:dyDescent="0.45">
      <c r="A1021" s="14">
        <v>1020</v>
      </c>
      <c r="B1021" s="14">
        <v>35</v>
      </c>
      <c r="C1021" s="52">
        <v>4</v>
      </c>
      <c r="D1021" s="53">
        <v>6</v>
      </c>
      <c r="E1021" s="54">
        <v>18</v>
      </c>
      <c r="F1021" s="89" t="s">
        <v>656</v>
      </c>
      <c r="G1021" s="57" t="s">
        <v>14</v>
      </c>
      <c r="H1021" s="58" t="s">
        <v>651</v>
      </c>
      <c r="I1021" s="18" t="s">
        <v>60</v>
      </c>
      <c r="J1021" s="22">
        <v>25200</v>
      </c>
      <c r="K1021" s="173"/>
      <c r="L1021" s="77">
        <v>1200</v>
      </c>
      <c r="M1021" s="23"/>
      <c r="N1021" s="24"/>
      <c r="U1021" s="33"/>
    </row>
    <row r="1022" spans="1:21" s="13" customFormat="1" ht="16.5" customHeight="1" x14ac:dyDescent="0.45">
      <c r="A1022" s="14">
        <v>1021</v>
      </c>
      <c r="B1022" s="14">
        <v>36</v>
      </c>
      <c r="C1022" s="52">
        <v>5</v>
      </c>
      <c r="D1022" s="53">
        <v>5</v>
      </c>
      <c r="E1022" s="54">
        <v>3</v>
      </c>
      <c r="F1022" s="89" t="s">
        <v>657</v>
      </c>
      <c r="G1022" s="57" t="s">
        <v>14</v>
      </c>
      <c r="H1022" s="58" t="s">
        <v>651</v>
      </c>
      <c r="I1022" s="18" t="s">
        <v>60</v>
      </c>
      <c r="J1022" s="22">
        <v>25200</v>
      </c>
      <c r="K1022" s="173"/>
      <c r="L1022" s="77">
        <v>1200</v>
      </c>
      <c r="M1022" s="23"/>
      <c r="N1022" s="24"/>
      <c r="U1022" s="33"/>
    </row>
    <row r="1023" spans="1:21" s="13" customFormat="1" ht="16.5" customHeight="1" x14ac:dyDescent="0.45">
      <c r="A1023" s="14">
        <v>1022</v>
      </c>
      <c r="B1023" s="14">
        <v>37</v>
      </c>
      <c r="C1023" s="52">
        <v>5</v>
      </c>
      <c r="D1023" s="53">
        <v>6</v>
      </c>
      <c r="E1023" s="54">
        <v>15</v>
      </c>
      <c r="F1023" s="89" t="s">
        <v>658</v>
      </c>
      <c r="G1023" s="57" t="s">
        <v>14</v>
      </c>
      <c r="H1023" s="58" t="s">
        <v>651</v>
      </c>
      <c r="I1023" s="18" t="s">
        <v>60</v>
      </c>
      <c r="J1023" s="22">
        <v>25200</v>
      </c>
      <c r="K1023" s="173"/>
      <c r="L1023" s="77">
        <v>1200</v>
      </c>
      <c r="M1023" s="23"/>
      <c r="N1023" s="24"/>
      <c r="U1023" s="33"/>
    </row>
    <row r="1024" spans="1:21" s="13" customFormat="1" ht="16.5" customHeight="1" x14ac:dyDescent="0.45">
      <c r="A1024" s="14">
        <v>1023</v>
      </c>
      <c r="B1024" s="14">
        <v>38</v>
      </c>
      <c r="C1024" s="52">
        <v>5</v>
      </c>
      <c r="D1024" s="53">
        <v>7</v>
      </c>
      <c r="E1024" s="54">
        <v>8</v>
      </c>
      <c r="F1024" s="89" t="s">
        <v>659</v>
      </c>
      <c r="G1024" s="57" t="s">
        <v>14</v>
      </c>
      <c r="H1024" s="58" t="s">
        <v>651</v>
      </c>
      <c r="I1024" s="28" t="s">
        <v>16</v>
      </c>
      <c r="J1024" s="30">
        <v>18900</v>
      </c>
      <c r="K1024" s="175"/>
      <c r="L1024" s="74">
        <v>900</v>
      </c>
      <c r="M1024" s="23"/>
      <c r="N1024" s="24"/>
      <c r="U1024" s="33"/>
    </row>
    <row r="1025" spans="1:21" s="13" customFormat="1" ht="16.5" customHeight="1" x14ac:dyDescent="0.45">
      <c r="A1025" s="14">
        <v>1024</v>
      </c>
      <c r="B1025" s="14">
        <v>39</v>
      </c>
      <c r="C1025" s="52">
        <v>5</v>
      </c>
      <c r="D1025" s="53">
        <v>7</v>
      </c>
      <c r="E1025" s="54">
        <v>17</v>
      </c>
      <c r="F1025" s="89" t="s">
        <v>660</v>
      </c>
      <c r="G1025" s="57" t="s">
        <v>14</v>
      </c>
      <c r="H1025" s="58" t="s">
        <v>651</v>
      </c>
      <c r="I1025" s="18" t="s">
        <v>60</v>
      </c>
      <c r="J1025" s="22">
        <v>25200</v>
      </c>
      <c r="K1025" s="173"/>
      <c r="L1025" s="77">
        <v>1200</v>
      </c>
      <c r="M1025" s="23"/>
      <c r="N1025" s="24"/>
      <c r="U1025" s="33"/>
    </row>
    <row r="1026" spans="1:21" s="13" customFormat="1" ht="16.5" customHeight="1" x14ac:dyDescent="0.45">
      <c r="A1026" s="14">
        <v>1025</v>
      </c>
      <c r="B1026" s="14">
        <v>40</v>
      </c>
      <c r="C1026" s="52">
        <v>6</v>
      </c>
      <c r="D1026" s="53">
        <v>5</v>
      </c>
      <c r="E1026" s="54">
        <v>23</v>
      </c>
      <c r="F1026" s="89" t="s">
        <v>661</v>
      </c>
      <c r="G1026" s="57" t="s">
        <v>14</v>
      </c>
      <c r="H1026" s="58" t="s">
        <v>651</v>
      </c>
      <c r="I1026" s="48" t="s">
        <v>60</v>
      </c>
      <c r="J1026" s="22">
        <v>25200</v>
      </c>
      <c r="K1026" s="173"/>
      <c r="L1026" s="77">
        <v>1200</v>
      </c>
      <c r="M1026" s="23"/>
      <c r="N1026" s="24"/>
      <c r="U1026" s="33"/>
    </row>
    <row r="1027" spans="1:21" s="13" customFormat="1" ht="16.5" customHeight="1" x14ac:dyDescent="0.45">
      <c r="A1027" s="14">
        <v>1026</v>
      </c>
      <c r="B1027" s="35">
        <v>1</v>
      </c>
      <c r="C1027" s="49">
        <v>1</v>
      </c>
      <c r="D1027" s="50">
        <v>2</v>
      </c>
      <c r="E1027" s="51">
        <v>3</v>
      </c>
      <c r="F1027" s="87" t="s">
        <v>662</v>
      </c>
      <c r="G1027" s="55" t="s">
        <v>14</v>
      </c>
      <c r="H1027" s="56" t="s">
        <v>663</v>
      </c>
      <c r="I1027" s="39" t="s">
        <v>60</v>
      </c>
      <c r="J1027" s="42">
        <v>32800</v>
      </c>
      <c r="K1027" s="70"/>
      <c r="L1027" s="71">
        <v>1600</v>
      </c>
      <c r="M1027" s="45">
        <f>SUM(J1027:K1049)</f>
        <v>746200</v>
      </c>
      <c r="N1027" s="24"/>
      <c r="U1027" s="33"/>
    </row>
    <row r="1028" spans="1:21" s="13" customFormat="1" ht="16.5" customHeight="1" x14ac:dyDescent="0.45">
      <c r="A1028" s="14">
        <v>1027</v>
      </c>
      <c r="B1028" s="14">
        <v>2</v>
      </c>
      <c r="C1028" s="52">
        <v>1</v>
      </c>
      <c r="D1028" s="53">
        <v>11</v>
      </c>
      <c r="E1028" s="54">
        <v>7</v>
      </c>
      <c r="F1028" s="89" t="s">
        <v>227</v>
      </c>
      <c r="G1028" s="57" t="s">
        <v>14</v>
      </c>
      <c r="H1028" s="58" t="s">
        <v>663</v>
      </c>
      <c r="I1028" s="18" t="s">
        <v>60</v>
      </c>
      <c r="J1028" s="46">
        <v>32800</v>
      </c>
      <c r="K1028" s="76"/>
      <c r="L1028" s="77">
        <v>1600</v>
      </c>
      <c r="M1028" s="23"/>
      <c r="N1028" s="24"/>
      <c r="U1028" s="33"/>
    </row>
    <row r="1029" spans="1:21" s="13" customFormat="1" ht="16.5" customHeight="1" x14ac:dyDescent="0.45">
      <c r="A1029" s="14">
        <v>1028</v>
      </c>
      <c r="B1029" s="14">
        <v>3</v>
      </c>
      <c r="C1029" s="52">
        <v>2</v>
      </c>
      <c r="D1029" s="53">
        <v>10</v>
      </c>
      <c r="E1029" s="54">
        <v>22</v>
      </c>
      <c r="F1029" s="89" t="s">
        <v>360</v>
      </c>
      <c r="G1029" s="57" t="s">
        <v>14</v>
      </c>
      <c r="H1029" s="58" t="s">
        <v>663</v>
      </c>
      <c r="I1029" s="18" t="s">
        <v>60</v>
      </c>
      <c r="J1029" s="46">
        <v>32800</v>
      </c>
      <c r="K1029" s="76"/>
      <c r="L1029" s="77">
        <v>1600</v>
      </c>
      <c r="M1029" s="23"/>
      <c r="N1029" s="24"/>
      <c r="O1029" s="27">
        <f>SUM(J1027:K1049)</f>
        <v>746200</v>
      </c>
      <c r="U1029" s="33"/>
    </row>
    <row r="1030" spans="1:21" s="13" customFormat="1" ht="16.5" customHeight="1" x14ac:dyDescent="0.45">
      <c r="A1030" s="14">
        <v>1029</v>
      </c>
      <c r="B1030" s="14">
        <v>4</v>
      </c>
      <c r="C1030" s="52">
        <v>2</v>
      </c>
      <c r="D1030" s="53">
        <v>11</v>
      </c>
      <c r="E1030" s="54">
        <v>7</v>
      </c>
      <c r="F1030" s="89" t="s">
        <v>664</v>
      </c>
      <c r="G1030" s="57" t="s">
        <v>14</v>
      </c>
      <c r="H1030" s="58" t="s">
        <v>663</v>
      </c>
      <c r="I1030" s="18" t="s">
        <v>60</v>
      </c>
      <c r="J1030" s="46">
        <v>32800</v>
      </c>
      <c r="K1030" s="76"/>
      <c r="L1030" s="77">
        <v>1600</v>
      </c>
      <c r="M1030" s="23"/>
      <c r="N1030" s="24"/>
      <c r="O1030" s="27">
        <f>SUM(L1027:L1049)</f>
        <v>36400</v>
      </c>
      <c r="U1030" s="33"/>
    </row>
    <row r="1031" spans="1:21" s="13" customFormat="1" ht="16.5" customHeight="1" x14ac:dyDescent="0.45">
      <c r="A1031" s="14">
        <v>1030</v>
      </c>
      <c r="B1031" s="14">
        <v>5</v>
      </c>
      <c r="C1031" s="52">
        <v>2</v>
      </c>
      <c r="D1031" s="53">
        <v>11</v>
      </c>
      <c r="E1031" s="54">
        <v>19</v>
      </c>
      <c r="F1031" s="89" t="s">
        <v>362</v>
      </c>
      <c r="G1031" s="57" t="s">
        <v>14</v>
      </c>
      <c r="H1031" s="58" t="s">
        <v>663</v>
      </c>
      <c r="I1031" s="18" t="s">
        <v>60</v>
      </c>
      <c r="J1031" s="46">
        <v>32800</v>
      </c>
      <c r="K1031" s="76"/>
      <c r="L1031" s="77">
        <v>1600</v>
      </c>
      <c r="M1031" s="23"/>
      <c r="N1031" s="24"/>
      <c r="O1031" s="27">
        <f>SUM(O1029:O1030)</f>
        <v>782600</v>
      </c>
      <c r="U1031" s="33"/>
    </row>
    <row r="1032" spans="1:21" s="13" customFormat="1" ht="16.5" customHeight="1" x14ac:dyDescent="0.45">
      <c r="A1032" s="14">
        <v>1031</v>
      </c>
      <c r="B1032" s="14">
        <v>6</v>
      </c>
      <c r="C1032" s="52">
        <v>3</v>
      </c>
      <c r="D1032" s="53">
        <v>3</v>
      </c>
      <c r="E1032" s="54">
        <v>5</v>
      </c>
      <c r="F1032" s="89" t="s">
        <v>403</v>
      </c>
      <c r="G1032" s="57" t="s">
        <v>14</v>
      </c>
      <c r="H1032" s="58" t="s">
        <v>663</v>
      </c>
      <c r="I1032" s="18" t="s">
        <v>60</v>
      </c>
      <c r="J1032" s="46">
        <v>32800</v>
      </c>
      <c r="K1032" s="76"/>
      <c r="L1032" s="77">
        <v>1600</v>
      </c>
      <c r="M1032" s="23"/>
      <c r="N1032" s="24"/>
      <c r="U1032" s="33"/>
    </row>
    <row r="1033" spans="1:21" s="13" customFormat="1" ht="16.5" customHeight="1" x14ac:dyDescent="0.45">
      <c r="A1033" s="14">
        <v>1032</v>
      </c>
      <c r="B1033" s="14">
        <v>7</v>
      </c>
      <c r="C1033" s="52">
        <v>3</v>
      </c>
      <c r="D1033" s="53">
        <v>4</v>
      </c>
      <c r="E1033" s="54">
        <v>12</v>
      </c>
      <c r="F1033" s="183" t="s">
        <v>665</v>
      </c>
      <c r="G1033" s="57" t="s">
        <v>14</v>
      </c>
      <c r="H1033" s="58" t="s">
        <v>663</v>
      </c>
      <c r="I1033" s="18" t="s">
        <v>60</v>
      </c>
      <c r="J1033" s="46">
        <v>32800</v>
      </c>
      <c r="K1033" s="76"/>
      <c r="L1033" s="77">
        <v>1600</v>
      </c>
      <c r="M1033" s="23"/>
      <c r="N1033" s="24"/>
      <c r="O1033" s="13">
        <v>32800</v>
      </c>
      <c r="P1033" s="13">
        <v>1600</v>
      </c>
      <c r="Q1033" s="13">
        <v>34400</v>
      </c>
      <c r="U1033" s="33"/>
    </row>
    <row r="1034" spans="1:21" s="13" customFormat="1" ht="16.5" customHeight="1" x14ac:dyDescent="0.45">
      <c r="A1034" s="14">
        <v>1033</v>
      </c>
      <c r="B1034" s="14">
        <v>8</v>
      </c>
      <c r="C1034" s="52">
        <v>3</v>
      </c>
      <c r="D1034" s="53">
        <v>6</v>
      </c>
      <c r="E1034" s="54">
        <v>6</v>
      </c>
      <c r="F1034" s="89" t="s">
        <v>366</v>
      </c>
      <c r="G1034" s="57" t="s">
        <v>14</v>
      </c>
      <c r="H1034" s="58" t="s">
        <v>663</v>
      </c>
      <c r="I1034" s="18" t="s">
        <v>60</v>
      </c>
      <c r="J1034" s="46">
        <v>32800</v>
      </c>
      <c r="K1034" s="76"/>
      <c r="L1034" s="77">
        <v>1600</v>
      </c>
      <c r="M1034" s="23"/>
      <c r="N1034" s="24"/>
      <c r="O1034" s="13">
        <f>O1033*23</f>
        <v>754400</v>
      </c>
      <c r="P1034" s="13">
        <f t="shared" ref="P1034:Q1034" si="137">P1033*23</f>
        <v>36800</v>
      </c>
      <c r="Q1034" s="13">
        <f t="shared" si="137"/>
        <v>791200</v>
      </c>
      <c r="U1034" s="33"/>
    </row>
    <row r="1035" spans="1:21" s="13" customFormat="1" ht="16.5" customHeight="1" x14ac:dyDescent="0.45">
      <c r="A1035" s="14">
        <v>1034</v>
      </c>
      <c r="B1035" s="14">
        <v>9</v>
      </c>
      <c r="C1035" s="52">
        <v>3</v>
      </c>
      <c r="D1035" s="53">
        <v>9</v>
      </c>
      <c r="E1035" s="54">
        <v>22</v>
      </c>
      <c r="F1035" s="89" t="s">
        <v>666</v>
      </c>
      <c r="G1035" s="57" t="s">
        <v>14</v>
      </c>
      <c r="H1035" s="58" t="s">
        <v>663</v>
      </c>
      <c r="I1035" s="18" t="s">
        <v>60</v>
      </c>
      <c r="J1035" s="46">
        <v>32800</v>
      </c>
      <c r="K1035" s="76"/>
      <c r="L1035" s="77">
        <v>1600</v>
      </c>
      <c r="M1035" s="23"/>
      <c r="N1035" s="24"/>
      <c r="O1035" s="13">
        <v>-8200</v>
      </c>
      <c r="P1035" s="13">
        <v>-400</v>
      </c>
      <c r="Q1035" s="13">
        <v>-8600</v>
      </c>
      <c r="U1035" s="33"/>
    </row>
    <row r="1036" spans="1:21" s="13" customFormat="1" ht="16.5" customHeight="1" x14ac:dyDescent="0.45">
      <c r="A1036" s="14">
        <v>1035</v>
      </c>
      <c r="B1036" s="14">
        <v>10</v>
      </c>
      <c r="C1036" s="52">
        <v>4</v>
      </c>
      <c r="D1036" s="53">
        <v>3</v>
      </c>
      <c r="E1036" s="54">
        <v>15</v>
      </c>
      <c r="F1036" s="89" t="s">
        <v>482</v>
      </c>
      <c r="G1036" s="57" t="s">
        <v>14</v>
      </c>
      <c r="H1036" s="58" t="s">
        <v>663</v>
      </c>
      <c r="I1036" s="18" t="s">
        <v>60</v>
      </c>
      <c r="J1036" s="46">
        <v>32800</v>
      </c>
      <c r="K1036" s="76"/>
      <c r="L1036" s="77">
        <v>1600</v>
      </c>
      <c r="M1036" s="23"/>
      <c r="N1036" s="24"/>
      <c r="O1036" s="13">
        <f>SUM(O1034:O1035)</f>
        <v>746200</v>
      </c>
      <c r="P1036" s="13">
        <f t="shared" ref="P1036:Q1036" si="138">SUM(P1034:P1035)</f>
        <v>36400</v>
      </c>
      <c r="Q1036" s="13">
        <f t="shared" si="138"/>
        <v>782600</v>
      </c>
      <c r="U1036" s="33"/>
    </row>
    <row r="1037" spans="1:21" s="13" customFormat="1" ht="16.5" customHeight="1" x14ac:dyDescent="0.45">
      <c r="A1037" s="14">
        <v>1036</v>
      </c>
      <c r="B1037" s="14">
        <v>11</v>
      </c>
      <c r="C1037" s="52">
        <v>4</v>
      </c>
      <c r="D1037" s="53">
        <v>4</v>
      </c>
      <c r="E1037" s="54">
        <v>10</v>
      </c>
      <c r="F1037" s="89" t="s">
        <v>51</v>
      </c>
      <c r="G1037" s="57" t="s">
        <v>14</v>
      </c>
      <c r="H1037" s="58" t="s">
        <v>667</v>
      </c>
      <c r="I1037" s="18" t="s">
        <v>60</v>
      </c>
      <c r="J1037" s="46">
        <v>32800</v>
      </c>
      <c r="K1037" s="76"/>
      <c r="L1037" s="77">
        <v>1600</v>
      </c>
      <c r="M1037" s="23"/>
      <c r="N1037" s="24"/>
      <c r="U1037" s="33"/>
    </row>
    <row r="1038" spans="1:21" s="13" customFormat="1" ht="16.5" customHeight="1" x14ac:dyDescent="0.45">
      <c r="A1038" s="14">
        <v>1037</v>
      </c>
      <c r="B1038" s="14">
        <v>12</v>
      </c>
      <c r="C1038" s="52">
        <v>4</v>
      </c>
      <c r="D1038" s="53">
        <v>5</v>
      </c>
      <c r="E1038" s="54">
        <v>15</v>
      </c>
      <c r="F1038" s="89" t="s">
        <v>79</v>
      </c>
      <c r="G1038" s="57" t="s">
        <v>14</v>
      </c>
      <c r="H1038" s="58" t="s">
        <v>663</v>
      </c>
      <c r="I1038" s="18" t="s">
        <v>60</v>
      </c>
      <c r="J1038" s="46">
        <v>32800</v>
      </c>
      <c r="K1038" s="76"/>
      <c r="L1038" s="77">
        <v>1600</v>
      </c>
      <c r="M1038" s="23"/>
      <c r="N1038" s="24"/>
      <c r="O1038" s="13">
        <v>24600</v>
      </c>
      <c r="P1038" s="13">
        <v>1200</v>
      </c>
      <c r="Q1038" s="13">
        <v>25800</v>
      </c>
      <c r="U1038" s="33"/>
    </row>
    <row r="1039" spans="1:21" s="13" customFormat="1" ht="16.5" customHeight="1" x14ac:dyDescent="0.45">
      <c r="A1039" s="14">
        <v>1038</v>
      </c>
      <c r="B1039" s="14">
        <v>13</v>
      </c>
      <c r="C1039" s="52">
        <v>4</v>
      </c>
      <c r="D1039" s="53">
        <v>8</v>
      </c>
      <c r="E1039" s="54">
        <v>23</v>
      </c>
      <c r="F1039" s="89" t="s">
        <v>585</v>
      </c>
      <c r="G1039" s="57" t="s">
        <v>14</v>
      </c>
      <c r="H1039" s="58" t="s">
        <v>663</v>
      </c>
      <c r="I1039" s="18" t="s">
        <v>60</v>
      </c>
      <c r="J1039" s="46">
        <v>32800</v>
      </c>
      <c r="K1039" s="76"/>
      <c r="L1039" s="77">
        <v>1600</v>
      </c>
      <c r="M1039" s="23"/>
      <c r="N1039" s="24"/>
      <c r="O1039" s="13">
        <f>O1038*22</f>
        <v>541200</v>
      </c>
      <c r="P1039" s="13">
        <f t="shared" ref="P1039:Q1039" si="139">P1038*22</f>
        <v>26400</v>
      </c>
      <c r="Q1039" s="13">
        <f t="shared" si="139"/>
        <v>567600</v>
      </c>
      <c r="U1039" s="33"/>
    </row>
    <row r="1040" spans="1:21" s="13" customFormat="1" ht="16.5" customHeight="1" x14ac:dyDescent="0.45">
      <c r="A1040" s="14">
        <v>1039</v>
      </c>
      <c r="B1040" s="14">
        <v>14</v>
      </c>
      <c r="C1040" s="92">
        <v>2</v>
      </c>
      <c r="D1040" s="93">
        <v>11</v>
      </c>
      <c r="E1040" s="94">
        <v>11</v>
      </c>
      <c r="F1040" s="95" t="s">
        <v>668</v>
      </c>
      <c r="G1040" s="96" t="s">
        <v>174</v>
      </c>
      <c r="H1040" s="97" t="s">
        <v>669</v>
      </c>
      <c r="I1040" s="81" t="s">
        <v>60</v>
      </c>
      <c r="J1040" s="115"/>
      <c r="K1040" s="85">
        <v>32800</v>
      </c>
      <c r="L1040" s="116">
        <v>1600</v>
      </c>
      <c r="M1040" s="23"/>
      <c r="N1040" s="24"/>
      <c r="U1040" s="33"/>
    </row>
    <row r="1041" spans="1:31" s="13" customFormat="1" ht="16.5" customHeight="1" x14ac:dyDescent="0.45">
      <c r="A1041" s="14">
        <v>1040</v>
      </c>
      <c r="B1041" s="14">
        <v>15</v>
      </c>
      <c r="C1041" s="52">
        <v>3</v>
      </c>
      <c r="D1041" s="53">
        <v>7</v>
      </c>
      <c r="E1041" s="54">
        <v>22</v>
      </c>
      <c r="F1041" s="89" t="s">
        <v>89</v>
      </c>
      <c r="G1041" s="57" t="s">
        <v>14</v>
      </c>
      <c r="H1041" s="58" t="s">
        <v>669</v>
      </c>
      <c r="I1041" s="18" t="s">
        <v>60</v>
      </c>
      <c r="J1041" s="46">
        <v>32800</v>
      </c>
      <c r="K1041" s="76"/>
      <c r="L1041" s="77">
        <v>1600</v>
      </c>
      <c r="M1041" s="23"/>
      <c r="N1041" s="24"/>
      <c r="O1041" s="13">
        <v>32800</v>
      </c>
      <c r="P1041" s="13">
        <v>1600</v>
      </c>
      <c r="Q1041" s="13">
        <v>34400</v>
      </c>
      <c r="U1041" s="33"/>
    </row>
    <row r="1042" spans="1:31" s="13" customFormat="1" ht="16.5" customHeight="1" x14ac:dyDescent="0.45">
      <c r="A1042" s="14">
        <v>1041</v>
      </c>
      <c r="B1042" s="14">
        <v>16</v>
      </c>
      <c r="C1042" s="52">
        <v>3</v>
      </c>
      <c r="D1042" s="53">
        <v>8</v>
      </c>
      <c r="E1042" s="54">
        <v>25</v>
      </c>
      <c r="F1042" s="89" t="s">
        <v>383</v>
      </c>
      <c r="G1042" s="57" t="s">
        <v>14</v>
      </c>
      <c r="H1042" s="58" t="s">
        <v>669</v>
      </c>
      <c r="I1042" s="18" t="s">
        <v>60</v>
      </c>
      <c r="J1042" s="46">
        <v>32800</v>
      </c>
      <c r="K1042" s="76"/>
      <c r="L1042" s="77">
        <v>1600</v>
      </c>
      <c r="M1042" s="23"/>
      <c r="N1042" s="24"/>
      <c r="O1042" s="13">
        <f>O1041*22</f>
        <v>721600</v>
      </c>
      <c r="P1042" s="13">
        <f t="shared" ref="P1042:Q1042" si="140">P1041*22</f>
        <v>35200</v>
      </c>
      <c r="Q1042" s="13">
        <f t="shared" si="140"/>
        <v>756800</v>
      </c>
      <c r="U1042" s="33"/>
    </row>
    <row r="1043" spans="1:31" s="13" customFormat="1" ht="16.5" customHeight="1" x14ac:dyDescent="0.45">
      <c r="A1043" s="14">
        <v>1042</v>
      </c>
      <c r="B1043" s="14">
        <v>17</v>
      </c>
      <c r="C1043" s="52">
        <v>5</v>
      </c>
      <c r="D1043" s="53">
        <v>1</v>
      </c>
      <c r="E1043" s="54">
        <v>24</v>
      </c>
      <c r="F1043" s="89" t="s">
        <v>267</v>
      </c>
      <c r="G1043" s="57" t="s">
        <v>14</v>
      </c>
      <c r="H1043" s="58" t="s">
        <v>669</v>
      </c>
      <c r="I1043" s="18" t="s">
        <v>60</v>
      </c>
      <c r="J1043" s="46">
        <v>32800</v>
      </c>
      <c r="K1043" s="76"/>
      <c r="L1043" s="77">
        <v>1600</v>
      </c>
      <c r="M1043" s="23"/>
      <c r="N1043" s="24"/>
      <c r="U1043" s="33"/>
    </row>
    <row r="1044" spans="1:31" s="13" customFormat="1" ht="16.5" customHeight="1" x14ac:dyDescent="0.45">
      <c r="A1044" s="14">
        <v>1043</v>
      </c>
      <c r="B1044" s="14">
        <v>18</v>
      </c>
      <c r="C1044" s="52">
        <v>5</v>
      </c>
      <c r="D1044" s="53">
        <v>2</v>
      </c>
      <c r="E1044" s="54">
        <v>4</v>
      </c>
      <c r="F1044" s="89" t="s">
        <v>94</v>
      </c>
      <c r="G1044" s="57" t="s">
        <v>14</v>
      </c>
      <c r="H1044" s="58" t="s">
        <v>669</v>
      </c>
      <c r="I1044" s="28" t="s">
        <v>16</v>
      </c>
      <c r="J1044" s="47">
        <v>24600</v>
      </c>
      <c r="K1044" s="121"/>
      <c r="L1044" s="74">
        <v>1200</v>
      </c>
      <c r="M1044" s="23"/>
      <c r="N1044" s="24"/>
      <c r="S1044" s="34">
        <f>SUM(O1036,O1039,O1042)</f>
        <v>2009000</v>
      </c>
      <c r="T1044" s="34">
        <f>SUM(P1036,P1039,P1042)</f>
        <v>98000</v>
      </c>
      <c r="U1044" s="34">
        <f>SUM(Q1036,Q1039,Q1042)</f>
        <v>2107000</v>
      </c>
    </row>
    <row r="1045" spans="1:31" s="13" customFormat="1" ht="16.5" customHeight="1" x14ac:dyDescent="0.45">
      <c r="A1045" s="14">
        <v>1044</v>
      </c>
      <c r="B1045" s="14">
        <v>19</v>
      </c>
      <c r="C1045" s="52">
        <v>5</v>
      </c>
      <c r="D1045" s="53">
        <v>2</v>
      </c>
      <c r="E1045" s="54">
        <v>20</v>
      </c>
      <c r="F1045" s="89" t="s">
        <v>551</v>
      </c>
      <c r="G1045" s="57" t="s">
        <v>14</v>
      </c>
      <c r="H1045" s="58" t="s">
        <v>669</v>
      </c>
      <c r="I1045" s="18" t="s">
        <v>60</v>
      </c>
      <c r="J1045" s="46">
        <v>32800</v>
      </c>
      <c r="K1045" s="76"/>
      <c r="L1045" s="77">
        <v>1600</v>
      </c>
      <c r="M1045" s="23"/>
      <c r="N1045" s="24"/>
      <c r="U1045" s="33"/>
    </row>
    <row r="1046" spans="1:31" s="13" customFormat="1" ht="16.5" customHeight="1" x14ac:dyDescent="0.45">
      <c r="A1046" s="14">
        <v>1045</v>
      </c>
      <c r="B1046" s="14">
        <v>20</v>
      </c>
      <c r="C1046" s="52">
        <v>5</v>
      </c>
      <c r="D1046" s="53">
        <v>7</v>
      </c>
      <c r="E1046" s="54">
        <v>24</v>
      </c>
      <c r="F1046" s="89" t="s">
        <v>369</v>
      </c>
      <c r="G1046" s="57" t="s">
        <v>14</v>
      </c>
      <c r="H1046" s="58" t="s">
        <v>669</v>
      </c>
      <c r="I1046" s="18" t="s">
        <v>60</v>
      </c>
      <c r="J1046" s="46">
        <v>32800</v>
      </c>
      <c r="K1046" s="76"/>
      <c r="L1046" s="77">
        <v>1600</v>
      </c>
      <c r="M1046" s="23"/>
      <c r="N1046" s="24"/>
      <c r="U1046" s="33"/>
    </row>
    <row r="1047" spans="1:31" s="13" customFormat="1" ht="16.5" customHeight="1" x14ac:dyDescent="0.45">
      <c r="A1047" s="14">
        <v>1046</v>
      </c>
      <c r="B1047" s="14">
        <v>21</v>
      </c>
      <c r="C1047" s="52">
        <v>6</v>
      </c>
      <c r="D1047" s="53">
        <v>1</v>
      </c>
      <c r="E1047" s="54">
        <v>1</v>
      </c>
      <c r="F1047" s="89" t="s">
        <v>553</v>
      </c>
      <c r="G1047" s="57" t="s">
        <v>14</v>
      </c>
      <c r="H1047" s="58" t="s">
        <v>669</v>
      </c>
      <c r="I1047" s="18" t="s">
        <v>60</v>
      </c>
      <c r="J1047" s="46">
        <v>32800</v>
      </c>
      <c r="K1047" s="76"/>
      <c r="L1047" s="77">
        <v>1600</v>
      </c>
      <c r="M1047" s="23"/>
      <c r="N1047" s="24"/>
      <c r="U1047" s="33"/>
    </row>
    <row r="1048" spans="1:31" s="13" customFormat="1" ht="16.5" customHeight="1" x14ac:dyDescent="0.45">
      <c r="A1048" s="14">
        <v>1047</v>
      </c>
      <c r="B1048" s="14">
        <v>22</v>
      </c>
      <c r="C1048" s="52">
        <v>6</v>
      </c>
      <c r="D1048" s="53">
        <v>2</v>
      </c>
      <c r="E1048" s="54">
        <v>17</v>
      </c>
      <c r="F1048" s="89" t="s">
        <v>670</v>
      </c>
      <c r="G1048" s="57" t="s">
        <v>14</v>
      </c>
      <c r="H1048" s="58" t="s">
        <v>669</v>
      </c>
      <c r="I1048" s="18" t="s">
        <v>60</v>
      </c>
      <c r="J1048" s="46">
        <v>32800</v>
      </c>
      <c r="K1048" s="76"/>
      <c r="L1048" s="77">
        <v>1600</v>
      </c>
      <c r="M1048" s="23"/>
      <c r="N1048" s="24"/>
      <c r="U1048" s="33"/>
    </row>
    <row r="1049" spans="1:31" s="13" customFormat="1" ht="16.5" customHeight="1" x14ac:dyDescent="0.45">
      <c r="A1049" s="14">
        <v>1048</v>
      </c>
      <c r="B1049" s="156">
        <v>23</v>
      </c>
      <c r="C1049" s="62">
        <v>6</v>
      </c>
      <c r="D1049" s="63">
        <v>7</v>
      </c>
      <c r="E1049" s="64">
        <v>11</v>
      </c>
      <c r="F1049" s="163" t="s">
        <v>575</v>
      </c>
      <c r="G1049" s="65" t="s">
        <v>14</v>
      </c>
      <c r="H1049" s="66" t="s">
        <v>669</v>
      </c>
      <c r="I1049" s="48" t="s">
        <v>60</v>
      </c>
      <c r="J1049" s="184">
        <v>32800</v>
      </c>
      <c r="K1049" s="144"/>
      <c r="L1049" s="182">
        <v>1600</v>
      </c>
      <c r="M1049" s="69"/>
      <c r="N1049" s="24"/>
      <c r="U1049" s="33"/>
    </row>
    <row r="1050" spans="1:31" s="13" customFormat="1" ht="34.5" customHeight="1" x14ac:dyDescent="0.45">
      <c r="A1050" s="185" t="s">
        <v>671</v>
      </c>
      <c r="B1050" s="186"/>
      <c r="C1050" s="186"/>
      <c r="D1050" s="186"/>
      <c r="E1050" s="186"/>
      <c r="F1050" s="186"/>
      <c r="G1050" s="186"/>
      <c r="H1050" s="187"/>
      <c r="I1050" s="188"/>
      <c r="J1050" s="189">
        <f>SUM(J2:J1049)</f>
        <v>23304450</v>
      </c>
      <c r="K1050" s="189">
        <f>SUM(K2:K1049)</f>
        <v>298700</v>
      </c>
      <c r="L1050" s="189">
        <f>SUM(L2:L1049)</f>
        <v>1126550</v>
      </c>
      <c r="M1050" s="190">
        <f>SUM(M2:M1049)</f>
        <v>23603150</v>
      </c>
      <c r="N1050" s="24"/>
      <c r="U1050" s="33"/>
    </row>
    <row r="1051" spans="1:31" s="13" customFormat="1" ht="36.75" customHeight="1" x14ac:dyDescent="0.45">
      <c r="A1051" s="191" t="s">
        <v>672</v>
      </c>
      <c r="B1051" s="192"/>
      <c r="C1051" s="192"/>
      <c r="D1051" s="192"/>
      <c r="E1051" s="192"/>
      <c r="F1051" s="192"/>
      <c r="G1051" s="192"/>
      <c r="H1051" s="193"/>
      <c r="I1051" s="194"/>
      <c r="J1051" s="195">
        <f>SUM(J1050:K1050)</f>
        <v>23603150</v>
      </c>
      <c r="K1051" s="196"/>
      <c r="L1051" s="197"/>
      <c r="M1051" s="198">
        <f>SUM(M1050:M1050)</f>
        <v>23603150</v>
      </c>
      <c r="N1051" s="24"/>
      <c r="S1051" s="199">
        <f>SUM(S2:S1050)</f>
        <v>72818100</v>
      </c>
      <c r="T1051" s="199">
        <f t="shared" ref="T1051:U1051" si="141">SUM(T2:T1050)</f>
        <v>3474900</v>
      </c>
      <c r="U1051" s="199">
        <f t="shared" si="141"/>
        <v>76293000</v>
      </c>
      <c r="V1051" s="200"/>
    </row>
    <row r="1052" spans="1:31" s="13" customFormat="1" ht="39.75" customHeight="1" x14ac:dyDescent="0.45">
      <c r="A1052" s="201"/>
      <c r="B1052" s="201"/>
      <c r="C1052" s="202"/>
      <c r="D1052" s="202"/>
      <c r="E1052" s="202"/>
      <c r="F1052" s="203"/>
      <c r="G1052" s="146"/>
      <c r="H1052" s="204"/>
      <c r="I1052" s="204"/>
      <c r="J1052" s="205"/>
      <c r="K1052" s="205"/>
      <c r="L1052" s="205"/>
      <c r="M1052" s="206"/>
      <c r="N1052" s="24"/>
      <c r="S1052" s="207"/>
      <c r="T1052" s="207"/>
      <c r="U1052" s="208"/>
    </row>
    <row r="1053" spans="1:31" s="13" customFormat="1" ht="39.75" customHeight="1" x14ac:dyDescent="0.45">
      <c r="A1053" s="209"/>
      <c r="B1053" s="210"/>
      <c r="C1053" s="210"/>
      <c r="D1053" s="210"/>
      <c r="E1053" s="210"/>
      <c r="H1053" s="31"/>
      <c r="I1053" s="31"/>
      <c r="J1053" s="31"/>
      <c r="K1053" s="31"/>
      <c r="L1053" s="31"/>
      <c r="N1053" s="24"/>
      <c r="U1053" s="33"/>
    </row>
    <row r="1054" spans="1:31" s="13" customFormat="1" ht="37.5" customHeight="1" x14ac:dyDescent="0.45">
      <c r="A1054" s="209"/>
      <c r="B1054" s="210"/>
      <c r="C1054" s="210"/>
      <c r="D1054" s="210"/>
      <c r="E1054" s="210"/>
      <c r="H1054" s="31"/>
      <c r="I1054" s="31"/>
      <c r="J1054" s="31"/>
      <c r="K1054" s="31"/>
      <c r="L1054" s="31"/>
      <c r="N1054" s="24"/>
      <c r="U1054" s="33"/>
    </row>
    <row r="1055" spans="1:31" s="13" customFormat="1" ht="16.5" customHeight="1" x14ac:dyDescent="0.45">
      <c r="A1055" s="209"/>
      <c r="B1055" s="210"/>
      <c r="C1055" s="210"/>
      <c r="D1055" s="210"/>
      <c r="E1055" s="210"/>
      <c r="H1055" s="31"/>
      <c r="I1055" s="31"/>
      <c r="J1055" s="31"/>
      <c r="K1055" s="31"/>
      <c r="L1055" s="31"/>
      <c r="N1055" s="24"/>
      <c r="U1055" s="33"/>
    </row>
    <row r="1056" spans="1:31" ht="25.5" x14ac:dyDescent="0.45">
      <c r="O1056" s="13"/>
      <c r="P1056" s="13"/>
      <c r="Q1056" s="13"/>
      <c r="R1056" s="13"/>
      <c r="S1056" s="13"/>
      <c r="T1056" s="13"/>
      <c r="U1056" s="3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</row>
    <row r="1057" spans="22:30" x14ac:dyDescent="0.45">
      <c r="V1057" s="13"/>
      <c r="W1057" s="13"/>
      <c r="X1057" s="13"/>
      <c r="Y1057" s="13"/>
      <c r="Z1057" s="13"/>
      <c r="AA1057" s="13"/>
      <c r="AB1057" s="13"/>
      <c r="AC1057" s="13"/>
      <c r="AD1057" s="13"/>
    </row>
  </sheetData>
  <autoFilter ref="A1:M1053" xr:uid="{00000000-0009-0000-0000-000000000000}"/>
  <mergeCells count="37">
    <mergeCell ref="M913:M952"/>
    <mergeCell ref="M953:M986"/>
    <mergeCell ref="M987:M1026"/>
    <mergeCell ref="M1027:M1049"/>
    <mergeCell ref="A1050:H1050"/>
    <mergeCell ref="A1051:H1051"/>
    <mergeCell ref="J1051:K1051"/>
    <mergeCell ref="M774:M795"/>
    <mergeCell ref="M796:M816"/>
    <mergeCell ref="M817:M838"/>
    <mergeCell ref="M839:M860"/>
    <mergeCell ref="M861:M874"/>
    <mergeCell ref="M875:M912"/>
    <mergeCell ref="M612:M639"/>
    <mergeCell ref="M640:M679"/>
    <mergeCell ref="M680:M701"/>
    <mergeCell ref="M702:M738"/>
    <mergeCell ref="M739:M751"/>
    <mergeCell ref="M752:M773"/>
    <mergeCell ref="M400:M431"/>
    <mergeCell ref="M432:M470"/>
    <mergeCell ref="M471:M500"/>
    <mergeCell ref="M501:M534"/>
    <mergeCell ref="M535:M569"/>
    <mergeCell ref="M570:M611"/>
    <mergeCell ref="M213:M239"/>
    <mergeCell ref="M240:M269"/>
    <mergeCell ref="M270:M290"/>
    <mergeCell ref="M291:M330"/>
    <mergeCell ref="M331:M369"/>
    <mergeCell ref="M370:M399"/>
    <mergeCell ref="M2:M41"/>
    <mergeCell ref="M42:M81"/>
    <mergeCell ref="M82:M107"/>
    <mergeCell ref="M108:M132"/>
    <mergeCell ref="M133:M172"/>
    <mergeCell ref="M173:M212"/>
  </mergeCells>
  <phoneticPr fontId="1" type="noConversion"/>
  <dataValidations count="2">
    <dataValidation type="list" allowBlank="1" showInputMessage="1" showErrorMessage="1" sqref="G1" xr:uid="{1314AF37-998A-4399-831A-0AD5C61F5FF7}">
      <formula1>#REF!</formula1>
    </dataValidation>
    <dataValidation type="list" allowBlank="1" showInputMessage="1" showErrorMessage="1" sqref="G1052 G2:G1049" xr:uid="{07C094AF-0E70-4910-A533-281D7B51FC4A}">
      <formula1>"유상, 자유수"</formula1>
    </dataValidation>
  </dataValidations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7980D-CB05-4895-B39C-2EDD8BD5A396}">
  <sheetPr codeName="Sheet3"/>
  <dimension ref="A1:AP104"/>
  <sheetViews>
    <sheetView zoomScale="40" zoomScaleNormal="40" workbookViewId="0">
      <selection sqref="A1:A1048576"/>
    </sheetView>
  </sheetViews>
  <sheetFormatPr defaultRowHeight="17" x14ac:dyDescent="0.45"/>
  <cols>
    <col min="1" max="1" width="6.08203125" customWidth="1"/>
    <col min="2" max="2" width="6.25" customWidth="1"/>
    <col min="3" max="4" width="6.58203125" customWidth="1"/>
    <col min="5" max="5" width="6.58203125" style="59" customWidth="1"/>
    <col min="6" max="6" width="10" style="59" customWidth="1"/>
    <col min="7" max="7" width="10.58203125" style="59" customWidth="1"/>
    <col min="8" max="8" width="23.5" style="59" customWidth="1"/>
    <col min="9" max="9" width="16.5" customWidth="1"/>
    <col min="10" max="10" width="18.5" customWidth="1"/>
    <col min="11" max="11" width="18.33203125" customWidth="1"/>
    <col min="12" max="12" width="16.08203125" style="232" customWidth="1"/>
    <col min="13" max="13" width="25" customWidth="1"/>
    <col min="14" max="14" width="4" customWidth="1"/>
    <col min="15" max="15" width="11.5" customWidth="1"/>
    <col min="16" max="16" width="3.75" customWidth="1"/>
    <col min="17" max="17" width="15.58203125" customWidth="1"/>
    <col min="18" max="18" width="12" customWidth="1"/>
    <col min="19" max="19" width="12.25" customWidth="1"/>
    <col min="20" max="20" width="4.75" customWidth="1"/>
    <col min="21" max="21" width="10.33203125" customWidth="1"/>
    <col min="22" max="22" width="10.75" customWidth="1"/>
    <col min="23" max="23" width="9.83203125" customWidth="1"/>
    <col min="24" max="24" width="5.5" customWidth="1"/>
    <col min="25" max="25" width="11.08203125" customWidth="1"/>
  </cols>
  <sheetData>
    <row r="1" spans="1:36" ht="54.75" customHeight="1" x14ac:dyDescent="0.45">
      <c r="A1" s="211" t="s">
        <v>0</v>
      </c>
      <c r="B1" s="212" t="s">
        <v>1</v>
      </c>
      <c r="C1" s="213" t="s">
        <v>2</v>
      </c>
      <c r="D1" s="214" t="s">
        <v>3</v>
      </c>
      <c r="E1" s="213" t="s">
        <v>4</v>
      </c>
      <c r="F1" s="214" t="s">
        <v>5</v>
      </c>
      <c r="G1" s="213" t="s">
        <v>6</v>
      </c>
      <c r="H1" s="215" t="s">
        <v>7</v>
      </c>
      <c r="I1" s="216" t="s">
        <v>8</v>
      </c>
      <c r="J1" s="217" t="s">
        <v>673</v>
      </c>
      <c r="K1" s="216" t="s">
        <v>10</v>
      </c>
      <c r="L1" s="217" t="s">
        <v>11</v>
      </c>
      <c r="M1" s="216" t="s">
        <v>674</v>
      </c>
      <c r="N1" s="12"/>
      <c r="O1" s="12"/>
      <c r="P1" s="12"/>
    </row>
    <row r="2" spans="1:36" s="13" customFormat="1" ht="16.5" customHeight="1" x14ac:dyDescent="0.45">
      <c r="A2" s="91">
        <v>1</v>
      </c>
      <c r="B2" s="88">
        <v>1</v>
      </c>
      <c r="C2" s="39">
        <v>1</v>
      </c>
      <c r="D2" s="41">
        <v>1</v>
      </c>
      <c r="E2" s="39">
        <v>14</v>
      </c>
      <c r="F2" s="41" t="s">
        <v>445</v>
      </c>
      <c r="G2" s="39" t="s">
        <v>14</v>
      </c>
      <c r="H2" s="41" t="s">
        <v>675</v>
      </c>
      <c r="I2" s="110" t="s">
        <v>328</v>
      </c>
      <c r="J2" s="119">
        <v>24600</v>
      </c>
      <c r="K2" s="151"/>
      <c r="L2" s="119">
        <v>1200</v>
      </c>
      <c r="M2" s="45">
        <f>SUM(J2:K11)</f>
        <v>274700</v>
      </c>
      <c r="W2" s="33"/>
    </row>
    <row r="3" spans="1:36" s="13" customFormat="1" ht="16.5" customHeight="1" x14ac:dyDescent="0.45">
      <c r="A3" s="91">
        <v>2</v>
      </c>
      <c r="B3" s="91">
        <v>2</v>
      </c>
      <c r="C3" s="18">
        <v>1</v>
      </c>
      <c r="D3" s="20">
        <v>2</v>
      </c>
      <c r="E3" s="18">
        <v>1</v>
      </c>
      <c r="F3" s="20" t="s">
        <v>676</v>
      </c>
      <c r="G3" s="18" t="s">
        <v>14</v>
      </c>
      <c r="H3" s="20" t="s">
        <v>677</v>
      </c>
      <c r="I3" s="28" t="s">
        <v>678</v>
      </c>
      <c r="J3" s="47">
        <v>28700</v>
      </c>
      <c r="K3" s="30"/>
      <c r="L3" s="47">
        <v>1400</v>
      </c>
      <c r="M3" s="23"/>
      <c r="Q3" s="13">
        <v>32800</v>
      </c>
      <c r="R3" s="13">
        <v>1600</v>
      </c>
      <c r="S3" s="13">
        <v>34400</v>
      </c>
      <c r="U3" s="13">
        <v>32800</v>
      </c>
      <c r="V3" s="13">
        <v>1600</v>
      </c>
      <c r="W3" s="13">
        <v>34400</v>
      </c>
      <c r="Y3" s="13">
        <v>32800</v>
      </c>
      <c r="Z3" s="13">
        <v>1600</v>
      </c>
      <c r="AA3" s="13">
        <v>34400</v>
      </c>
    </row>
    <row r="4" spans="1:36" s="13" customFormat="1" ht="16.5" customHeight="1" x14ac:dyDescent="0.45">
      <c r="A4" s="91">
        <v>3</v>
      </c>
      <c r="B4" s="91">
        <v>3</v>
      </c>
      <c r="C4" s="18">
        <v>1</v>
      </c>
      <c r="D4" s="20">
        <v>2</v>
      </c>
      <c r="E4" s="18">
        <v>6</v>
      </c>
      <c r="F4" s="20" t="s">
        <v>679</v>
      </c>
      <c r="G4" s="18" t="s">
        <v>14</v>
      </c>
      <c r="H4" s="20" t="s">
        <v>677</v>
      </c>
      <c r="I4" s="28" t="s">
        <v>328</v>
      </c>
      <c r="J4" s="47">
        <v>24600</v>
      </c>
      <c r="K4" s="30"/>
      <c r="L4" s="47">
        <v>1200</v>
      </c>
      <c r="M4" s="23"/>
      <c r="O4" s="27">
        <f>SUM(J2:K40)</f>
        <v>1139800</v>
      </c>
      <c r="Q4" s="13">
        <f>Q3*10</f>
        <v>328000</v>
      </c>
      <c r="R4" s="13">
        <f t="shared" ref="R4:S4" si="0">R3*10</f>
        <v>16000</v>
      </c>
      <c r="S4" s="13">
        <f t="shared" si="0"/>
        <v>344000</v>
      </c>
      <c r="U4" s="13">
        <f>U3*10</f>
        <v>328000</v>
      </c>
      <c r="V4" s="13">
        <f t="shared" ref="V4:W4" si="1">V3*10</f>
        <v>16000</v>
      </c>
      <c r="W4" s="13">
        <f t="shared" si="1"/>
        <v>344000</v>
      </c>
      <c r="Y4" s="13">
        <f>Y3*10</f>
        <v>328000</v>
      </c>
      <c r="Z4" s="13">
        <f t="shared" ref="Z4:AA4" si="2">Z3*10</f>
        <v>16000</v>
      </c>
      <c r="AA4" s="13">
        <f t="shared" si="2"/>
        <v>344000</v>
      </c>
    </row>
    <row r="5" spans="1:36" s="13" customFormat="1" ht="16.5" customHeight="1" x14ac:dyDescent="0.45">
      <c r="A5" s="91">
        <v>4</v>
      </c>
      <c r="B5" s="91">
        <v>4</v>
      </c>
      <c r="C5" s="18">
        <v>1</v>
      </c>
      <c r="D5" s="20">
        <v>4</v>
      </c>
      <c r="E5" s="18">
        <v>15</v>
      </c>
      <c r="F5" s="20" t="s">
        <v>680</v>
      </c>
      <c r="G5" s="18" t="s">
        <v>14</v>
      </c>
      <c r="H5" s="20" t="s">
        <v>677</v>
      </c>
      <c r="I5" s="28" t="s">
        <v>678</v>
      </c>
      <c r="J5" s="47">
        <v>28700</v>
      </c>
      <c r="K5" s="30"/>
      <c r="L5" s="47">
        <v>1400</v>
      </c>
      <c r="M5" s="23"/>
      <c r="O5" s="27">
        <f>SUM(L2:L40)</f>
        <v>55600</v>
      </c>
      <c r="Q5" s="13">
        <v>-53300</v>
      </c>
      <c r="R5" s="13">
        <v>-2600</v>
      </c>
      <c r="S5" s="13">
        <v>-55900</v>
      </c>
      <c r="W5" s="33"/>
    </row>
    <row r="6" spans="1:36" s="13" customFormat="1" ht="16.5" customHeight="1" x14ac:dyDescent="0.45">
      <c r="A6" s="91">
        <v>5</v>
      </c>
      <c r="B6" s="91">
        <v>5</v>
      </c>
      <c r="C6" s="18">
        <v>1</v>
      </c>
      <c r="D6" s="20">
        <v>4</v>
      </c>
      <c r="E6" s="18">
        <v>18</v>
      </c>
      <c r="F6" s="20" t="s">
        <v>681</v>
      </c>
      <c r="G6" s="18" t="s">
        <v>14</v>
      </c>
      <c r="H6" s="20" t="s">
        <v>677</v>
      </c>
      <c r="I6" s="28" t="s">
        <v>328</v>
      </c>
      <c r="J6" s="47">
        <v>24600</v>
      </c>
      <c r="K6" s="30"/>
      <c r="L6" s="47">
        <v>1200</v>
      </c>
      <c r="M6" s="23"/>
      <c r="O6" s="27">
        <f>SUM(O4:O5)</f>
        <v>1195400</v>
      </c>
      <c r="Q6" s="13">
        <f>SUM(Q4:Q5)</f>
        <v>274700</v>
      </c>
      <c r="R6" s="13">
        <f t="shared" ref="R6:S6" si="3">SUM(R4:R5)</f>
        <v>13400</v>
      </c>
      <c r="S6" s="13">
        <f t="shared" si="3"/>
        <v>288100</v>
      </c>
      <c r="W6" s="33"/>
    </row>
    <row r="7" spans="1:36" s="13" customFormat="1" ht="16.5" customHeight="1" x14ac:dyDescent="0.45">
      <c r="A7" s="91">
        <v>6</v>
      </c>
      <c r="B7" s="91">
        <v>6</v>
      </c>
      <c r="C7" s="18">
        <v>1</v>
      </c>
      <c r="D7" s="20">
        <v>10</v>
      </c>
      <c r="E7" s="18">
        <v>5</v>
      </c>
      <c r="F7" s="20" t="s">
        <v>109</v>
      </c>
      <c r="G7" s="18" t="s">
        <v>14</v>
      </c>
      <c r="H7" s="20" t="s">
        <v>677</v>
      </c>
      <c r="I7" s="28" t="s">
        <v>328</v>
      </c>
      <c r="J7" s="47">
        <v>24600</v>
      </c>
      <c r="K7" s="30"/>
      <c r="L7" s="47">
        <v>1200</v>
      </c>
      <c r="M7" s="23"/>
      <c r="W7" s="33"/>
      <c r="AH7" s="32">
        <f t="shared" ref="AH7:AJ7" si="4">AH6*23</f>
        <v>0</v>
      </c>
      <c r="AI7" s="32">
        <f t="shared" si="4"/>
        <v>0</v>
      </c>
      <c r="AJ7" s="32">
        <f t="shared" si="4"/>
        <v>0</v>
      </c>
    </row>
    <row r="8" spans="1:36" s="13" customFormat="1" ht="16.5" customHeight="1" x14ac:dyDescent="0.45">
      <c r="A8" s="91">
        <v>7</v>
      </c>
      <c r="B8" s="91">
        <v>7</v>
      </c>
      <c r="C8" s="18">
        <v>1</v>
      </c>
      <c r="D8" s="20">
        <v>10</v>
      </c>
      <c r="E8" s="18">
        <v>8</v>
      </c>
      <c r="F8" s="20" t="s">
        <v>653</v>
      </c>
      <c r="G8" s="18" t="s">
        <v>14</v>
      </c>
      <c r="H8" s="20" t="s">
        <v>677</v>
      </c>
      <c r="I8" s="28" t="s">
        <v>328</v>
      </c>
      <c r="J8" s="47">
        <v>24600</v>
      </c>
      <c r="K8" s="30"/>
      <c r="L8" s="47">
        <v>1200</v>
      </c>
      <c r="M8" s="23"/>
      <c r="W8" s="33"/>
    </row>
    <row r="9" spans="1:36" s="13" customFormat="1" ht="16.5" customHeight="1" x14ac:dyDescent="0.45">
      <c r="A9" s="91">
        <v>8</v>
      </c>
      <c r="B9" s="91">
        <v>8</v>
      </c>
      <c r="C9" s="18">
        <v>1</v>
      </c>
      <c r="D9" s="20">
        <v>10</v>
      </c>
      <c r="E9" s="18">
        <v>21</v>
      </c>
      <c r="F9" s="20" t="s">
        <v>682</v>
      </c>
      <c r="G9" s="18" t="s">
        <v>14</v>
      </c>
      <c r="H9" s="20" t="s">
        <v>677</v>
      </c>
      <c r="I9" s="28" t="s">
        <v>678</v>
      </c>
      <c r="J9" s="47">
        <v>28700</v>
      </c>
      <c r="K9" s="30"/>
      <c r="L9" s="47">
        <v>1400</v>
      </c>
      <c r="M9" s="23"/>
      <c r="Q9" s="34">
        <f>SUM(Q6,U4,Y4)</f>
        <v>930700</v>
      </c>
      <c r="R9" s="34">
        <f t="shared" ref="R9:S9" si="5">SUM(R6,V4,Z4)</f>
        <v>45400</v>
      </c>
      <c r="S9" s="34">
        <f t="shared" si="5"/>
        <v>976100</v>
      </c>
      <c r="W9" s="33"/>
    </row>
    <row r="10" spans="1:36" s="13" customFormat="1" ht="16.5" customHeight="1" x14ac:dyDescent="0.45">
      <c r="A10" s="91">
        <v>9</v>
      </c>
      <c r="B10" s="91">
        <v>9</v>
      </c>
      <c r="C10" s="18">
        <v>1</v>
      </c>
      <c r="D10" s="20">
        <v>12</v>
      </c>
      <c r="E10" s="18">
        <v>12</v>
      </c>
      <c r="F10" s="20" t="s">
        <v>683</v>
      </c>
      <c r="G10" s="18" t="s">
        <v>14</v>
      </c>
      <c r="H10" s="20" t="s">
        <v>677</v>
      </c>
      <c r="I10" s="18" t="s">
        <v>545</v>
      </c>
      <c r="J10" s="46">
        <v>32800</v>
      </c>
      <c r="K10" s="22"/>
      <c r="L10" s="46">
        <v>1600</v>
      </c>
      <c r="M10" s="23"/>
      <c r="W10" s="33"/>
    </row>
    <row r="11" spans="1:36" s="13" customFormat="1" ht="16.5" customHeight="1" x14ac:dyDescent="0.45">
      <c r="A11" s="91">
        <v>10</v>
      </c>
      <c r="B11" s="91">
        <v>10</v>
      </c>
      <c r="C11" s="18">
        <v>2</v>
      </c>
      <c r="D11" s="20">
        <v>8</v>
      </c>
      <c r="E11" s="18">
        <v>19</v>
      </c>
      <c r="F11" s="20" t="s">
        <v>684</v>
      </c>
      <c r="G11" s="18" t="s">
        <v>14</v>
      </c>
      <c r="H11" s="20" t="s">
        <v>677</v>
      </c>
      <c r="I11" s="18" t="s">
        <v>545</v>
      </c>
      <c r="J11" s="46">
        <v>32800</v>
      </c>
      <c r="K11" s="22"/>
      <c r="L11" s="46">
        <v>1600</v>
      </c>
      <c r="M11" s="23"/>
      <c r="W11" s="33"/>
    </row>
    <row r="12" spans="1:36" s="13" customFormat="1" ht="16.5" customHeight="1" x14ac:dyDescent="0.45">
      <c r="A12" s="91">
        <v>11</v>
      </c>
      <c r="B12" s="88">
        <v>1</v>
      </c>
      <c r="C12" s="87">
        <v>1</v>
      </c>
      <c r="D12" s="56">
        <v>5</v>
      </c>
      <c r="E12" s="87">
        <v>15</v>
      </c>
      <c r="F12" s="56" t="s">
        <v>685</v>
      </c>
      <c r="G12" s="87" t="s">
        <v>14</v>
      </c>
      <c r="H12" s="56" t="s">
        <v>686</v>
      </c>
      <c r="I12" s="39" t="s">
        <v>545</v>
      </c>
      <c r="J12" s="42">
        <v>32800</v>
      </c>
      <c r="K12" s="44"/>
      <c r="L12" s="42">
        <v>1600</v>
      </c>
      <c r="M12" s="45">
        <f>SUM(J12:K21)</f>
        <v>299300</v>
      </c>
      <c r="W12" s="33"/>
    </row>
    <row r="13" spans="1:36" s="13" customFormat="1" ht="16.5" customHeight="1" x14ac:dyDescent="0.45">
      <c r="A13" s="91">
        <v>12</v>
      </c>
      <c r="B13" s="91">
        <v>2</v>
      </c>
      <c r="C13" s="89">
        <v>1</v>
      </c>
      <c r="D13" s="58">
        <v>6</v>
      </c>
      <c r="E13" s="89">
        <v>2</v>
      </c>
      <c r="F13" s="58" t="s">
        <v>19</v>
      </c>
      <c r="G13" s="89" t="s">
        <v>14</v>
      </c>
      <c r="H13" s="58" t="s">
        <v>686</v>
      </c>
      <c r="I13" s="18" t="s">
        <v>545</v>
      </c>
      <c r="J13" s="46">
        <v>32800</v>
      </c>
      <c r="K13" s="22"/>
      <c r="L13" s="46">
        <v>1600</v>
      </c>
      <c r="M13" s="23"/>
      <c r="Q13" s="13">
        <v>32800</v>
      </c>
      <c r="R13" s="13">
        <v>1600</v>
      </c>
      <c r="S13" s="13">
        <v>34400</v>
      </c>
      <c r="U13" s="13">
        <v>32800</v>
      </c>
      <c r="V13" s="13">
        <v>1600</v>
      </c>
      <c r="W13" s="13">
        <v>34400</v>
      </c>
      <c r="Y13" s="13">
        <v>32800</v>
      </c>
      <c r="Z13" s="13">
        <v>1600</v>
      </c>
      <c r="AA13" s="13">
        <v>34400</v>
      </c>
    </row>
    <row r="14" spans="1:36" s="13" customFormat="1" ht="16.5" customHeight="1" x14ac:dyDescent="0.45">
      <c r="A14" s="91">
        <v>13</v>
      </c>
      <c r="B14" s="91">
        <v>3</v>
      </c>
      <c r="C14" s="89">
        <v>1</v>
      </c>
      <c r="D14" s="58">
        <v>7</v>
      </c>
      <c r="E14" s="89">
        <v>17</v>
      </c>
      <c r="F14" s="58" t="s">
        <v>687</v>
      </c>
      <c r="G14" s="89" t="s">
        <v>14</v>
      </c>
      <c r="H14" s="58" t="s">
        <v>686</v>
      </c>
      <c r="I14" s="28" t="s">
        <v>327</v>
      </c>
      <c r="J14" s="47">
        <v>20500</v>
      </c>
      <c r="K14" s="30"/>
      <c r="L14" s="47">
        <v>1000</v>
      </c>
      <c r="M14" s="23"/>
      <c r="Q14" s="13">
        <f>Q13*10</f>
        <v>328000</v>
      </c>
      <c r="R14" s="13">
        <f t="shared" ref="R14:S14" si="6">R13*10</f>
        <v>16000</v>
      </c>
      <c r="S14" s="13">
        <f t="shared" si="6"/>
        <v>344000</v>
      </c>
      <c r="U14" s="13">
        <f>U13*10</f>
        <v>328000</v>
      </c>
      <c r="V14" s="13">
        <f t="shared" ref="V14:W14" si="7">V13*10</f>
        <v>16000</v>
      </c>
      <c r="W14" s="13">
        <f t="shared" si="7"/>
        <v>344000</v>
      </c>
      <c r="Y14" s="13">
        <f>Y13*10</f>
        <v>328000</v>
      </c>
      <c r="Z14" s="13">
        <f t="shared" ref="Z14:AA14" si="8">Z13*10</f>
        <v>16000</v>
      </c>
      <c r="AA14" s="13">
        <f t="shared" si="8"/>
        <v>344000</v>
      </c>
    </row>
    <row r="15" spans="1:36" s="13" customFormat="1" ht="16.5" customHeight="1" x14ac:dyDescent="0.45">
      <c r="A15" s="91">
        <v>14</v>
      </c>
      <c r="B15" s="91">
        <v>4</v>
      </c>
      <c r="C15" s="89">
        <v>1</v>
      </c>
      <c r="D15" s="58">
        <v>10</v>
      </c>
      <c r="E15" s="89">
        <v>20</v>
      </c>
      <c r="F15" s="58" t="s">
        <v>208</v>
      </c>
      <c r="G15" s="89" t="s">
        <v>14</v>
      </c>
      <c r="H15" s="58" t="s">
        <v>686</v>
      </c>
      <c r="I15" s="18" t="s">
        <v>545</v>
      </c>
      <c r="J15" s="46">
        <v>32800</v>
      </c>
      <c r="K15" s="22"/>
      <c r="L15" s="46">
        <v>1600</v>
      </c>
      <c r="M15" s="23"/>
      <c r="Q15" s="13">
        <v>-28700</v>
      </c>
      <c r="R15" s="13">
        <v>-1400</v>
      </c>
      <c r="S15" s="13">
        <v>-30100</v>
      </c>
      <c r="W15" s="33"/>
    </row>
    <row r="16" spans="1:36" s="13" customFormat="1" ht="16.5" customHeight="1" x14ac:dyDescent="0.45">
      <c r="A16" s="91">
        <v>15</v>
      </c>
      <c r="B16" s="91">
        <v>5</v>
      </c>
      <c r="C16" s="89">
        <v>1</v>
      </c>
      <c r="D16" s="58">
        <v>11</v>
      </c>
      <c r="E16" s="89">
        <v>14</v>
      </c>
      <c r="F16" s="58" t="s">
        <v>114</v>
      </c>
      <c r="G16" s="89" t="s">
        <v>14</v>
      </c>
      <c r="H16" s="58" t="s">
        <v>686</v>
      </c>
      <c r="I16" s="18" t="s">
        <v>545</v>
      </c>
      <c r="J16" s="46">
        <v>32800</v>
      </c>
      <c r="K16" s="22"/>
      <c r="L16" s="46">
        <v>1600</v>
      </c>
      <c r="M16" s="23"/>
      <c r="Q16" s="13">
        <f>SUM(Q14:Q15)</f>
        <v>299300</v>
      </c>
      <c r="R16" s="13">
        <f t="shared" ref="R16:S16" si="9">SUM(R14:R15)</f>
        <v>14600</v>
      </c>
      <c r="S16" s="13">
        <f t="shared" si="9"/>
        <v>313900</v>
      </c>
      <c r="W16" s="33"/>
    </row>
    <row r="17" spans="1:27" s="13" customFormat="1" ht="16.5" customHeight="1" x14ac:dyDescent="0.45">
      <c r="A17" s="91">
        <v>16</v>
      </c>
      <c r="B17" s="91">
        <v>6</v>
      </c>
      <c r="C17" s="89">
        <v>1</v>
      </c>
      <c r="D17" s="58">
        <v>11</v>
      </c>
      <c r="E17" s="89">
        <v>15</v>
      </c>
      <c r="F17" s="58" t="s">
        <v>688</v>
      </c>
      <c r="G17" s="89" t="s">
        <v>14</v>
      </c>
      <c r="H17" s="58" t="s">
        <v>686</v>
      </c>
      <c r="I17" s="18" t="s">
        <v>545</v>
      </c>
      <c r="J17" s="46">
        <v>32800</v>
      </c>
      <c r="K17" s="22"/>
      <c r="L17" s="46">
        <v>1600</v>
      </c>
      <c r="M17" s="23"/>
      <c r="W17" s="33"/>
    </row>
    <row r="18" spans="1:27" s="13" customFormat="1" ht="16.5" customHeight="1" x14ac:dyDescent="0.45">
      <c r="A18" s="91">
        <v>17</v>
      </c>
      <c r="B18" s="91">
        <v>7</v>
      </c>
      <c r="C18" s="89">
        <v>2</v>
      </c>
      <c r="D18" s="58">
        <v>2</v>
      </c>
      <c r="E18" s="89">
        <v>10</v>
      </c>
      <c r="F18" s="58" t="s">
        <v>298</v>
      </c>
      <c r="G18" s="89" t="s">
        <v>14</v>
      </c>
      <c r="H18" s="58" t="s">
        <v>686</v>
      </c>
      <c r="I18" s="18" t="s">
        <v>545</v>
      </c>
      <c r="J18" s="46">
        <v>32800</v>
      </c>
      <c r="K18" s="22"/>
      <c r="L18" s="46">
        <v>1600</v>
      </c>
      <c r="M18" s="23"/>
      <c r="W18" s="33"/>
    </row>
    <row r="19" spans="1:27" s="13" customFormat="1" ht="16.5" customHeight="1" x14ac:dyDescent="0.45">
      <c r="A19" s="91">
        <v>18</v>
      </c>
      <c r="B19" s="91">
        <v>8</v>
      </c>
      <c r="C19" s="89">
        <v>2</v>
      </c>
      <c r="D19" s="58">
        <v>9</v>
      </c>
      <c r="E19" s="89">
        <v>2</v>
      </c>
      <c r="F19" s="58" t="s">
        <v>29</v>
      </c>
      <c r="G19" s="89" t="s">
        <v>14</v>
      </c>
      <c r="H19" s="58" t="s">
        <v>686</v>
      </c>
      <c r="I19" s="18" t="s">
        <v>545</v>
      </c>
      <c r="J19" s="46">
        <v>32800</v>
      </c>
      <c r="K19" s="22"/>
      <c r="L19" s="46">
        <v>1600</v>
      </c>
      <c r="M19" s="23"/>
      <c r="W19" s="33"/>
    </row>
    <row r="20" spans="1:27" s="13" customFormat="1" ht="16.5" customHeight="1" x14ac:dyDescent="0.45">
      <c r="A20" s="91">
        <v>19</v>
      </c>
      <c r="B20" s="91">
        <v>9</v>
      </c>
      <c r="C20" s="89">
        <v>2</v>
      </c>
      <c r="D20" s="58">
        <v>10</v>
      </c>
      <c r="E20" s="89">
        <v>24</v>
      </c>
      <c r="F20" s="58" t="s">
        <v>401</v>
      </c>
      <c r="G20" s="89" t="s">
        <v>14</v>
      </c>
      <c r="H20" s="58" t="s">
        <v>686</v>
      </c>
      <c r="I20" s="28" t="s">
        <v>328</v>
      </c>
      <c r="J20" s="47">
        <v>24600</v>
      </c>
      <c r="K20" s="30"/>
      <c r="L20" s="47">
        <v>1200</v>
      </c>
      <c r="M20" s="23"/>
      <c r="Q20" s="34">
        <f>SUM(Q16,U14,Y14)</f>
        <v>955300</v>
      </c>
      <c r="R20" s="34">
        <f>SUM(R16,V14,Z14)</f>
        <v>46600</v>
      </c>
      <c r="S20" s="34">
        <f>SUM(S16,W14,AA14)</f>
        <v>1001900</v>
      </c>
      <c r="W20" s="33"/>
    </row>
    <row r="21" spans="1:27" s="13" customFormat="1" ht="16.5" customHeight="1" x14ac:dyDescent="0.45">
      <c r="A21" s="91">
        <v>20</v>
      </c>
      <c r="B21" s="159">
        <v>10</v>
      </c>
      <c r="C21" s="163">
        <v>4</v>
      </c>
      <c r="D21" s="66">
        <v>1</v>
      </c>
      <c r="E21" s="163">
        <v>13</v>
      </c>
      <c r="F21" s="66" t="s">
        <v>481</v>
      </c>
      <c r="G21" s="163" t="s">
        <v>14</v>
      </c>
      <c r="H21" s="66" t="s">
        <v>686</v>
      </c>
      <c r="I21" s="218" t="s">
        <v>328</v>
      </c>
      <c r="J21" s="168">
        <v>24600</v>
      </c>
      <c r="K21" s="166"/>
      <c r="L21" s="168">
        <v>1200</v>
      </c>
      <c r="M21" s="69"/>
      <c r="W21" s="33"/>
    </row>
    <row r="22" spans="1:27" s="13" customFormat="1" ht="16.5" customHeight="1" x14ac:dyDescent="0.45">
      <c r="A22" s="91">
        <v>21</v>
      </c>
      <c r="B22" s="88">
        <v>1</v>
      </c>
      <c r="C22" s="87">
        <v>1</v>
      </c>
      <c r="D22" s="56">
        <v>1</v>
      </c>
      <c r="E22" s="87">
        <v>3</v>
      </c>
      <c r="F22" s="56" t="s">
        <v>689</v>
      </c>
      <c r="G22" s="87" t="s">
        <v>14</v>
      </c>
      <c r="H22" s="56" t="s">
        <v>690</v>
      </c>
      <c r="I22" s="39" t="s">
        <v>545</v>
      </c>
      <c r="J22" s="42">
        <v>32800</v>
      </c>
      <c r="K22" s="44"/>
      <c r="L22" s="42">
        <v>1600</v>
      </c>
      <c r="M22" s="45">
        <f>SUM(J22:K31)</f>
        <v>299300</v>
      </c>
      <c r="W22" s="33"/>
    </row>
    <row r="23" spans="1:27" s="13" customFormat="1" ht="16.5" customHeight="1" x14ac:dyDescent="0.45">
      <c r="A23" s="91">
        <v>22</v>
      </c>
      <c r="B23" s="91">
        <v>2</v>
      </c>
      <c r="C23" s="89">
        <v>1</v>
      </c>
      <c r="D23" s="58">
        <v>1</v>
      </c>
      <c r="E23" s="89">
        <v>4</v>
      </c>
      <c r="F23" s="58" t="s">
        <v>691</v>
      </c>
      <c r="G23" s="89" t="s">
        <v>14</v>
      </c>
      <c r="H23" s="58" t="s">
        <v>690</v>
      </c>
      <c r="I23" s="28" t="s">
        <v>328</v>
      </c>
      <c r="J23" s="47">
        <v>24600</v>
      </c>
      <c r="K23" s="30"/>
      <c r="L23" s="47">
        <v>1200</v>
      </c>
      <c r="M23" s="23"/>
      <c r="Q23" s="13">
        <v>32800</v>
      </c>
      <c r="R23" s="13">
        <v>1600</v>
      </c>
      <c r="S23" s="13">
        <v>34400</v>
      </c>
      <c r="U23" s="13">
        <v>32800</v>
      </c>
      <c r="V23" s="13">
        <v>1600</v>
      </c>
      <c r="W23" s="13">
        <v>34400</v>
      </c>
      <c r="Y23" s="13">
        <v>32800</v>
      </c>
      <c r="Z23" s="13">
        <v>1600</v>
      </c>
      <c r="AA23" s="13">
        <v>34400</v>
      </c>
    </row>
    <row r="24" spans="1:27" s="13" customFormat="1" ht="16.5" customHeight="1" x14ac:dyDescent="0.45">
      <c r="A24" s="91">
        <v>23</v>
      </c>
      <c r="B24" s="91">
        <v>3</v>
      </c>
      <c r="C24" s="89">
        <v>1</v>
      </c>
      <c r="D24" s="58">
        <v>2</v>
      </c>
      <c r="E24" s="89">
        <v>19</v>
      </c>
      <c r="F24" s="58" t="s">
        <v>372</v>
      </c>
      <c r="G24" s="89" t="s">
        <v>14</v>
      </c>
      <c r="H24" s="58" t="s">
        <v>690</v>
      </c>
      <c r="I24" s="18" t="s">
        <v>545</v>
      </c>
      <c r="J24" s="46">
        <v>32800</v>
      </c>
      <c r="K24" s="22"/>
      <c r="L24" s="46">
        <v>1600</v>
      </c>
      <c r="M24" s="23"/>
      <c r="Q24" s="13">
        <f>Q23*10</f>
        <v>328000</v>
      </c>
      <c r="R24" s="13">
        <f t="shared" ref="R24:S24" si="10">R23*10</f>
        <v>16000</v>
      </c>
      <c r="S24" s="13">
        <f t="shared" si="10"/>
        <v>344000</v>
      </c>
      <c r="U24" s="13">
        <f>U23*9</f>
        <v>295200</v>
      </c>
      <c r="V24" s="13">
        <f t="shared" ref="V24:W24" si="11">V23*9</f>
        <v>14400</v>
      </c>
      <c r="W24" s="13">
        <f t="shared" si="11"/>
        <v>309600</v>
      </c>
      <c r="Y24" s="13">
        <f>Y23*9</f>
        <v>295200</v>
      </c>
      <c r="Z24" s="13">
        <f t="shared" ref="Z24:AA24" si="12">Z23*9</f>
        <v>14400</v>
      </c>
      <c r="AA24" s="13">
        <f t="shared" si="12"/>
        <v>309600</v>
      </c>
    </row>
    <row r="25" spans="1:27" s="13" customFormat="1" ht="16.5" customHeight="1" x14ac:dyDescent="0.45">
      <c r="A25" s="91">
        <v>24</v>
      </c>
      <c r="B25" s="91">
        <v>4</v>
      </c>
      <c r="C25" s="89">
        <v>1</v>
      </c>
      <c r="D25" s="58">
        <v>8</v>
      </c>
      <c r="E25" s="89">
        <v>4</v>
      </c>
      <c r="F25" s="58" t="s">
        <v>107</v>
      </c>
      <c r="G25" s="89" t="s">
        <v>14</v>
      </c>
      <c r="H25" s="58" t="s">
        <v>690</v>
      </c>
      <c r="I25" s="28" t="s">
        <v>328</v>
      </c>
      <c r="J25" s="47">
        <v>24600</v>
      </c>
      <c r="K25" s="30"/>
      <c r="L25" s="47">
        <v>1200</v>
      </c>
      <c r="M25" s="23"/>
      <c r="Q25" s="13">
        <v>-28700</v>
      </c>
      <c r="R25" s="13">
        <v>-1400</v>
      </c>
      <c r="S25" s="13">
        <v>-30100</v>
      </c>
      <c r="W25" s="33"/>
    </row>
    <row r="26" spans="1:27" s="13" customFormat="1" ht="16.5" customHeight="1" x14ac:dyDescent="0.45">
      <c r="A26" s="91">
        <v>25</v>
      </c>
      <c r="B26" s="91">
        <v>5</v>
      </c>
      <c r="C26" s="89">
        <v>1</v>
      </c>
      <c r="D26" s="58">
        <v>12</v>
      </c>
      <c r="E26" s="89">
        <v>17</v>
      </c>
      <c r="F26" s="58" t="s">
        <v>409</v>
      </c>
      <c r="G26" s="89" t="s">
        <v>14</v>
      </c>
      <c r="H26" s="58" t="s">
        <v>690</v>
      </c>
      <c r="I26" s="18" t="s">
        <v>545</v>
      </c>
      <c r="J26" s="46">
        <v>32800</v>
      </c>
      <c r="K26" s="22"/>
      <c r="L26" s="46">
        <v>1600</v>
      </c>
      <c r="M26" s="23"/>
      <c r="Q26" s="13">
        <f>SUM(Q24:Q25)</f>
        <v>299300</v>
      </c>
      <c r="R26" s="13">
        <f t="shared" ref="R26:S26" si="13">SUM(R24:R25)</f>
        <v>14600</v>
      </c>
      <c r="S26" s="13">
        <f t="shared" si="13"/>
        <v>313900</v>
      </c>
      <c r="W26" s="33"/>
    </row>
    <row r="27" spans="1:27" s="13" customFormat="1" ht="16.5" customHeight="1" x14ac:dyDescent="0.45">
      <c r="A27" s="91">
        <v>26</v>
      </c>
      <c r="B27" s="91">
        <v>6</v>
      </c>
      <c r="C27" s="89">
        <v>2</v>
      </c>
      <c r="D27" s="58">
        <v>6</v>
      </c>
      <c r="E27" s="89">
        <v>11</v>
      </c>
      <c r="F27" s="58" t="s">
        <v>40</v>
      </c>
      <c r="G27" s="89" t="s">
        <v>14</v>
      </c>
      <c r="H27" s="58" t="s">
        <v>690</v>
      </c>
      <c r="I27" s="18" t="s">
        <v>545</v>
      </c>
      <c r="J27" s="46">
        <v>32800</v>
      </c>
      <c r="K27" s="22"/>
      <c r="L27" s="46">
        <v>1600</v>
      </c>
      <c r="M27" s="23"/>
      <c r="W27" s="33"/>
    </row>
    <row r="28" spans="1:27" s="13" customFormat="1" ht="16.5" customHeight="1" x14ac:dyDescent="0.45">
      <c r="A28" s="91">
        <v>27</v>
      </c>
      <c r="B28" s="91">
        <v>7</v>
      </c>
      <c r="C28" s="89">
        <v>2</v>
      </c>
      <c r="D28" s="58">
        <v>9</v>
      </c>
      <c r="E28" s="89">
        <v>11</v>
      </c>
      <c r="F28" s="58" t="s">
        <v>247</v>
      </c>
      <c r="G28" s="89" t="s">
        <v>14</v>
      </c>
      <c r="H28" s="58" t="s">
        <v>690</v>
      </c>
      <c r="I28" s="18" t="s">
        <v>545</v>
      </c>
      <c r="J28" s="46">
        <v>32800</v>
      </c>
      <c r="K28" s="22"/>
      <c r="L28" s="46">
        <v>1600</v>
      </c>
      <c r="M28" s="23"/>
      <c r="W28" s="33"/>
    </row>
    <row r="29" spans="1:27" s="13" customFormat="1" ht="16.5" customHeight="1" x14ac:dyDescent="0.45">
      <c r="A29" s="91">
        <v>28</v>
      </c>
      <c r="B29" s="91">
        <v>8</v>
      </c>
      <c r="C29" s="89">
        <v>3</v>
      </c>
      <c r="D29" s="58">
        <v>2</v>
      </c>
      <c r="E29" s="89">
        <v>4</v>
      </c>
      <c r="F29" s="58" t="s">
        <v>597</v>
      </c>
      <c r="G29" s="89" t="s">
        <v>14</v>
      </c>
      <c r="H29" s="58" t="s">
        <v>690</v>
      </c>
      <c r="I29" s="18" t="s">
        <v>545</v>
      </c>
      <c r="J29" s="46">
        <v>32800</v>
      </c>
      <c r="K29" s="22"/>
      <c r="L29" s="46">
        <v>1600</v>
      </c>
      <c r="M29" s="23"/>
      <c r="W29" s="33"/>
    </row>
    <row r="30" spans="1:27" s="13" customFormat="1" ht="16.5" customHeight="1" x14ac:dyDescent="0.45">
      <c r="A30" s="91">
        <v>29</v>
      </c>
      <c r="B30" s="91">
        <v>9</v>
      </c>
      <c r="C30" s="89">
        <v>3</v>
      </c>
      <c r="D30" s="58">
        <v>6</v>
      </c>
      <c r="E30" s="89">
        <v>12</v>
      </c>
      <c r="F30" s="58" t="s">
        <v>339</v>
      </c>
      <c r="G30" s="89" t="s">
        <v>14</v>
      </c>
      <c r="H30" s="58" t="s">
        <v>690</v>
      </c>
      <c r="I30" s="28" t="s">
        <v>327</v>
      </c>
      <c r="J30" s="47">
        <v>20500</v>
      </c>
      <c r="K30" s="30"/>
      <c r="L30" s="47">
        <v>1000</v>
      </c>
      <c r="M30" s="23"/>
      <c r="Q30" s="34">
        <f>SUM(Q26,U24,Y24)</f>
        <v>889700</v>
      </c>
      <c r="R30" s="34">
        <f>SUM(R26,V24,Z24)</f>
        <v>43400</v>
      </c>
      <c r="S30" s="34">
        <f>SUM(S26,W24,AA24)</f>
        <v>933100</v>
      </c>
      <c r="W30" s="33"/>
    </row>
    <row r="31" spans="1:27" s="13" customFormat="1" ht="16.5" customHeight="1" x14ac:dyDescent="0.45">
      <c r="A31" s="91">
        <v>30</v>
      </c>
      <c r="B31" s="91">
        <v>10</v>
      </c>
      <c r="C31" s="89">
        <v>3</v>
      </c>
      <c r="D31" s="58">
        <v>9</v>
      </c>
      <c r="E31" s="89">
        <v>5</v>
      </c>
      <c r="F31" s="58" t="s">
        <v>36</v>
      </c>
      <c r="G31" s="89" t="s">
        <v>14</v>
      </c>
      <c r="H31" s="58" t="s">
        <v>690</v>
      </c>
      <c r="I31" s="18" t="s">
        <v>545</v>
      </c>
      <c r="J31" s="46">
        <v>32800</v>
      </c>
      <c r="K31" s="22"/>
      <c r="L31" s="46">
        <v>1600</v>
      </c>
      <c r="M31" s="23"/>
      <c r="W31" s="33"/>
    </row>
    <row r="32" spans="1:27" s="13" customFormat="1" ht="16.5" customHeight="1" x14ac:dyDescent="0.45">
      <c r="A32" s="91">
        <v>31</v>
      </c>
      <c r="B32" s="88">
        <v>1</v>
      </c>
      <c r="C32" s="87">
        <v>1</v>
      </c>
      <c r="D32" s="56">
        <v>1</v>
      </c>
      <c r="E32" s="87">
        <v>1</v>
      </c>
      <c r="F32" s="56" t="s">
        <v>152</v>
      </c>
      <c r="G32" s="87" t="s">
        <v>14</v>
      </c>
      <c r="H32" s="56" t="s">
        <v>692</v>
      </c>
      <c r="I32" s="39" t="s">
        <v>545</v>
      </c>
      <c r="J32" s="42">
        <v>32800</v>
      </c>
      <c r="K32" s="44"/>
      <c r="L32" s="42">
        <v>1600</v>
      </c>
      <c r="M32" s="45">
        <f>SUM(J32:K40)</f>
        <v>266500</v>
      </c>
      <c r="W32" s="33"/>
    </row>
    <row r="33" spans="1:27" s="13" customFormat="1" ht="16.5" customHeight="1" x14ac:dyDescent="0.45">
      <c r="A33" s="91">
        <v>32</v>
      </c>
      <c r="B33" s="91">
        <v>2</v>
      </c>
      <c r="C33" s="89">
        <v>1</v>
      </c>
      <c r="D33" s="58">
        <v>7</v>
      </c>
      <c r="E33" s="89">
        <v>2</v>
      </c>
      <c r="F33" s="58" t="s">
        <v>646</v>
      </c>
      <c r="G33" s="89" t="s">
        <v>14</v>
      </c>
      <c r="H33" s="58" t="s">
        <v>692</v>
      </c>
      <c r="I33" s="18" t="s">
        <v>545</v>
      </c>
      <c r="J33" s="46">
        <v>32800</v>
      </c>
      <c r="K33" s="22"/>
      <c r="L33" s="46">
        <v>1600</v>
      </c>
      <c r="M33" s="23"/>
      <c r="Q33" s="13">
        <v>32800</v>
      </c>
      <c r="R33" s="13">
        <v>1600</v>
      </c>
      <c r="S33" s="13">
        <v>34400</v>
      </c>
      <c r="U33" s="13">
        <v>32800</v>
      </c>
      <c r="V33" s="13">
        <v>1600</v>
      </c>
      <c r="W33" s="13">
        <v>34400</v>
      </c>
      <c r="Y33" s="13">
        <v>32800</v>
      </c>
      <c r="Z33" s="13">
        <v>1600</v>
      </c>
      <c r="AA33" s="13">
        <v>34400</v>
      </c>
    </row>
    <row r="34" spans="1:27" s="13" customFormat="1" ht="16.5" customHeight="1" x14ac:dyDescent="0.45">
      <c r="A34" s="91">
        <v>33</v>
      </c>
      <c r="B34" s="91">
        <v>3</v>
      </c>
      <c r="C34" s="89">
        <v>2</v>
      </c>
      <c r="D34" s="58">
        <v>1</v>
      </c>
      <c r="E34" s="89">
        <v>22</v>
      </c>
      <c r="F34" s="58" t="s">
        <v>693</v>
      </c>
      <c r="G34" s="89" t="s">
        <v>14</v>
      </c>
      <c r="H34" s="58" t="s">
        <v>692</v>
      </c>
      <c r="I34" s="28" t="s">
        <v>678</v>
      </c>
      <c r="J34" s="47">
        <v>28700</v>
      </c>
      <c r="K34" s="30"/>
      <c r="L34" s="47">
        <v>1400</v>
      </c>
      <c r="M34" s="23"/>
      <c r="Q34" s="13">
        <f>Q33*9</f>
        <v>295200</v>
      </c>
      <c r="R34" s="13">
        <f t="shared" ref="R34:S34" si="14">R33*9</f>
        <v>14400</v>
      </c>
      <c r="S34" s="13">
        <f t="shared" si="14"/>
        <v>309600</v>
      </c>
      <c r="U34" s="13">
        <f>U33*9</f>
        <v>295200</v>
      </c>
      <c r="V34" s="13">
        <f t="shared" ref="V34:W34" si="15">V33*9</f>
        <v>14400</v>
      </c>
      <c r="W34" s="13">
        <f t="shared" si="15"/>
        <v>309600</v>
      </c>
      <c r="Y34" s="13">
        <f>Y33*9</f>
        <v>295200</v>
      </c>
      <c r="Z34" s="13">
        <f t="shared" ref="Z34:AA34" si="16">Z33*9</f>
        <v>14400</v>
      </c>
      <c r="AA34" s="13">
        <f t="shared" si="16"/>
        <v>309600</v>
      </c>
    </row>
    <row r="35" spans="1:27" s="13" customFormat="1" ht="16.5" customHeight="1" x14ac:dyDescent="0.45">
      <c r="A35" s="91">
        <v>34</v>
      </c>
      <c r="B35" s="91">
        <v>4</v>
      </c>
      <c r="C35" s="89">
        <v>2</v>
      </c>
      <c r="D35" s="58">
        <v>2</v>
      </c>
      <c r="E35" s="89">
        <v>11</v>
      </c>
      <c r="F35" s="58" t="s">
        <v>243</v>
      </c>
      <c r="G35" s="89" t="s">
        <v>14</v>
      </c>
      <c r="H35" s="58" t="s">
        <v>692</v>
      </c>
      <c r="I35" s="28" t="s">
        <v>328</v>
      </c>
      <c r="J35" s="47">
        <v>24600</v>
      </c>
      <c r="K35" s="30"/>
      <c r="L35" s="47">
        <v>1200</v>
      </c>
      <c r="M35" s="23"/>
      <c r="Q35" s="13">
        <v>-28700</v>
      </c>
      <c r="R35" s="13">
        <v>-1400</v>
      </c>
      <c r="S35" s="13">
        <v>-30100</v>
      </c>
      <c r="T35" s="13">
        <f t="shared" ref="T35" si="17">SUM(T26,T30,T33)</f>
        <v>0</v>
      </c>
      <c r="W35" s="33"/>
    </row>
    <row r="36" spans="1:27" s="13" customFormat="1" ht="16.5" customHeight="1" x14ac:dyDescent="0.45">
      <c r="A36" s="91">
        <v>35</v>
      </c>
      <c r="B36" s="91">
        <v>5</v>
      </c>
      <c r="C36" s="89">
        <v>2</v>
      </c>
      <c r="D36" s="58">
        <v>5</v>
      </c>
      <c r="E36" s="89">
        <v>2</v>
      </c>
      <c r="F36" s="58" t="s">
        <v>147</v>
      </c>
      <c r="G36" s="89" t="s">
        <v>14</v>
      </c>
      <c r="H36" s="58" t="s">
        <v>692</v>
      </c>
      <c r="I36" s="28" t="s">
        <v>328</v>
      </c>
      <c r="J36" s="47">
        <v>24600</v>
      </c>
      <c r="K36" s="30"/>
      <c r="L36" s="47">
        <v>1200</v>
      </c>
      <c r="M36" s="23"/>
      <c r="Q36" s="13">
        <f>SUM(Q34:Q35)</f>
        <v>266500</v>
      </c>
      <c r="R36" s="13">
        <f t="shared" ref="R36:S36" si="18">SUM(R34:R35)</f>
        <v>13000</v>
      </c>
      <c r="S36" s="13">
        <f t="shared" si="18"/>
        <v>279500</v>
      </c>
      <c r="W36" s="33"/>
    </row>
    <row r="37" spans="1:27" s="13" customFormat="1" ht="16.5" customHeight="1" x14ac:dyDescent="0.45">
      <c r="A37" s="91">
        <v>36</v>
      </c>
      <c r="B37" s="91">
        <v>6</v>
      </c>
      <c r="C37" s="89">
        <v>2</v>
      </c>
      <c r="D37" s="58">
        <v>6</v>
      </c>
      <c r="E37" s="89">
        <v>18</v>
      </c>
      <c r="F37" s="58" t="s">
        <v>164</v>
      </c>
      <c r="G37" s="89" t="s">
        <v>14</v>
      </c>
      <c r="H37" s="58" t="s">
        <v>692</v>
      </c>
      <c r="I37" s="18" t="s">
        <v>545</v>
      </c>
      <c r="J37" s="46">
        <v>32800</v>
      </c>
      <c r="K37" s="22"/>
      <c r="L37" s="46">
        <v>1600</v>
      </c>
      <c r="M37" s="23"/>
      <c r="W37" s="33"/>
    </row>
    <row r="38" spans="1:27" s="13" customFormat="1" ht="16.5" customHeight="1" x14ac:dyDescent="0.45">
      <c r="A38" s="91">
        <v>37</v>
      </c>
      <c r="B38" s="91">
        <v>7</v>
      </c>
      <c r="C38" s="89">
        <v>2</v>
      </c>
      <c r="D38" s="58">
        <v>11</v>
      </c>
      <c r="E38" s="89">
        <v>16</v>
      </c>
      <c r="F38" s="58" t="s">
        <v>111</v>
      </c>
      <c r="G38" s="89" t="s">
        <v>14</v>
      </c>
      <c r="H38" s="58" t="s">
        <v>692</v>
      </c>
      <c r="I38" s="28" t="s">
        <v>328</v>
      </c>
      <c r="J38" s="47">
        <v>24600</v>
      </c>
      <c r="K38" s="30"/>
      <c r="L38" s="47">
        <v>1200</v>
      </c>
      <c r="M38" s="23"/>
      <c r="W38" s="33"/>
    </row>
    <row r="39" spans="1:27" s="13" customFormat="1" ht="16.5" customHeight="1" x14ac:dyDescent="0.45">
      <c r="A39" s="91">
        <v>38</v>
      </c>
      <c r="B39" s="91">
        <v>8</v>
      </c>
      <c r="C39" s="89">
        <v>3</v>
      </c>
      <c r="D39" s="58">
        <v>3</v>
      </c>
      <c r="E39" s="89">
        <v>13</v>
      </c>
      <c r="F39" s="58" t="s">
        <v>86</v>
      </c>
      <c r="G39" s="89" t="s">
        <v>14</v>
      </c>
      <c r="H39" s="58" t="s">
        <v>692</v>
      </c>
      <c r="I39" s="18" t="s">
        <v>545</v>
      </c>
      <c r="J39" s="46">
        <v>32800</v>
      </c>
      <c r="K39" s="22"/>
      <c r="L39" s="46">
        <v>1600</v>
      </c>
      <c r="M39" s="23"/>
      <c r="Q39" s="34">
        <f>SUM(Q36,U34,Y34)</f>
        <v>856900</v>
      </c>
      <c r="R39" s="34">
        <f>SUM(R36,V34,Z34)</f>
        <v>41800</v>
      </c>
      <c r="S39" s="34">
        <f>SUM(S36,W34,AA34)</f>
        <v>898700</v>
      </c>
      <c r="W39" s="33"/>
    </row>
    <row r="40" spans="1:27" s="13" customFormat="1" ht="16.5" customHeight="1" x14ac:dyDescent="0.45">
      <c r="A40" s="91">
        <v>39</v>
      </c>
      <c r="B40" s="91">
        <v>9</v>
      </c>
      <c r="C40" s="89">
        <v>3</v>
      </c>
      <c r="D40" s="58">
        <v>7</v>
      </c>
      <c r="E40" s="89">
        <v>18</v>
      </c>
      <c r="F40" s="58" t="s">
        <v>463</v>
      </c>
      <c r="G40" s="89" t="s">
        <v>14</v>
      </c>
      <c r="H40" s="58" t="s">
        <v>692</v>
      </c>
      <c r="I40" s="18" t="s">
        <v>545</v>
      </c>
      <c r="J40" s="46">
        <v>32800</v>
      </c>
      <c r="K40" s="22"/>
      <c r="L40" s="46">
        <v>1600</v>
      </c>
      <c r="M40" s="23"/>
      <c r="W40" s="33"/>
    </row>
    <row r="41" spans="1:27" s="13" customFormat="1" ht="16.5" customHeight="1" x14ac:dyDescent="0.45">
      <c r="A41" s="91">
        <v>40</v>
      </c>
      <c r="B41" s="88">
        <v>1</v>
      </c>
      <c r="C41" s="87">
        <v>1</v>
      </c>
      <c r="D41" s="56">
        <v>4</v>
      </c>
      <c r="E41" s="87">
        <v>3</v>
      </c>
      <c r="F41" s="56" t="s">
        <v>49</v>
      </c>
      <c r="G41" s="87" t="s">
        <v>14</v>
      </c>
      <c r="H41" s="56" t="s">
        <v>694</v>
      </c>
      <c r="I41" s="110" t="s">
        <v>328</v>
      </c>
      <c r="J41" s="119">
        <v>24600</v>
      </c>
      <c r="K41" s="151"/>
      <c r="L41" s="119">
        <v>1200</v>
      </c>
      <c r="M41" s="45">
        <f>SUM(J41:K50)</f>
        <v>299300</v>
      </c>
      <c r="Q41" s="13">
        <v>32800</v>
      </c>
      <c r="R41" s="13">
        <v>1600</v>
      </c>
      <c r="S41" s="13">
        <v>34400</v>
      </c>
      <c r="T41" s="13">
        <f t="shared" ref="T41" si="19">SUM(T39:T40)</f>
        <v>0</v>
      </c>
      <c r="U41" s="13">
        <v>28700</v>
      </c>
      <c r="V41" s="13">
        <v>1400</v>
      </c>
      <c r="W41" s="13">
        <v>30100</v>
      </c>
      <c r="Y41" s="13">
        <v>28700</v>
      </c>
      <c r="Z41" s="13">
        <v>1400</v>
      </c>
      <c r="AA41" s="13">
        <v>30100</v>
      </c>
    </row>
    <row r="42" spans="1:27" s="13" customFormat="1" ht="16.5" customHeight="1" x14ac:dyDescent="0.45">
      <c r="A42" s="91">
        <v>41</v>
      </c>
      <c r="B42" s="91">
        <v>2</v>
      </c>
      <c r="C42" s="89">
        <v>1</v>
      </c>
      <c r="D42" s="58">
        <v>9</v>
      </c>
      <c r="E42" s="89">
        <v>10</v>
      </c>
      <c r="F42" s="58" t="s">
        <v>695</v>
      </c>
      <c r="G42" s="89" t="s">
        <v>14</v>
      </c>
      <c r="H42" s="58" t="s">
        <v>694</v>
      </c>
      <c r="I42" s="18" t="s">
        <v>545</v>
      </c>
      <c r="J42" s="46">
        <v>32800</v>
      </c>
      <c r="K42" s="22"/>
      <c r="L42" s="46">
        <v>1600</v>
      </c>
      <c r="M42" s="23"/>
      <c r="Q42" s="13">
        <f>Q41*10</f>
        <v>328000</v>
      </c>
      <c r="R42" s="13">
        <f t="shared" ref="R42:S42" si="20">R41*10</f>
        <v>16000</v>
      </c>
      <c r="S42" s="13">
        <f t="shared" si="20"/>
        <v>344000</v>
      </c>
      <c r="U42" s="13">
        <f>U41*10</f>
        <v>287000</v>
      </c>
      <c r="V42" s="13">
        <f t="shared" ref="V42:W42" si="21">V41*10</f>
        <v>14000</v>
      </c>
      <c r="W42" s="13">
        <f t="shared" si="21"/>
        <v>301000</v>
      </c>
      <c r="Y42" s="13">
        <f>Y41*10</f>
        <v>287000</v>
      </c>
      <c r="Z42" s="13">
        <f t="shared" ref="Z42:AA42" si="22">Z41*10</f>
        <v>14000</v>
      </c>
      <c r="AA42" s="13">
        <f t="shared" si="22"/>
        <v>301000</v>
      </c>
    </row>
    <row r="43" spans="1:27" s="13" customFormat="1" ht="16.5" customHeight="1" x14ac:dyDescent="0.45">
      <c r="A43" s="91">
        <v>42</v>
      </c>
      <c r="B43" s="91">
        <v>3</v>
      </c>
      <c r="C43" s="89">
        <v>1</v>
      </c>
      <c r="D43" s="58">
        <v>10</v>
      </c>
      <c r="E43" s="89">
        <v>6</v>
      </c>
      <c r="F43" s="58" t="s">
        <v>514</v>
      </c>
      <c r="G43" s="89" t="s">
        <v>14</v>
      </c>
      <c r="H43" s="58" t="s">
        <v>694</v>
      </c>
      <c r="I43" s="18" t="s">
        <v>545</v>
      </c>
      <c r="J43" s="46">
        <v>32800</v>
      </c>
      <c r="K43" s="22"/>
      <c r="L43" s="46">
        <v>1600</v>
      </c>
      <c r="M43" s="23"/>
      <c r="O43" s="27">
        <f>SUM(J41:K74)</f>
        <v>1049600</v>
      </c>
      <c r="Q43" s="13">
        <v>-28700</v>
      </c>
      <c r="R43" s="13">
        <v>-1400</v>
      </c>
      <c r="S43" s="13">
        <v>-30100</v>
      </c>
      <c r="W43" s="33"/>
    </row>
    <row r="44" spans="1:27" s="13" customFormat="1" ht="16.5" customHeight="1" x14ac:dyDescent="0.45">
      <c r="A44" s="91">
        <v>43</v>
      </c>
      <c r="B44" s="91">
        <v>4</v>
      </c>
      <c r="C44" s="89">
        <v>2</v>
      </c>
      <c r="D44" s="58">
        <v>1</v>
      </c>
      <c r="E44" s="89">
        <v>5</v>
      </c>
      <c r="F44" s="58" t="s">
        <v>159</v>
      </c>
      <c r="G44" s="89" t="s">
        <v>14</v>
      </c>
      <c r="H44" s="58" t="s">
        <v>694</v>
      </c>
      <c r="I44" s="18" t="s">
        <v>545</v>
      </c>
      <c r="J44" s="46">
        <v>32800</v>
      </c>
      <c r="K44" s="22"/>
      <c r="L44" s="46">
        <v>1600</v>
      </c>
      <c r="M44" s="23"/>
      <c r="O44" s="27">
        <f>SUM(L41:L74)</f>
        <v>51200</v>
      </c>
      <c r="Q44" s="13">
        <f>SUM(Q42:Q43)</f>
        <v>299300</v>
      </c>
      <c r="R44" s="13">
        <f t="shared" ref="R44:S44" si="23">SUM(R42:R43)</f>
        <v>14600</v>
      </c>
      <c r="S44" s="13">
        <f t="shared" si="23"/>
        <v>313900</v>
      </c>
      <c r="W44" s="33"/>
    </row>
    <row r="45" spans="1:27" s="13" customFormat="1" ht="16.5" customHeight="1" x14ac:dyDescent="0.45">
      <c r="A45" s="91">
        <v>44</v>
      </c>
      <c r="B45" s="91">
        <v>5</v>
      </c>
      <c r="C45" s="89">
        <v>2</v>
      </c>
      <c r="D45" s="58">
        <v>1</v>
      </c>
      <c r="E45" s="89">
        <v>23</v>
      </c>
      <c r="F45" s="58" t="s">
        <v>419</v>
      </c>
      <c r="G45" s="89" t="s">
        <v>14</v>
      </c>
      <c r="H45" s="58" t="s">
        <v>694</v>
      </c>
      <c r="I45" s="28" t="s">
        <v>328</v>
      </c>
      <c r="J45" s="47">
        <v>24600</v>
      </c>
      <c r="K45" s="30"/>
      <c r="L45" s="47">
        <v>1200</v>
      </c>
      <c r="M45" s="23"/>
      <c r="O45" s="27">
        <f>SUM(O43:O44)</f>
        <v>1100800</v>
      </c>
      <c r="W45" s="33"/>
    </row>
    <row r="46" spans="1:27" s="13" customFormat="1" ht="16.5" customHeight="1" x14ac:dyDescent="0.45">
      <c r="A46" s="91">
        <v>45</v>
      </c>
      <c r="B46" s="91">
        <v>6</v>
      </c>
      <c r="C46" s="89">
        <v>2</v>
      </c>
      <c r="D46" s="58">
        <v>2</v>
      </c>
      <c r="E46" s="89">
        <v>14</v>
      </c>
      <c r="F46" s="58" t="s">
        <v>116</v>
      </c>
      <c r="G46" s="89" t="s">
        <v>14</v>
      </c>
      <c r="H46" s="58" t="s">
        <v>694</v>
      </c>
      <c r="I46" s="18" t="s">
        <v>545</v>
      </c>
      <c r="J46" s="46">
        <v>32800</v>
      </c>
      <c r="K46" s="22"/>
      <c r="L46" s="46">
        <v>1600</v>
      </c>
      <c r="M46" s="23"/>
      <c r="W46" s="33"/>
    </row>
    <row r="47" spans="1:27" s="13" customFormat="1" ht="16.5" customHeight="1" x14ac:dyDescent="0.45">
      <c r="A47" s="91">
        <v>46</v>
      </c>
      <c r="B47" s="91">
        <v>7</v>
      </c>
      <c r="C47" s="89">
        <v>2</v>
      </c>
      <c r="D47" s="58">
        <v>5</v>
      </c>
      <c r="E47" s="89">
        <v>2</v>
      </c>
      <c r="F47" s="58" t="s">
        <v>147</v>
      </c>
      <c r="G47" s="89" t="s">
        <v>14</v>
      </c>
      <c r="H47" s="58" t="s">
        <v>694</v>
      </c>
      <c r="I47" s="18" t="s">
        <v>545</v>
      </c>
      <c r="J47" s="46">
        <v>32800</v>
      </c>
      <c r="K47" s="22"/>
      <c r="L47" s="46">
        <v>1600</v>
      </c>
      <c r="M47" s="23"/>
      <c r="W47" s="33"/>
    </row>
    <row r="48" spans="1:27" s="13" customFormat="1" ht="16.5" customHeight="1" x14ac:dyDescent="0.45">
      <c r="A48" s="91">
        <v>47</v>
      </c>
      <c r="B48" s="91">
        <v>8</v>
      </c>
      <c r="C48" s="89">
        <v>2</v>
      </c>
      <c r="D48" s="58">
        <v>11</v>
      </c>
      <c r="E48" s="89">
        <v>14</v>
      </c>
      <c r="F48" s="58" t="s">
        <v>696</v>
      </c>
      <c r="G48" s="89" t="s">
        <v>14</v>
      </c>
      <c r="H48" s="58" t="s">
        <v>694</v>
      </c>
      <c r="I48" s="18" t="s">
        <v>545</v>
      </c>
      <c r="J48" s="46">
        <v>32800</v>
      </c>
      <c r="K48" s="22"/>
      <c r="L48" s="46">
        <v>1600</v>
      </c>
      <c r="M48" s="23"/>
      <c r="W48" s="33"/>
    </row>
    <row r="49" spans="1:27" s="13" customFormat="1" ht="16.5" customHeight="1" x14ac:dyDescent="0.45">
      <c r="A49" s="91">
        <v>48</v>
      </c>
      <c r="B49" s="91">
        <v>9</v>
      </c>
      <c r="C49" s="89">
        <v>3</v>
      </c>
      <c r="D49" s="58">
        <v>3</v>
      </c>
      <c r="E49" s="89">
        <v>25</v>
      </c>
      <c r="F49" s="58" t="s">
        <v>697</v>
      </c>
      <c r="G49" s="89" t="s">
        <v>14</v>
      </c>
      <c r="H49" s="58" t="s">
        <v>694</v>
      </c>
      <c r="I49" s="28" t="s">
        <v>328</v>
      </c>
      <c r="J49" s="47">
        <v>24600</v>
      </c>
      <c r="K49" s="30"/>
      <c r="L49" s="47">
        <v>1200</v>
      </c>
      <c r="M49" s="23"/>
      <c r="Q49" s="34">
        <f>SUM(Q44,U42,Y42)</f>
        <v>873300</v>
      </c>
      <c r="R49" s="34">
        <f>SUM(R44,V42,Z42)</f>
        <v>42600</v>
      </c>
      <c r="S49" s="34">
        <f>SUM(S44,W42,AA42)</f>
        <v>915900</v>
      </c>
      <c r="W49" s="33"/>
    </row>
    <row r="50" spans="1:27" s="13" customFormat="1" ht="16.5" customHeight="1" x14ac:dyDescent="0.45">
      <c r="A50" s="91">
        <v>49</v>
      </c>
      <c r="B50" s="91">
        <v>10</v>
      </c>
      <c r="C50" s="89">
        <v>3</v>
      </c>
      <c r="D50" s="58">
        <v>7</v>
      </c>
      <c r="E50" s="89">
        <v>22</v>
      </c>
      <c r="F50" s="58" t="s">
        <v>89</v>
      </c>
      <c r="G50" s="89" t="s">
        <v>14</v>
      </c>
      <c r="H50" s="58" t="s">
        <v>694</v>
      </c>
      <c r="I50" s="28" t="s">
        <v>678</v>
      </c>
      <c r="J50" s="47">
        <v>28700</v>
      </c>
      <c r="K50" s="30"/>
      <c r="L50" s="47">
        <v>1400</v>
      </c>
      <c r="M50" s="23"/>
      <c r="W50" s="33"/>
    </row>
    <row r="51" spans="1:27" s="13" customFormat="1" ht="16.5" customHeight="1" x14ac:dyDescent="0.45">
      <c r="A51" s="91">
        <v>50</v>
      </c>
      <c r="B51" s="88">
        <v>1</v>
      </c>
      <c r="C51" s="87">
        <v>1</v>
      </c>
      <c r="D51" s="56">
        <v>2</v>
      </c>
      <c r="E51" s="87">
        <v>13</v>
      </c>
      <c r="F51" s="56" t="s">
        <v>101</v>
      </c>
      <c r="G51" s="87" t="s">
        <v>14</v>
      </c>
      <c r="H51" s="56" t="s">
        <v>698</v>
      </c>
      <c r="I51" s="110" t="s">
        <v>678</v>
      </c>
      <c r="J51" s="119">
        <v>28700</v>
      </c>
      <c r="K51" s="151"/>
      <c r="L51" s="119">
        <v>1400</v>
      </c>
      <c r="M51" s="45">
        <f>SUM(J51:K60)</f>
        <v>315700</v>
      </c>
      <c r="W51" s="33"/>
    </row>
    <row r="52" spans="1:27" s="13" customFormat="1" ht="16.5" customHeight="1" x14ac:dyDescent="0.45">
      <c r="A52" s="91">
        <v>51</v>
      </c>
      <c r="B52" s="91">
        <v>2</v>
      </c>
      <c r="C52" s="89">
        <v>1</v>
      </c>
      <c r="D52" s="58">
        <v>6</v>
      </c>
      <c r="E52" s="89">
        <v>14</v>
      </c>
      <c r="F52" s="58" t="s">
        <v>699</v>
      </c>
      <c r="G52" s="89" t="s">
        <v>14</v>
      </c>
      <c r="H52" s="58" t="s">
        <v>698</v>
      </c>
      <c r="I52" s="18" t="s">
        <v>545</v>
      </c>
      <c r="J52" s="46">
        <v>32800</v>
      </c>
      <c r="K52" s="22"/>
      <c r="L52" s="46">
        <v>1600</v>
      </c>
      <c r="M52" s="23"/>
      <c r="W52" s="33"/>
    </row>
    <row r="53" spans="1:27" s="13" customFormat="1" ht="16.5" customHeight="1" x14ac:dyDescent="0.45">
      <c r="A53" s="91">
        <v>52</v>
      </c>
      <c r="B53" s="91">
        <v>3</v>
      </c>
      <c r="C53" s="89">
        <v>1</v>
      </c>
      <c r="D53" s="58">
        <v>6</v>
      </c>
      <c r="E53" s="89">
        <v>21</v>
      </c>
      <c r="F53" s="58" t="s">
        <v>63</v>
      </c>
      <c r="G53" s="89" t="s">
        <v>14</v>
      </c>
      <c r="H53" s="58" t="s">
        <v>698</v>
      </c>
      <c r="I53" s="18" t="s">
        <v>545</v>
      </c>
      <c r="J53" s="46">
        <v>32800</v>
      </c>
      <c r="K53" s="22"/>
      <c r="L53" s="46">
        <v>1600</v>
      </c>
      <c r="M53" s="23"/>
      <c r="W53" s="33"/>
    </row>
    <row r="54" spans="1:27" s="13" customFormat="1" ht="16.5" customHeight="1" x14ac:dyDescent="0.45">
      <c r="A54" s="91">
        <v>53</v>
      </c>
      <c r="B54" s="91">
        <v>4</v>
      </c>
      <c r="C54" s="89">
        <v>1</v>
      </c>
      <c r="D54" s="58">
        <v>7</v>
      </c>
      <c r="E54" s="89">
        <v>13</v>
      </c>
      <c r="F54" s="58" t="s">
        <v>700</v>
      </c>
      <c r="G54" s="89" t="s">
        <v>14</v>
      </c>
      <c r="H54" s="58" t="s">
        <v>698</v>
      </c>
      <c r="I54" s="18" t="s">
        <v>545</v>
      </c>
      <c r="J54" s="46">
        <v>32800</v>
      </c>
      <c r="K54" s="22"/>
      <c r="L54" s="46">
        <v>1600</v>
      </c>
      <c r="M54" s="23"/>
      <c r="Q54" s="13">
        <v>32800</v>
      </c>
      <c r="R54" s="13">
        <v>1600</v>
      </c>
      <c r="S54" s="13">
        <v>34400</v>
      </c>
      <c r="T54" s="13">
        <f t="shared" ref="T54" si="24">SUM(T52:T53)</f>
        <v>0</v>
      </c>
      <c r="U54" s="13">
        <v>28700</v>
      </c>
      <c r="V54" s="13">
        <v>1400</v>
      </c>
      <c r="W54" s="13">
        <v>30100</v>
      </c>
      <c r="Y54" s="13">
        <v>28700</v>
      </c>
      <c r="Z54" s="13">
        <v>1400</v>
      </c>
      <c r="AA54" s="13">
        <v>30100</v>
      </c>
    </row>
    <row r="55" spans="1:27" s="13" customFormat="1" ht="16.5" customHeight="1" x14ac:dyDescent="0.45">
      <c r="A55" s="91">
        <v>54</v>
      </c>
      <c r="B55" s="91">
        <v>5</v>
      </c>
      <c r="C55" s="95">
        <v>2</v>
      </c>
      <c r="D55" s="97">
        <v>7</v>
      </c>
      <c r="E55" s="95">
        <v>15</v>
      </c>
      <c r="F55" s="97" t="s">
        <v>173</v>
      </c>
      <c r="G55" s="95" t="s">
        <v>174</v>
      </c>
      <c r="H55" s="97" t="s">
        <v>698</v>
      </c>
      <c r="I55" s="81" t="s">
        <v>328</v>
      </c>
      <c r="J55" s="103">
        <v>0</v>
      </c>
      <c r="K55" s="219">
        <v>24600</v>
      </c>
      <c r="L55" s="220">
        <v>1200</v>
      </c>
      <c r="M55" s="23"/>
      <c r="Q55" s="13">
        <f>Q54*10</f>
        <v>328000</v>
      </c>
      <c r="R55" s="13">
        <f t="shared" ref="R55:S55" si="25">R54*10</f>
        <v>16000</v>
      </c>
      <c r="S55" s="13">
        <f t="shared" si="25"/>
        <v>344000</v>
      </c>
      <c r="U55" s="13">
        <f>U54*9</f>
        <v>258300</v>
      </c>
      <c r="V55" s="13">
        <f t="shared" ref="V55:W55" si="26">V54*9</f>
        <v>12600</v>
      </c>
      <c r="W55" s="13">
        <f t="shared" si="26"/>
        <v>270900</v>
      </c>
      <c r="Y55" s="13">
        <f>Y54*9</f>
        <v>258300</v>
      </c>
      <c r="Z55" s="13">
        <f t="shared" ref="Z55:AA55" si="27">Z54*9</f>
        <v>12600</v>
      </c>
      <c r="AA55" s="13">
        <f t="shared" si="27"/>
        <v>270900</v>
      </c>
    </row>
    <row r="56" spans="1:27" s="13" customFormat="1" ht="16.5" customHeight="1" x14ac:dyDescent="0.45">
      <c r="A56" s="91">
        <v>55</v>
      </c>
      <c r="B56" s="91">
        <v>6</v>
      </c>
      <c r="C56" s="89">
        <v>3</v>
      </c>
      <c r="D56" s="58">
        <v>1</v>
      </c>
      <c r="E56" s="89">
        <v>20</v>
      </c>
      <c r="F56" s="58" t="s">
        <v>316</v>
      </c>
      <c r="G56" s="89" t="s">
        <v>14</v>
      </c>
      <c r="H56" s="58" t="s">
        <v>698</v>
      </c>
      <c r="I56" s="18" t="s">
        <v>545</v>
      </c>
      <c r="J56" s="46">
        <v>32800</v>
      </c>
      <c r="K56" s="22"/>
      <c r="L56" s="46">
        <v>1600</v>
      </c>
      <c r="M56" s="23"/>
      <c r="Q56" s="13">
        <v>-12300</v>
      </c>
      <c r="R56" s="13">
        <v>-600</v>
      </c>
      <c r="S56" s="13">
        <v>-12900</v>
      </c>
      <c r="W56" s="33"/>
    </row>
    <row r="57" spans="1:27" s="13" customFormat="1" ht="16.5" customHeight="1" x14ac:dyDescent="0.45">
      <c r="A57" s="91">
        <v>56</v>
      </c>
      <c r="B57" s="91">
        <v>7</v>
      </c>
      <c r="C57" s="89">
        <v>3</v>
      </c>
      <c r="D57" s="58">
        <v>9</v>
      </c>
      <c r="E57" s="89">
        <v>3</v>
      </c>
      <c r="F57" s="58" t="s">
        <v>475</v>
      </c>
      <c r="G57" s="89" t="s">
        <v>14</v>
      </c>
      <c r="H57" s="58" t="s">
        <v>698</v>
      </c>
      <c r="I57" s="18" t="s">
        <v>545</v>
      </c>
      <c r="J57" s="46">
        <v>32800</v>
      </c>
      <c r="K57" s="22"/>
      <c r="L57" s="46">
        <v>1600</v>
      </c>
      <c r="M57" s="23"/>
      <c r="Q57" s="13">
        <f>SUM(Q55:Q56)</f>
        <v>315700</v>
      </c>
      <c r="R57" s="13">
        <f>SUM(R55:R56)</f>
        <v>15400</v>
      </c>
      <c r="S57" s="13">
        <f>SUM(S55:S56)</f>
        <v>331100</v>
      </c>
      <c r="W57" s="33"/>
    </row>
    <row r="58" spans="1:27" s="13" customFormat="1" ht="16.5" customHeight="1" x14ac:dyDescent="0.45">
      <c r="A58" s="91">
        <v>57</v>
      </c>
      <c r="B58" s="91">
        <v>8</v>
      </c>
      <c r="C58" s="89">
        <v>3</v>
      </c>
      <c r="D58" s="58">
        <v>9</v>
      </c>
      <c r="E58" s="89">
        <v>5</v>
      </c>
      <c r="F58" s="58" t="s">
        <v>36</v>
      </c>
      <c r="G58" s="89" t="s">
        <v>14</v>
      </c>
      <c r="H58" s="58" t="s">
        <v>698</v>
      </c>
      <c r="I58" s="18" t="s">
        <v>545</v>
      </c>
      <c r="J58" s="46">
        <v>32800</v>
      </c>
      <c r="K58" s="22"/>
      <c r="L58" s="46">
        <v>1600</v>
      </c>
      <c r="M58" s="23"/>
      <c r="W58" s="33"/>
    </row>
    <row r="59" spans="1:27" s="13" customFormat="1" ht="16.5" customHeight="1" x14ac:dyDescent="0.45">
      <c r="A59" s="91">
        <v>58</v>
      </c>
      <c r="B59" s="91">
        <v>9</v>
      </c>
      <c r="C59" s="89">
        <v>4</v>
      </c>
      <c r="D59" s="58">
        <v>3</v>
      </c>
      <c r="E59" s="89">
        <v>24</v>
      </c>
      <c r="F59" s="58" t="s">
        <v>584</v>
      </c>
      <c r="G59" s="89" t="s">
        <v>14</v>
      </c>
      <c r="H59" s="58" t="s">
        <v>698</v>
      </c>
      <c r="I59" s="18" t="s">
        <v>545</v>
      </c>
      <c r="J59" s="46">
        <v>32800</v>
      </c>
      <c r="K59" s="22"/>
      <c r="L59" s="46">
        <v>1600</v>
      </c>
      <c r="M59" s="23"/>
      <c r="Q59" s="34">
        <f>SUM(Q57,U55,Y55)</f>
        <v>832300</v>
      </c>
      <c r="R59" s="34">
        <f t="shared" ref="R59:S59" si="28">SUM(R57,V55,Z55)</f>
        <v>40600</v>
      </c>
      <c r="S59" s="34">
        <f t="shared" si="28"/>
        <v>872900</v>
      </c>
      <c r="W59" s="33"/>
    </row>
    <row r="60" spans="1:27" s="13" customFormat="1" ht="16.5" customHeight="1" x14ac:dyDescent="0.45">
      <c r="A60" s="91">
        <v>59</v>
      </c>
      <c r="B60" s="159">
        <v>10</v>
      </c>
      <c r="C60" s="163">
        <v>5</v>
      </c>
      <c r="D60" s="66">
        <v>4</v>
      </c>
      <c r="E60" s="163">
        <v>5</v>
      </c>
      <c r="F60" s="66" t="s">
        <v>254</v>
      </c>
      <c r="G60" s="163" t="s">
        <v>14</v>
      </c>
      <c r="H60" s="66" t="s">
        <v>698</v>
      </c>
      <c r="I60" s="48" t="s">
        <v>545</v>
      </c>
      <c r="J60" s="184">
        <v>32800</v>
      </c>
      <c r="K60" s="68"/>
      <c r="L60" s="184">
        <v>1600</v>
      </c>
      <c r="M60" s="69"/>
      <c r="W60" s="33"/>
    </row>
    <row r="61" spans="1:27" s="13" customFormat="1" ht="16.5" customHeight="1" x14ac:dyDescent="0.45">
      <c r="A61" s="91">
        <v>60</v>
      </c>
      <c r="B61" s="88">
        <v>1</v>
      </c>
      <c r="C61" s="87">
        <v>1</v>
      </c>
      <c r="D61" s="56">
        <v>11</v>
      </c>
      <c r="E61" s="87">
        <v>7</v>
      </c>
      <c r="F61" s="56" t="s">
        <v>227</v>
      </c>
      <c r="G61" s="87" t="s">
        <v>14</v>
      </c>
      <c r="H61" s="56" t="s">
        <v>701</v>
      </c>
      <c r="I61" s="39" t="s">
        <v>545</v>
      </c>
      <c r="J61" s="42">
        <v>32800</v>
      </c>
      <c r="K61" s="44"/>
      <c r="L61" s="42">
        <v>1600</v>
      </c>
      <c r="M61" s="45">
        <f>SUM(J61:K69)</f>
        <v>278800</v>
      </c>
      <c r="W61" s="33"/>
    </row>
    <row r="62" spans="1:27" s="13" customFormat="1" ht="16.5" customHeight="1" x14ac:dyDescent="0.45">
      <c r="A62" s="91">
        <v>61</v>
      </c>
      <c r="B62" s="91">
        <v>2</v>
      </c>
      <c r="C62" s="89">
        <v>1</v>
      </c>
      <c r="D62" s="58">
        <v>11</v>
      </c>
      <c r="E62" s="89">
        <v>11</v>
      </c>
      <c r="F62" s="58" t="s">
        <v>146</v>
      </c>
      <c r="G62" s="89" t="s">
        <v>14</v>
      </c>
      <c r="H62" s="58" t="s">
        <v>701</v>
      </c>
      <c r="I62" s="18" t="s">
        <v>545</v>
      </c>
      <c r="J62" s="46">
        <v>32800</v>
      </c>
      <c r="K62" s="22"/>
      <c r="L62" s="46">
        <v>1600</v>
      </c>
      <c r="M62" s="23"/>
      <c r="Q62" s="13">
        <v>32800</v>
      </c>
      <c r="R62" s="13">
        <v>1600</v>
      </c>
      <c r="S62" s="13">
        <v>34400</v>
      </c>
      <c r="T62" s="13">
        <f t="shared" ref="T62" si="29">SUM(T60:T61)</f>
        <v>0</v>
      </c>
      <c r="U62" s="13">
        <v>28700</v>
      </c>
      <c r="V62" s="13">
        <v>1400</v>
      </c>
      <c r="W62" s="13">
        <v>30100</v>
      </c>
      <c r="Y62" s="13">
        <v>28700</v>
      </c>
      <c r="Z62" s="13">
        <v>1400</v>
      </c>
      <c r="AA62" s="13">
        <v>30100</v>
      </c>
    </row>
    <row r="63" spans="1:27" s="13" customFormat="1" ht="16.5" customHeight="1" x14ac:dyDescent="0.45">
      <c r="A63" s="91">
        <v>62</v>
      </c>
      <c r="B63" s="91">
        <v>3</v>
      </c>
      <c r="C63" s="89">
        <v>1</v>
      </c>
      <c r="D63" s="58">
        <v>12</v>
      </c>
      <c r="E63" s="89">
        <v>14</v>
      </c>
      <c r="F63" s="58" t="s">
        <v>377</v>
      </c>
      <c r="G63" s="89" t="s">
        <v>14</v>
      </c>
      <c r="H63" s="58" t="s">
        <v>701</v>
      </c>
      <c r="I63" s="28" t="s">
        <v>328</v>
      </c>
      <c r="J63" s="47">
        <v>24600</v>
      </c>
      <c r="K63" s="30"/>
      <c r="L63" s="47">
        <v>1200</v>
      </c>
      <c r="M63" s="23"/>
      <c r="Q63" s="13">
        <f>Q62*9</f>
        <v>295200</v>
      </c>
      <c r="R63" s="13">
        <f t="shared" ref="R63:S63" si="30">R62*9</f>
        <v>14400</v>
      </c>
      <c r="S63" s="13">
        <f t="shared" si="30"/>
        <v>309600</v>
      </c>
      <c r="U63" s="13">
        <f>U62*9</f>
        <v>258300</v>
      </c>
      <c r="V63" s="13">
        <f t="shared" ref="V63:W63" si="31">V62*9</f>
        <v>12600</v>
      </c>
      <c r="W63" s="13">
        <f t="shared" si="31"/>
        <v>270900</v>
      </c>
      <c r="Y63" s="13">
        <f>Y62*9</f>
        <v>258300</v>
      </c>
      <c r="Z63" s="13">
        <f t="shared" ref="Z63:AA63" si="32">Z62*9</f>
        <v>12600</v>
      </c>
      <c r="AA63" s="13">
        <f t="shared" si="32"/>
        <v>270900</v>
      </c>
    </row>
    <row r="64" spans="1:27" s="13" customFormat="1" ht="16.5" customHeight="1" x14ac:dyDescent="0.45">
      <c r="A64" s="91">
        <v>63</v>
      </c>
      <c r="B64" s="91">
        <v>4</v>
      </c>
      <c r="C64" s="89">
        <v>2</v>
      </c>
      <c r="D64" s="58">
        <v>3</v>
      </c>
      <c r="E64" s="89">
        <v>24</v>
      </c>
      <c r="F64" s="58" t="s">
        <v>364</v>
      </c>
      <c r="G64" s="89" t="s">
        <v>14</v>
      </c>
      <c r="H64" s="58" t="s">
        <v>701</v>
      </c>
      <c r="I64" s="18" t="s">
        <v>545</v>
      </c>
      <c r="J64" s="46">
        <v>32800</v>
      </c>
      <c r="K64" s="22"/>
      <c r="L64" s="46">
        <v>1600</v>
      </c>
      <c r="M64" s="23"/>
      <c r="Q64" s="13">
        <v>-16400</v>
      </c>
      <c r="R64" s="13">
        <v>-800</v>
      </c>
      <c r="S64" s="13">
        <v>-17200</v>
      </c>
      <c r="W64" s="33"/>
    </row>
    <row r="65" spans="1:35" s="13" customFormat="1" ht="16.5" customHeight="1" x14ac:dyDescent="0.45">
      <c r="A65" s="91">
        <v>64</v>
      </c>
      <c r="B65" s="91">
        <v>5</v>
      </c>
      <c r="C65" s="89">
        <v>2</v>
      </c>
      <c r="D65" s="58">
        <v>9</v>
      </c>
      <c r="E65" s="89">
        <v>14</v>
      </c>
      <c r="F65" s="58" t="s">
        <v>702</v>
      </c>
      <c r="G65" s="89" t="s">
        <v>14</v>
      </c>
      <c r="H65" s="58" t="s">
        <v>701</v>
      </c>
      <c r="I65" s="18" t="s">
        <v>545</v>
      </c>
      <c r="J65" s="46">
        <v>32800</v>
      </c>
      <c r="K65" s="22"/>
      <c r="L65" s="46">
        <v>1600</v>
      </c>
      <c r="M65" s="23"/>
      <c r="Q65" s="13">
        <f>SUM(Q63:Q64)</f>
        <v>278800</v>
      </c>
      <c r="R65" s="13">
        <f t="shared" ref="R65:S65" si="33">SUM(R63:R64)</f>
        <v>13600</v>
      </c>
      <c r="S65" s="13">
        <f t="shared" si="33"/>
        <v>292400</v>
      </c>
      <c r="W65" s="33"/>
    </row>
    <row r="66" spans="1:35" s="13" customFormat="1" ht="16.5" customHeight="1" x14ac:dyDescent="0.45">
      <c r="A66" s="91">
        <v>65</v>
      </c>
      <c r="B66" s="91">
        <v>6</v>
      </c>
      <c r="C66" s="89">
        <v>2</v>
      </c>
      <c r="D66" s="58">
        <v>11</v>
      </c>
      <c r="E66" s="89">
        <v>15</v>
      </c>
      <c r="F66" s="58" t="s">
        <v>197</v>
      </c>
      <c r="G66" s="89" t="s">
        <v>14</v>
      </c>
      <c r="H66" s="58" t="s">
        <v>701</v>
      </c>
      <c r="I66" s="28" t="s">
        <v>328</v>
      </c>
      <c r="J66" s="47">
        <v>24600</v>
      </c>
      <c r="K66" s="30"/>
      <c r="L66" s="47">
        <v>1200</v>
      </c>
      <c r="M66" s="23"/>
      <c r="W66" s="33"/>
    </row>
    <row r="67" spans="1:35" s="13" customFormat="1" ht="16.5" customHeight="1" x14ac:dyDescent="0.45">
      <c r="A67" s="91">
        <v>66</v>
      </c>
      <c r="B67" s="91">
        <v>7</v>
      </c>
      <c r="C67" s="89">
        <v>4</v>
      </c>
      <c r="D67" s="58">
        <v>7</v>
      </c>
      <c r="E67" s="89">
        <v>3</v>
      </c>
      <c r="F67" s="58" t="s">
        <v>210</v>
      </c>
      <c r="G67" s="89" t="s">
        <v>14</v>
      </c>
      <c r="H67" s="58" t="s">
        <v>701</v>
      </c>
      <c r="I67" s="18" t="s">
        <v>545</v>
      </c>
      <c r="J67" s="46">
        <v>32800</v>
      </c>
      <c r="K67" s="22"/>
      <c r="L67" s="46">
        <v>1600</v>
      </c>
      <c r="M67" s="23"/>
      <c r="Q67" s="34">
        <f>SUM(Q65,U63,Y63)</f>
        <v>795400</v>
      </c>
      <c r="R67" s="34">
        <f t="shared" ref="R67:S67" si="34">SUM(R65,V63,Z63)</f>
        <v>38800</v>
      </c>
      <c r="S67" s="34">
        <f t="shared" si="34"/>
        <v>834200</v>
      </c>
      <c r="W67" s="33"/>
    </row>
    <row r="68" spans="1:35" s="13" customFormat="1" ht="16.5" customHeight="1" x14ac:dyDescent="0.45">
      <c r="A68" s="91">
        <v>67</v>
      </c>
      <c r="B68" s="91">
        <v>8</v>
      </c>
      <c r="C68" s="89">
        <v>4</v>
      </c>
      <c r="D68" s="58">
        <v>8</v>
      </c>
      <c r="E68" s="89">
        <v>14</v>
      </c>
      <c r="F68" s="58" t="s">
        <v>344</v>
      </c>
      <c r="G68" s="89" t="s">
        <v>14</v>
      </c>
      <c r="H68" s="58" t="s">
        <v>701</v>
      </c>
      <c r="I68" s="18" t="s">
        <v>545</v>
      </c>
      <c r="J68" s="46">
        <v>32800</v>
      </c>
      <c r="K68" s="22"/>
      <c r="L68" s="46">
        <v>1600</v>
      </c>
      <c r="M68" s="23"/>
      <c r="W68" s="33"/>
    </row>
    <row r="69" spans="1:35" s="13" customFormat="1" ht="16.5" customHeight="1" x14ac:dyDescent="0.45">
      <c r="A69" s="91">
        <v>68</v>
      </c>
      <c r="B69" s="159">
        <v>9</v>
      </c>
      <c r="C69" s="163">
        <v>5</v>
      </c>
      <c r="D69" s="66">
        <v>3</v>
      </c>
      <c r="E69" s="163">
        <v>26</v>
      </c>
      <c r="F69" s="66" t="s">
        <v>703</v>
      </c>
      <c r="G69" s="163" t="s">
        <v>14</v>
      </c>
      <c r="H69" s="66" t="s">
        <v>701</v>
      </c>
      <c r="I69" s="48" t="s">
        <v>545</v>
      </c>
      <c r="J69" s="184">
        <v>32800</v>
      </c>
      <c r="K69" s="68"/>
      <c r="L69" s="184">
        <v>1600</v>
      </c>
      <c r="M69" s="69"/>
      <c r="W69" s="33"/>
      <c r="AH69" s="32">
        <f t="shared" ref="AH69:AI69" si="35">AH68*30</f>
        <v>0</v>
      </c>
      <c r="AI69" s="32">
        <f t="shared" si="35"/>
        <v>0</v>
      </c>
    </row>
    <row r="70" spans="1:35" s="13" customFormat="1" ht="16.5" customHeight="1" x14ac:dyDescent="0.45">
      <c r="A70" s="91">
        <v>69</v>
      </c>
      <c r="B70" s="88">
        <v>1</v>
      </c>
      <c r="C70" s="87">
        <v>1</v>
      </c>
      <c r="D70" s="56">
        <v>2</v>
      </c>
      <c r="E70" s="87">
        <v>8</v>
      </c>
      <c r="F70" s="56" t="s">
        <v>225</v>
      </c>
      <c r="G70" s="87" t="s">
        <v>14</v>
      </c>
      <c r="H70" s="56" t="s">
        <v>704</v>
      </c>
      <c r="I70" s="39" t="s">
        <v>545</v>
      </c>
      <c r="J70" s="42">
        <v>32800</v>
      </c>
      <c r="K70" s="44"/>
      <c r="L70" s="42">
        <v>1600</v>
      </c>
      <c r="M70" s="45">
        <f>SUM(J70:K74)</f>
        <v>155800</v>
      </c>
      <c r="Q70" s="13">
        <v>32800</v>
      </c>
      <c r="R70" s="13">
        <v>1600</v>
      </c>
      <c r="S70" s="13">
        <v>34400</v>
      </c>
      <c r="T70" s="13">
        <f>SUM(T69:T69)</f>
        <v>0</v>
      </c>
      <c r="U70" s="13">
        <v>28700</v>
      </c>
      <c r="V70" s="13">
        <v>1400</v>
      </c>
      <c r="W70" s="13">
        <v>30100</v>
      </c>
      <c r="Y70" s="13">
        <v>28700</v>
      </c>
      <c r="Z70" s="13">
        <v>1400</v>
      </c>
      <c r="AA70" s="13">
        <v>30100</v>
      </c>
    </row>
    <row r="71" spans="1:35" s="13" customFormat="1" ht="16.5" customHeight="1" x14ac:dyDescent="0.45">
      <c r="A71" s="91">
        <v>70</v>
      </c>
      <c r="B71" s="91">
        <v>2</v>
      </c>
      <c r="C71" s="89">
        <v>3</v>
      </c>
      <c r="D71" s="58">
        <v>1</v>
      </c>
      <c r="E71" s="89">
        <v>2</v>
      </c>
      <c r="F71" s="58" t="s">
        <v>705</v>
      </c>
      <c r="G71" s="89" t="s">
        <v>14</v>
      </c>
      <c r="H71" s="58" t="s">
        <v>704</v>
      </c>
      <c r="I71" s="18" t="s">
        <v>545</v>
      </c>
      <c r="J71" s="46">
        <v>32800</v>
      </c>
      <c r="K71" s="22"/>
      <c r="L71" s="46">
        <v>1600</v>
      </c>
      <c r="M71" s="23"/>
      <c r="Q71" s="13">
        <f>Q70*5</f>
        <v>164000</v>
      </c>
      <c r="R71" s="13">
        <f t="shared" ref="R71:S71" si="36">R70*5</f>
        <v>8000</v>
      </c>
      <c r="S71" s="13">
        <f t="shared" si="36"/>
        <v>172000</v>
      </c>
      <c r="U71" s="13">
        <f>U70*5</f>
        <v>143500</v>
      </c>
      <c r="V71" s="13">
        <f t="shared" ref="V71:W71" si="37">V70*5</f>
        <v>7000</v>
      </c>
      <c r="W71" s="13">
        <f t="shared" si="37"/>
        <v>150500</v>
      </c>
      <c r="Y71" s="13">
        <f>Y70*5</f>
        <v>143500</v>
      </c>
      <c r="Z71" s="13">
        <f t="shared" ref="Z71:AA71" si="38">Z70*5</f>
        <v>7000</v>
      </c>
      <c r="AA71" s="13">
        <f t="shared" si="38"/>
        <v>150500</v>
      </c>
    </row>
    <row r="72" spans="1:35" s="13" customFormat="1" ht="16.5" customHeight="1" x14ac:dyDescent="0.45">
      <c r="A72" s="91">
        <v>71</v>
      </c>
      <c r="B72" s="91">
        <v>3</v>
      </c>
      <c r="C72" s="89">
        <v>4</v>
      </c>
      <c r="D72" s="58">
        <v>5</v>
      </c>
      <c r="E72" s="89">
        <v>24</v>
      </c>
      <c r="F72" s="58" t="s">
        <v>706</v>
      </c>
      <c r="G72" s="89" t="s">
        <v>14</v>
      </c>
      <c r="H72" s="58" t="s">
        <v>704</v>
      </c>
      <c r="I72" s="18" t="s">
        <v>545</v>
      </c>
      <c r="J72" s="46">
        <v>32800</v>
      </c>
      <c r="K72" s="22"/>
      <c r="L72" s="46">
        <v>1600</v>
      </c>
      <c r="M72" s="23"/>
      <c r="Q72" s="13">
        <v>-8200</v>
      </c>
      <c r="R72" s="13">
        <v>-400</v>
      </c>
      <c r="S72" s="13">
        <v>-8600</v>
      </c>
      <c r="W72" s="33"/>
    </row>
    <row r="73" spans="1:35" s="13" customFormat="1" ht="16.5" customHeight="1" x14ac:dyDescent="0.45">
      <c r="A73" s="91">
        <v>72</v>
      </c>
      <c r="B73" s="91">
        <v>4</v>
      </c>
      <c r="C73" s="89">
        <v>5</v>
      </c>
      <c r="D73" s="58">
        <v>7</v>
      </c>
      <c r="E73" s="89">
        <v>16</v>
      </c>
      <c r="F73" s="58" t="s">
        <v>259</v>
      </c>
      <c r="G73" s="89" t="s">
        <v>14</v>
      </c>
      <c r="H73" s="58" t="s">
        <v>704</v>
      </c>
      <c r="I73" s="28" t="s">
        <v>328</v>
      </c>
      <c r="J73" s="47">
        <v>24600</v>
      </c>
      <c r="K73" s="30"/>
      <c r="L73" s="47">
        <v>1200</v>
      </c>
      <c r="M73" s="23"/>
      <c r="Q73" s="13">
        <f>SUM(Q71:Q72)</f>
        <v>155800</v>
      </c>
      <c r="R73" s="13">
        <f t="shared" ref="R73:S73" si="39">SUM(R71:R72)</f>
        <v>7600</v>
      </c>
      <c r="S73" s="13">
        <f t="shared" si="39"/>
        <v>163400</v>
      </c>
      <c r="U73" s="34">
        <f>SUM(Q73,U71,Y71)</f>
        <v>442800</v>
      </c>
      <c r="V73" s="34">
        <f>SUM(R73,V71,Z71)</f>
        <v>21600</v>
      </c>
      <c r="W73" s="34">
        <f>SUM(S73,W71,AA71)</f>
        <v>464400</v>
      </c>
    </row>
    <row r="74" spans="1:35" s="13" customFormat="1" ht="16.5" customHeight="1" x14ac:dyDescent="0.45">
      <c r="A74" s="91">
        <v>73</v>
      </c>
      <c r="B74" s="91">
        <v>5</v>
      </c>
      <c r="C74" s="89">
        <v>6</v>
      </c>
      <c r="D74" s="58">
        <v>4</v>
      </c>
      <c r="E74" s="89">
        <v>1</v>
      </c>
      <c r="F74" s="58" t="s">
        <v>707</v>
      </c>
      <c r="G74" s="89" t="s">
        <v>14</v>
      </c>
      <c r="H74" s="58" t="s">
        <v>704</v>
      </c>
      <c r="I74" s="18" t="s">
        <v>545</v>
      </c>
      <c r="J74" s="46">
        <v>32800</v>
      </c>
      <c r="K74" s="22"/>
      <c r="L74" s="46">
        <v>1600</v>
      </c>
      <c r="M74" s="23"/>
      <c r="W74" s="33"/>
    </row>
    <row r="75" spans="1:35" s="13" customFormat="1" ht="16.5" customHeight="1" x14ac:dyDescent="0.45">
      <c r="A75" s="91">
        <v>74</v>
      </c>
      <c r="B75" s="88">
        <v>1</v>
      </c>
      <c r="C75" s="87">
        <v>1</v>
      </c>
      <c r="D75" s="56">
        <v>5</v>
      </c>
      <c r="E75" s="87">
        <v>17</v>
      </c>
      <c r="F75" s="56" t="s">
        <v>186</v>
      </c>
      <c r="G75" s="87" t="s">
        <v>14</v>
      </c>
      <c r="H75" s="56" t="s">
        <v>708</v>
      </c>
      <c r="I75" s="39" t="s">
        <v>60</v>
      </c>
      <c r="J75" s="42">
        <v>16400</v>
      </c>
      <c r="K75" s="44"/>
      <c r="L75" s="42">
        <v>800</v>
      </c>
      <c r="M75" s="45">
        <f>SUM(J75:K84)</f>
        <v>143500</v>
      </c>
      <c r="W75" s="33"/>
    </row>
    <row r="76" spans="1:35" s="13" customFormat="1" ht="16.5" customHeight="1" x14ac:dyDescent="0.45">
      <c r="A76" s="91">
        <v>75</v>
      </c>
      <c r="B76" s="91">
        <v>2</v>
      </c>
      <c r="C76" s="89">
        <v>1</v>
      </c>
      <c r="D76" s="58">
        <v>6</v>
      </c>
      <c r="E76" s="89">
        <v>7</v>
      </c>
      <c r="F76" s="58" t="s">
        <v>307</v>
      </c>
      <c r="G76" s="89" t="s">
        <v>14</v>
      </c>
      <c r="H76" s="58" t="s">
        <v>708</v>
      </c>
      <c r="I76" s="28" t="s">
        <v>16</v>
      </c>
      <c r="J76" s="47">
        <v>12300</v>
      </c>
      <c r="K76" s="30"/>
      <c r="L76" s="47">
        <v>600</v>
      </c>
      <c r="M76" s="23"/>
      <c r="Q76" s="13">
        <v>16400</v>
      </c>
      <c r="R76" s="13">
        <v>800</v>
      </c>
      <c r="S76" s="13">
        <v>17200</v>
      </c>
      <c r="U76" s="13">
        <v>12300</v>
      </c>
      <c r="V76" s="13">
        <v>600</v>
      </c>
      <c r="W76" s="13">
        <v>12900</v>
      </c>
      <c r="Y76" s="13">
        <v>16400</v>
      </c>
      <c r="Z76" s="13">
        <v>800</v>
      </c>
      <c r="AA76" s="13">
        <v>17200</v>
      </c>
    </row>
    <row r="77" spans="1:35" s="13" customFormat="1" ht="16.5" customHeight="1" x14ac:dyDescent="0.45">
      <c r="A77" s="91">
        <v>76</v>
      </c>
      <c r="B77" s="91">
        <v>3</v>
      </c>
      <c r="C77" s="89">
        <v>1</v>
      </c>
      <c r="D77" s="58">
        <v>9</v>
      </c>
      <c r="E77" s="89">
        <v>10</v>
      </c>
      <c r="F77" s="58" t="s">
        <v>695</v>
      </c>
      <c r="G77" s="89" t="s">
        <v>14</v>
      </c>
      <c r="H77" s="58" t="s">
        <v>708</v>
      </c>
      <c r="I77" s="18" t="s">
        <v>60</v>
      </c>
      <c r="J77" s="46">
        <v>16400</v>
      </c>
      <c r="K77" s="22"/>
      <c r="L77" s="46">
        <v>800</v>
      </c>
      <c r="M77" s="23"/>
      <c r="O77" s="27">
        <f>SUM(J75:K99)</f>
        <v>373100</v>
      </c>
      <c r="Q77" s="13">
        <f>Q76*10</f>
        <v>164000</v>
      </c>
      <c r="R77" s="13">
        <f t="shared" ref="R77:S77" si="40">R76*10</f>
        <v>8000</v>
      </c>
      <c r="S77" s="13">
        <f t="shared" si="40"/>
        <v>172000</v>
      </c>
      <c r="U77" s="13">
        <f>U76*10</f>
        <v>123000</v>
      </c>
      <c r="V77" s="13">
        <f t="shared" ref="V77:W77" si="41">V76*10</f>
        <v>6000</v>
      </c>
      <c r="W77" s="13">
        <f t="shared" si="41"/>
        <v>129000</v>
      </c>
      <c r="Y77" s="13">
        <f>Y76*10</f>
        <v>164000</v>
      </c>
      <c r="Z77" s="13">
        <f t="shared" ref="Z77:AA77" si="42">Z76*10</f>
        <v>8000</v>
      </c>
      <c r="AA77" s="13">
        <f t="shared" si="42"/>
        <v>172000</v>
      </c>
    </row>
    <row r="78" spans="1:35" s="13" customFormat="1" ht="16.5" customHeight="1" x14ac:dyDescent="0.45">
      <c r="A78" s="91">
        <v>77</v>
      </c>
      <c r="B78" s="91">
        <v>4</v>
      </c>
      <c r="C78" s="89">
        <v>1</v>
      </c>
      <c r="D78" s="58">
        <v>12</v>
      </c>
      <c r="E78" s="89">
        <v>16</v>
      </c>
      <c r="F78" s="58" t="s">
        <v>311</v>
      </c>
      <c r="G78" s="89" t="s">
        <v>14</v>
      </c>
      <c r="H78" s="58" t="s">
        <v>708</v>
      </c>
      <c r="I78" s="18" t="s">
        <v>60</v>
      </c>
      <c r="J78" s="46">
        <v>16400</v>
      </c>
      <c r="K78" s="22"/>
      <c r="L78" s="46">
        <v>800</v>
      </c>
      <c r="M78" s="23"/>
      <c r="O78" s="27">
        <f>SUM(L75:L99)</f>
        <v>18200</v>
      </c>
      <c r="Q78" s="13">
        <v>-20500</v>
      </c>
      <c r="R78" s="13">
        <v>-1000</v>
      </c>
      <c r="S78" s="13">
        <v>-21500</v>
      </c>
      <c r="W78" s="33"/>
    </row>
    <row r="79" spans="1:35" s="13" customFormat="1" ht="16.5" customHeight="1" x14ac:dyDescent="0.45">
      <c r="A79" s="91">
        <v>78</v>
      </c>
      <c r="B79" s="91">
        <v>5</v>
      </c>
      <c r="C79" s="89">
        <v>2</v>
      </c>
      <c r="D79" s="58">
        <v>3</v>
      </c>
      <c r="E79" s="89">
        <v>9</v>
      </c>
      <c r="F79" s="58" t="s">
        <v>160</v>
      </c>
      <c r="G79" s="89" t="s">
        <v>14</v>
      </c>
      <c r="H79" s="58" t="s">
        <v>708</v>
      </c>
      <c r="I79" s="18" t="s">
        <v>60</v>
      </c>
      <c r="J79" s="46">
        <v>16400</v>
      </c>
      <c r="K79" s="22"/>
      <c r="L79" s="46">
        <v>800</v>
      </c>
      <c r="M79" s="23"/>
      <c r="O79" s="27">
        <f>SUM(O77:O78)</f>
        <v>391300</v>
      </c>
      <c r="Q79" s="13">
        <f>SUM(Q77:Q78)</f>
        <v>143500</v>
      </c>
      <c r="R79" s="13">
        <f t="shared" ref="R79:S79" si="43">SUM(R77:R78)</f>
        <v>7000</v>
      </c>
      <c r="S79" s="13">
        <f t="shared" si="43"/>
        <v>150500</v>
      </c>
      <c r="W79" s="33"/>
    </row>
    <row r="80" spans="1:35" s="13" customFormat="1" ht="16.5" customHeight="1" x14ac:dyDescent="0.45">
      <c r="A80" s="91">
        <v>79</v>
      </c>
      <c r="B80" s="91">
        <v>6</v>
      </c>
      <c r="C80" s="89">
        <v>2</v>
      </c>
      <c r="D80" s="58">
        <v>8</v>
      </c>
      <c r="E80" s="89">
        <v>12</v>
      </c>
      <c r="F80" s="58" t="s">
        <v>290</v>
      </c>
      <c r="G80" s="89" t="s">
        <v>14</v>
      </c>
      <c r="H80" s="58" t="s">
        <v>708</v>
      </c>
      <c r="I80" s="28" t="s">
        <v>16</v>
      </c>
      <c r="J80" s="47">
        <v>12300</v>
      </c>
      <c r="K80" s="30"/>
      <c r="L80" s="47">
        <v>600</v>
      </c>
      <c r="M80" s="23"/>
      <c r="O80" s="27"/>
      <c r="W80" s="33"/>
    </row>
    <row r="81" spans="1:42" s="13" customFormat="1" ht="16.5" customHeight="1" x14ac:dyDescent="0.45">
      <c r="A81" s="91">
        <v>80</v>
      </c>
      <c r="B81" s="91">
        <v>7</v>
      </c>
      <c r="C81" s="89">
        <v>2</v>
      </c>
      <c r="D81" s="58">
        <v>8</v>
      </c>
      <c r="E81" s="89">
        <v>15</v>
      </c>
      <c r="F81" s="58" t="s">
        <v>219</v>
      </c>
      <c r="G81" s="89" t="s">
        <v>14</v>
      </c>
      <c r="H81" s="58" t="s">
        <v>708</v>
      </c>
      <c r="I81" s="28" t="s">
        <v>21</v>
      </c>
      <c r="J81" s="47">
        <v>8200</v>
      </c>
      <c r="K81" s="30"/>
      <c r="L81" s="47">
        <v>400</v>
      </c>
      <c r="M81" s="23"/>
      <c r="Q81" s="34">
        <f>SUM(Q79,U77,Y77)</f>
        <v>430500</v>
      </c>
      <c r="R81" s="34">
        <f t="shared" ref="R81:S81" si="44">SUM(R79,V77,Z77)</f>
        <v>21000</v>
      </c>
      <c r="S81" s="34">
        <f t="shared" si="44"/>
        <v>451500</v>
      </c>
      <c r="W81" s="33"/>
    </row>
    <row r="82" spans="1:42" s="13" customFormat="1" ht="16.5" customHeight="1" x14ac:dyDescent="0.45">
      <c r="A82" s="91">
        <v>81</v>
      </c>
      <c r="B82" s="91">
        <v>8</v>
      </c>
      <c r="C82" s="89">
        <v>2</v>
      </c>
      <c r="D82" s="58">
        <v>11</v>
      </c>
      <c r="E82" s="89">
        <v>24</v>
      </c>
      <c r="F82" s="58" t="s">
        <v>709</v>
      </c>
      <c r="G82" s="89" t="s">
        <v>14</v>
      </c>
      <c r="H82" s="58" t="s">
        <v>708</v>
      </c>
      <c r="I82" s="18" t="s">
        <v>60</v>
      </c>
      <c r="J82" s="46">
        <v>16400</v>
      </c>
      <c r="K82" s="22"/>
      <c r="L82" s="46">
        <v>800</v>
      </c>
      <c r="M82" s="23"/>
      <c r="W82" s="33"/>
    </row>
    <row r="83" spans="1:42" s="13" customFormat="1" ht="16.5" customHeight="1" x14ac:dyDescent="0.45">
      <c r="A83" s="91">
        <v>82</v>
      </c>
      <c r="B83" s="91">
        <v>9</v>
      </c>
      <c r="C83" s="89">
        <v>3</v>
      </c>
      <c r="D83" s="58">
        <v>6</v>
      </c>
      <c r="E83" s="89">
        <v>15</v>
      </c>
      <c r="F83" s="58" t="s">
        <v>710</v>
      </c>
      <c r="G83" s="89" t="s">
        <v>14</v>
      </c>
      <c r="H83" s="58" t="s">
        <v>708</v>
      </c>
      <c r="I83" s="18" t="s">
        <v>60</v>
      </c>
      <c r="J83" s="46">
        <v>16400</v>
      </c>
      <c r="K83" s="22"/>
      <c r="L83" s="46">
        <v>800</v>
      </c>
      <c r="M83" s="23"/>
      <c r="W83" s="33"/>
    </row>
    <row r="84" spans="1:42" s="13" customFormat="1" ht="16.5" customHeight="1" x14ac:dyDescent="0.45">
      <c r="A84" s="91">
        <v>83</v>
      </c>
      <c r="B84" s="91">
        <v>10</v>
      </c>
      <c r="C84" s="89">
        <v>4</v>
      </c>
      <c r="D84" s="58">
        <v>4</v>
      </c>
      <c r="E84" s="89">
        <v>6</v>
      </c>
      <c r="F84" s="58" t="s">
        <v>616</v>
      </c>
      <c r="G84" s="89" t="s">
        <v>14</v>
      </c>
      <c r="H84" s="58" t="s">
        <v>708</v>
      </c>
      <c r="I84" s="28" t="s">
        <v>16</v>
      </c>
      <c r="J84" s="47">
        <v>12300</v>
      </c>
      <c r="K84" s="30"/>
      <c r="L84" s="47">
        <v>600</v>
      </c>
      <c r="M84" s="23"/>
      <c r="W84" s="33"/>
    </row>
    <row r="85" spans="1:42" s="13" customFormat="1" ht="16.5" customHeight="1" x14ac:dyDescent="0.45">
      <c r="A85" s="91">
        <v>84</v>
      </c>
      <c r="B85" s="88">
        <v>1</v>
      </c>
      <c r="C85" s="87">
        <v>1</v>
      </c>
      <c r="D85" s="56">
        <v>3</v>
      </c>
      <c r="E85" s="87">
        <v>12</v>
      </c>
      <c r="F85" s="56" t="s">
        <v>200</v>
      </c>
      <c r="G85" s="87" t="s">
        <v>14</v>
      </c>
      <c r="H85" s="56" t="s">
        <v>711</v>
      </c>
      <c r="I85" s="39" t="s">
        <v>60</v>
      </c>
      <c r="J85" s="42">
        <v>16400</v>
      </c>
      <c r="K85" s="44"/>
      <c r="L85" s="42">
        <v>800</v>
      </c>
      <c r="M85" s="45">
        <f>SUM(J85:K94)</f>
        <v>147600</v>
      </c>
      <c r="Q85" s="13">
        <v>16400</v>
      </c>
      <c r="R85" s="13">
        <v>800</v>
      </c>
      <c r="S85" s="13">
        <v>17200</v>
      </c>
      <c r="U85" s="13">
        <v>12300</v>
      </c>
      <c r="V85" s="13">
        <v>600</v>
      </c>
      <c r="W85" s="13">
        <v>12900</v>
      </c>
      <c r="Y85" s="13">
        <v>16400</v>
      </c>
      <c r="Z85" s="13">
        <v>800</v>
      </c>
      <c r="AA85" s="13">
        <v>17200</v>
      </c>
    </row>
    <row r="86" spans="1:42" s="13" customFormat="1" ht="16.5" customHeight="1" x14ac:dyDescent="0.45">
      <c r="A86" s="91">
        <v>85</v>
      </c>
      <c r="B86" s="91">
        <v>2</v>
      </c>
      <c r="C86" s="89">
        <v>1</v>
      </c>
      <c r="D86" s="58">
        <v>12</v>
      </c>
      <c r="E86" s="89">
        <v>17</v>
      </c>
      <c r="F86" s="58" t="s">
        <v>409</v>
      </c>
      <c r="G86" s="89" t="s">
        <v>14</v>
      </c>
      <c r="H86" s="58" t="s">
        <v>711</v>
      </c>
      <c r="I86" s="18" t="s">
        <v>60</v>
      </c>
      <c r="J86" s="46">
        <v>16400</v>
      </c>
      <c r="K86" s="22"/>
      <c r="L86" s="46">
        <v>800</v>
      </c>
      <c r="M86" s="23"/>
      <c r="Q86" s="13">
        <f>Q85*10</f>
        <v>164000</v>
      </c>
      <c r="R86" s="13">
        <f t="shared" ref="R86:S86" si="45">R85*10</f>
        <v>8000</v>
      </c>
      <c r="S86" s="13">
        <f t="shared" si="45"/>
        <v>172000</v>
      </c>
      <c r="U86" s="13">
        <f>U85*10</f>
        <v>123000</v>
      </c>
      <c r="V86" s="13">
        <f t="shared" ref="V86:W86" si="46">V85*10</f>
        <v>6000</v>
      </c>
      <c r="W86" s="13">
        <f t="shared" si="46"/>
        <v>129000</v>
      </c>
      <c r="Y86" s="13">
        <f>Y85*10</f>
        <v>164000</v>
      </c>
      <c r="Z86" s="13">
        <f t="shared" ref="Z86:AA86" si="47">Z85*10</f>
        <v>8000</v>
      </c>
      <c r="AA86" s="13">
        <f t="shared" si="47"/>
        <v>172000</v>
      </c>
    </row>
    <row r="87" spans="1:42" s="13" customFormat="1" ht="16.5" customHeight="1" x14ac:dyDescent="0.45">
      <c r="A87" s="91">
        <v>86</v>
      </c>
      <c r="B87" s="91">
        <v>3</v>
      </c>
      <c r="C87" s="89">
        <v>2</v>
      </c>
      <c r="D87" s="58">
        <v>5</v>
      </c>
      <c r="E87" s="89">
        <v>21</v>
      </c>
      <c r="F87" s="58" t="s">
        <v>577</v>
      </c>
      <c r="G87" s="89" t="s">
        <v>14</v>
      </c>
      <c r="H87" s="58" t="s">
        <v>711</v>
      </c>
      <c r="I87" s="18" t="s">
        <v>60</v>
      </c>
      <c r="J87" s="46">
        <v>16400</v>
      </c>
      <c r="K87" s="22"/>
      <c r="L87" s="46">
        <v>800</v>
      </c>
      <c r="M87" s="23"/>
      <c r="Q87" s="13">
        <v>-16400</v>
      </c>
      <c r="R87" s="13">
        <v>-800</v>
      </c>
      <c r="S87" s="13">
        <v>-17200</v>
      </c>
      <c r="W87" s="33"/>
    </row>
    <row r="88" spans="1:42" s="13" customFormat="1" ht="16.5" customHeight="1" x14ac:dyDescent="0.45">
      <c r="A88" s="91">
        <v>87</v>
      </c>
      <c r="B88" s="91">
        <v>4</v>
      </c>
      <c r="C88" s="89">
        <v>2</v>
      </c>
      <c r="D88" s="58">
        <v>8</v>
      </c>
      <c r="E88" s="89">
        <v>21</v>
      </c>
      <c r="F88" s="58" t="s">
        <v>594</v>
      </c>
      <c r="G88" s="89" t="s">
        <v>14</v>
      </c>
      <c r="H88" s="58" t="s">
        <v>711</v>
      </c>
      <c r="I88" s="28" t="s">
        <v>21</v>
      </c>
      <c r="J88" s="47">
        <v>8200</v>
      </c>
      <c r="K88" s="30"/>
      <c r="L88" s="47">
        <v>400</v>
      </c>
      <c r="M88" s="23"/>
      <c r="Q88" s="13">
        <f>SUM(Q86:Q87)</f>
        <v>147600</v>
      </c>
      <c r="R88" s="13">
        <f t="shared" ref="R88:S88" si="48">SUM(R86:R87)</f>
        <v>7200</v>
      </c>
      <c r="S88" s="13">
        <f t="shared" si="48"/>
        <v>154800</v>
      </c>
      <c r="W88" s="33"/>
    </row>
    <row r="89" spans="1:42" s="13" customFormat="1" ht="16.5" customHeight="1" x14ac:dyDescent="0.45">
      <c r="A89" s="91">
        <v>88</v>
      </c>
      <c r="B89" s="91">
        <v>5</v>
      </c>
      <c r="C89" s="89">
        <v>2</v>
      </c>
      <c r="D89" s="58">
        <v>11</v>
      </c>
      <c r="E89" s="89">
        <v>19</v>
      </c>
      <c r="F89" s="58" t="s">
        <v>362</v>
      </c>
      <c r="G89" s="89" t="s">
        <v>14</v>
      </c>
      <c r="H89" s="58" t="s">
        <v>711</v>
      </c>
      <c r="I89" s="18" t="s">
        <v>60</v>
      </c>
      <c r="J89" s="46">
        <v>16400</v>
      </c>
      <c r="K89" s="22"/>
      <c r="L89" s="46">
        <v>800</v>
      </c>
      <c r="M89" s="23"/>
      <c r="W89" s="33"/>
    </row>
    <row r="90" spans="1:42" s="13" customFormat="1" ht="16.5" customHeight="1" x14ac:dyDescent="0.45">
      <c r="A90" s="91">
        <v>89</v>
      </c>
      <c r="B90" s="91">
        <v>6</v>
      </c>
      <c r="C90" s="89">
        <v>5</v>
      </c>
      <c r="D90" s="58">
        <v>4</v>
      </c>
      <c r="E90" s="89">
        <v>2</v>
      </c>
      <c r="F90" s="58" t="s">
        <v>567</v>
      </c>
      <c r="G90" s="89" t="s">
        <v>14</v>
      </c>
      <c r="H90" s="58" t="s">
        <v>711</v>
      </c>
      <c r="I90" s="28" t="s">
        <v>16</v>
      </c>
      <c r="J90" s="47">
        <v>12300</v>
      </c>
      <c r="K90" s="30"/>
      <c r="L90" s="47">
        <v>600</v>
      </c>
      <c r="M90" s="23"/>
      <c r="Q90" s="34">
        <f>SUM(Q88,U86,Y86)</f>
        <v>434600</v>
      </c>
      <c r="R90" s="34">
        <f t="shared" ref="R90:S90" si="49">SUM(R88,V86,Z86)</f>
        <v>21200</v>
      </c>
      <c r="S90" s="34">
        <f t="shared" si="49"/>
        <v>455800</v>
      </c>
      <c r="W90" s="33"/>
    </row>
    <row r="91" spans="1:42" s="13" customFormat="1" ht="16.5" customHeight="1" x14ac:dyDescent="0.45">
      <c r="A91" s="91">
        <v>90</v>
      </c>
      <c r="B91" s="91">
        <v>7</v>
      </c>
      <c r="C91" s="89">
        <v>5</v>
      </c>
      <c r="D91" s="58">
        <v>4</v>
      </c>
      <c r="E91" s="89">
        <v>5</v>
      </c>
      <c r="F91" s="58" t="s">
        <v>254</v>
      </c>
      <c r="G91" s="89" t="s">
        <v>14</v>
      </c>
      <c r="H91" s="58" t="s">
        <v>711</v>
      </c>
      <c r="I91" s="18" t="s">
        <v>60</v>
      </c>
      <c r="J91" s="46">
        <v>16400</v>
      </c>
      <c r="K91" s="22"/>
      <c r="L91" s="46">
        <v>800</v>
      </c>
      <c r="M91" s="23"/>
      <c r="W91" s="33"/>
    </row>
    <row r="92" spans="1:42" s="13" customFormat="1" ht="16.5" customHeight="1" x14ac:dyDescent="0.45">
      <c r="A92" s="91">
        <v>91</v>
      </c>
      <c r="B92" s="91">
        <v>8</v>
      </c>
      <c r="C92" s="95">
        <v>6</v>
      </c>
      <c r="D92" s="97">
        <v>1</v>
      </c>
      <c r="E92" s="95">
        <v>10</v>
      </c>
      <c r="F92" s="97" t="s">
        <v>712</v>
      </c>
      <c r="G92" s="95" t="s">
        <v>174</v>
      </c>
      <c r="H92" s="97" t="s">
        <v>711</v>
      </c>
      <c r="I92" s="81" t="s">
        <v>60</v>
      </c>
      <c r="J92" s="103">
        <v>0</v>
      </c>
      <c r="K92" s="219">
        <v>16400</v>
      </c>
      <c r="L92" s="220">
        <v>800</v>
      </c>
      <c r="M92" s="23"/>
      <c r="W92" s="33"/>
    </row>
    <row r="93" spans="1:42" s="13" customFormat="1" ht="16.5" customHeight="1" x14ac:dyDescent="0.45">
      <c r="A93" s="91">
        <v>92</v>
      </c>
      <c r="B93" s="91">
        <v>9</v>
      </c>
      <c r="C93" s="89">
        <v>6</v>
      </c>
      <c r="D93" s="58">
        <v>3</v>
      </c>
      <c r="E93" s="89">
        <v>26</v>
      </c>
      <c r="F93" s="58" t="s">
        <v>506</v>
      </c>
      <c r="G93" s="89" t="s">
        <v>14</v>
      </c>
      <c r="H93" s="58" t="s">
        <v>711</v>
      </c>
      <c r="I93" s="18" t="s">
        <v>60</v>
      </c>
      <c r="J93" s="46">
        <v>16400</v>
      </c>
      <c r="K93" s="22"/>
      <c r="L93" s="46">
        <v>800</v>
      </c>
      <c r="M93" s="23"/>
      <c r="W93" s="33"/>
    </row>
    <row r="94" spans="1:42" s="13" customFormat="1" ht="16.5" customHeight="1" x14ac:dyDescent="0.45">
      <c r="A94" s="91">
        <v>93</v>
      </c>
      <c r="B94" s="159">
        <v>10</v>
      </c>
      <c r="C94" s="163">
        <v>6</v>
      </c>
      <c r="D94" s="66">
        <v>6</v>
      </c>
      <c r="E94" s="163">
        <v>1</v>
      </c>
      <c r="F94" s="66" t="s">
        <v>572</v>
      </c>
      <c r="G94" s="163" t="s">
        <v>14</v>
      </c>
      <c r="H94" s="66" t="s">
        <v>711</v>
      </c>
      <c r="I94" s="218" t="s">
        <v>16</v>
      </c>
      <c r="J94" s="168">
        <v>12300</v>
      </c>
      <c r="K94" s="166"/>
      <c r="L94" s="168">
        <v>600</v>
      </c>
      <c r="M94" s="23"/>
      <c r="W94" s="33"/>
      <c r="AH94" s="32">
        <f t="shared" ref="AH94:AP94" si="50">AH93*30</f>
        <v>0</v>
      </c>
      <c r="AI94" s="32">
        <f t="shared" si="50"/>
        <v>0</v>
      </c>
      <c r="AJ94" s="32">
        <f t="shared" si="50"/>
        <v>0</v>
      </c>
      <c r="AK94" s="32">
        <f t="shared" si="50"/>
        <v>0</v>
      </c>
      <c r="AL94" s="32">
        <f t="shared" si="50"/>
        <v>0</v>
      </c>
      <c r="AM94" s="32">
        <f t="shared" si="50"/>
        <v>0</v>
      </c>
      <c r="AN94" s="32">
        <f t="shared" si="50"/>
        <v>0</v>
      </c>
      <c r="AO94" s="32">
        <f t="shared" si="50"/>
        <v>0</v>
      </c>
      <c r="AP94" s="32">
        <f t="shared" si="50"/>
        <v>0</v>
      </c>
    </row>
    <row r="95" spans="1:42" s="13" customFormat="1" ht="16.5" customHeight="1" x14ac:dyDescent="0.45">
      <c r="A95" s="91">
        <v>94</v>
      </c>
      <c r="B95" s="91">
        <v>1</v>
      </c>
      <c r="C95" s="89">
        <v>1</v>
      </c>
      <c r="D95" s="58">
        <v>11</v>
      </c>
      <c r="E95" s="89">
        <v>7</v>
      </c>
      <c r="F95" s="58" t="s">
        <v>227</v>
      </c>
      <c r="G95" s="89" t="s">
        <v>14</v>
      </c>
      <c r="H95" s="58" t="s">
        <v>713</v>
      </c>
      <c r="I95" s="18" t="s">
        <v>60</v>
      </c>
      <c r="J95" s="46">
        <v>16400</v>
      </c>
      <c r="K95" s="22"/>
      <c r="L95" s="46">
        <v>800</v>
      </c>
      <c r="M95" s="45">
        <f>SUM(J95:K99)</f>
        <v>82000</v>
      </c>
      <c r="Q95" s="13">
        <v>16400</v>
      </c>
      <c r="R95" s="13">
        <v>800</v>
      </c>
      <c r="S95" s="13">
        <v>17200</v>
      </c>
      <c r="U95" s="13">
        <v>12300</v>
      </c>
      <c r="V95" s="13">
        <v>600</v>
      </c>
      <c r="W95" s="13">
        <v>12900</v>
      </c>
      <c r="Y95" s="13">
        <v>16400</v>
      </c>
      <c r="Z95" s="13">
        <v>800</v>
      </c>
      <c r="AA95" s="13">
        <v>17200</v>
      </c>
    </row>
    <row r="96" spans="1:42" s="13" customFormat="1" ht="16.5" customHeight="1" x14ac:dyDescent="0.45">
      <c r="A96" s="91">
        <v>95</v>
      </c>
      <c r="B96" s="91">
        <v>2</v>
      </c>
      <c r="C96" s="89">
        <v>2</v>
      </c>
      <c r="D96" s="58">
        <v>3</v>
      </c>
      <c r="E96" s="89">
        <v>24</v>
      </c>
      <c r="F96" s="58" t="s">
        <v>364</v>
      </c>
      <c r="G96" s="89" t="s">
        <v>14</v>
      </c>
      <c r="H96" s="58" t="s">
        <v>713</v>
      </c>
      <c r="I96" s="18" t="s">
        <v>60</v>
      </c>
      <c r="J96" s="46">
        <v>16400</v>
      </c>
      <c r="K96" s="22"/>
      <c r="L96" s="46">
        <v>800</v>
      </c>
      <c r="M96" s="23"/>
      <c r="Q96" s="13">
        <f>Q95*5</f>
        <v>82000</v>
      </c>
      <c r="R96" s="13">
        <f t="shared" ref="R96:S96" si="51">R95*5</f>
        <v>4000</v>
      </c>
      <c r="S96" s="13">
        <f t="shared" si="51"/>
        <v>86000</v>
      </c>
      <c r="U96" s="13">
        <f>U95*4</f>
        <v>49200</v>
      </c>
      <c r="V96" s="13">
        <f t="shared" ref="V96:W96" si="52">V95*4</f>
        <v>2400</v>
      </c>
      <c r="W96" s="13">
        <f t="shared" si="52"/>
        <v>51600</v>
      </c>
      <c r="Y96" s="13">
        <f>Y95*4</f>
        <v>65600</v>
      </c>
      <c r="Z96" s="13">
        <f t="shared" ref="Z96:AA96" si="53">Z95*4</f>
        <v>3200</v>
      </c>
      <c r="AA96" s="13">
        <f t="shared" si="53"/>
        <v>68800</v>
      </c>
    </row>
    <row r="97" spans="1:23" s="13" customFormat="1" ht="16.5" customHeight="1" x14ac:dyDescent="0.45">
      <c r="A97" s="91">
        <v>96</v>
      </c>
      <c r="B97" s="91">
        <v>3</v>
      </c>
      <c r="C97" s="89">
        <v>3</v>
      </c>
      <c r="D97" s="58">
        <v>1</v>
      </c>
      <c r="E97" s="89">
        <v>24</v>
      </c>
      <c r="F97" s="58" t="s">
        <v>419</v>
      </c>
      <c r="G97" s="89" t="s">
        <v>14</v>
      </c>
      <c r="H97" s="58" t="s">
        <v>713</v>
      </c>
      <c r="I97" s="18" t="s">
        <v>60</v>
      </c>
      <c r="J97" s="46">
        <v>16400</v>
      </c>
      <c r="K97" s="22"/>
      <c r="L97" s="46">
        <v>800</v>
      </c>
      <c r="M97" s="23"/>
      <c r="W97" s="33"/>
    </row>
    <row r="98" spans="1:23" s="13" customFormat="1" ht="16.5" customHeight="1" x14ac:dyDescent="0.45">
      <c r="A98" s="91">
        <v>97</v>
      </c>
      <c r="B98" s="91">
        <v>4</v>
      </c>
      <c r="C98" s="89">
        <v>3</v>
      </c>
      <c r="D98" s="58">
        <v>9</v>
      </c>
      <c r="E98" s="89">
        <v>5</v>
      </c>
      <c r="F98" s="58" t="s">
        <v>36</v>
      </c>
      <c r="G98" s="89" t="s">
        <v>14</v>
      </c>
      <c r="H98" s="58" t="s">
        <v>713</v>
      </c>
      <c r="I98" s="18" t="s">
        <v>60</v>
      </c>
      <c r="J98" s="46">
        <v>16400</v>
      </c>
      <c r="K98" s="22"/>
      <c r="L98" s="46">
        <v>800</v>
      </c>
      <c r="M98" s="23"/>
      <c r="Q98" s="34">
        <f>SUM(Q96,U96,Y96)</f>
        <v>196800</v>
      </c>
      <c r="R98" s="34">
        <f t="shared" ref="R98:S98" si="54">SUM(R96,V96,Z96)</f>
        <v>9600</v>
      </c>
      <c r="S98" s="34">
        <f t="shared" si="54"/>
        <v>206400</v>
      </c>
      <c r="W98" s="33"/>
    </row>
    <row r="99" spans="1:23" s="13" customFormat="1" ht="16.5" customHeight="1" x14ac:dyDescent="0.45">
      <c r="A99" s="91">
        <v>98</v>
      </c>
      <c r="B99" s="91">
        <v>5</v>
      </c>
      <c r="C99" s="163">
        <v>5</v>
      </c>
      <c r="D99" s="58">
        <v>3</v>
      </c>
      <c r="E99" s="163">
        <v>26</v>
      </c>
      <c r="F99" s="58" t="s">
        <v>703</v>
      </c>
      <c r="G99" s="163" t="s">
        <v>14</v>
      </c>
      <c r="H99" s="58" t="s">
        <v>713</v>
      </c>
      <c r="I99" s="48" t="s">
        <v>60</v>
      </c>
      <c r="J99" s="46">
        <v>16400</v>
      </c>
      <c r="K99" s="68"/>
      <c r="L99" s="46">
        <v>800</v>
      </c>
      <c r="M99" s="69"/>
      <c r="W99" s="33"/>
    </row>
    <row r="100" spans="1:23" ht="27" customHeight="1" x14ac:dyDescent="0.45">
      <c r="A100" s="221"/>
      <c r="B100" s="185" t="s">
        <v>671</v>
      </c>
      <c r="C100" s="222"/>
      <c r="D100" s="222"/>
      <c r="E100" s="222"/>
      <c r="F100" s="222"/>
      <c r="G100" s="222"/>
      <c r="H100" s="222"/>
      <c r="I100" s="223"/>
      <c r="J100" s="224">
        <f>SUM(J2:J99)</f>
        <v>2521500</v>
      </c>
      <c r="K100" s="224">
        <f t="shared" ref="K100:L100" si="55">SUM(K2:K99)</f>
        <v>41000</v>
      </c>
      <c r="L100" s="224">
        <f t="shared" si="55"/>
        <v>125000</v>
      </c>
      <c r="M100" s="225">
        <f>SUM(M2:M99)</f>
        <v>2562500</v>
      </c>
      <c r="N100" s="13"/>
      <c r="O100" s="13"/>
      <c r="P100" s="13"/>
    </row>
    <row r="101" spans="1:23" ht="33.75" customHeight="1" x14ac:dyDescent="0.45">
      <c r="A101" s="226"/>
      <c r="B101" s="185" t="s">
        <v>672</v>
      </c>
      <c r="C101" s="222"/>
      <c r="D101" s="222"/>
      <c r="E101" s="222"/>
      <c r="F101" s="222"/>
      <c r="G101" s="222"/>
      <c r="H101" s="222"/>
      <c r="I101" s="223"/>
      <c r="J101" s="227">
        <f>SUM(J100:K100)</f>
        <v>2562500</v>
      </c>
      <c r="K101" s="228"/>
      <c r="L101" s="229"/>
      <c r="M101" s="230"/>
      <c r="N101" s="13"/>
      <c r="O101" s="13"/>
      <c r="P101" s="13"/>
      <c r="Q101" s="231">
        <f>SUM(Q9,Q20,Q30,Q39,Q49,Q59,Q67,U73,Q81,Q90,Q98)</f>
        <v>7638300</v>
      </c>
      <c r="R101" s="231">
        <f t="shared" ref="R101:S101" si="56">SUM(R9,R20,R30,R39,R49,R59,R67,V73,R81,R90,R98)</f>
        <v>372600</v>
      </c>
      <c r="S101" s="231">
        <f t="shared" si="56"/>
        <v>8010900</v>
      </c>
    </row>
    <row r="104" spans="1:23" x14ac:dyDescent="0.45">
      <c r="K104" s="232">
        <f>SUM(J101:L101)</f>
        <v>2562500</v>
      </c>
    </row>
  </sheetData>
  <mergeCells count="15">
    <mergeCell ref="M61:M69"/>
    <mergeCell ref="M70:M74"/>
    <mergeCell ref="M75:M84"/>
    <mergeCell ref="M85:M94"/>
    <mergeCell ref="M95:M99"/>
    <mergeCell ref="B100:I100"/>
    <mergeCell ref="M100:M101"/>
    <mergeCell ref="B101:I101"/>
    <mergeCell ref="J101:K101"/>
    <mergeCell ref="M2:M11"/>
    <mergeCell ref="M12:M21"/>
    <mergeCell ref="M22:M31"/>
    <mergeCell ref="M32:M40"/>
    <mergeCell ref="M41:M50"/>
    <mergeCell ref="M51:M60"/>
  </mergeCells>
  <phoneticPr fontId="1" type="noConversion"/>
  <dataValidations count="2">
    <dataValidation type="list" allowBlank="1" showInputMessage="1" showErrorMessage="1" sqref="G2:G99" xr:uid="{26348150-1882-4733-A794-981931C5F190}">
      <formula1>"유상, 자유수"</formula1>
    </dataValidation>
    <dataValidation type="list" allowBlank="1" showInputMessage="1" showErrorMessage="1" sqref="G1" xr:uid="{049AA421-C0FD-486D-BF70-0483B07AD513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DC7F0-CA39-4E46-A35C-B70F0905E119}">
  <sheetPr codeName="Sheet4"/>
  <dimension ref="A1:AE142"/>
  <sheetViews>
    <sheetView zoomScale="70" zoomScaleNormal="70" workbookViewId="0">
      <selection activeCell="J9" sqref="J9"/>
    </sheetView>
  </sheetViews>
  <sheetFormatPr defaultColWidth="9" defaultRowHeight="17" x14ac:dyDescent="0.45"/>
  <cols>
    <col min="1" max="1" width="7.25" style="209" customWidth="1"/>
    <col min="2" max="2" width="6.33203125" style="233" customWidth="1"/>
    <col min="3" max="5" width="6.58203125" style="233" customWidth="1"/>
    <col min="6" max="6" width="12.33203125" style="13" customWidth="1"/>
    <col min="7" max="7" width="10.75" style="13" customWidth="1"/>
    <col min="8" max="8" width="28.33203125" style="31" customWidth="1"/>
    <col min="9" max="9" width="11.83203125" style="31" customWidth="1"/>
    <col min="10" max="12" width="15.5" style="31" customWidth="1"/>
    <col min="13" max="13" width="19.33203125" style="13" customWidth="1"/>
    <col min="14" max="14" width="4.83203125" style="12" customWidth="1"/>
    <col min="15" max="15" width="13.75" style="12" customWidth="1"/>
    <col min="16" max="16" width="9.25" style="12" customWidth="1"/>
    <col min="17" max="17" width="11.5" style="12" customWidth="1"/>
    <col min="18" max="18" width="3.83203125" style="12" customWidth="1"/>
    <col min="19" max="19" width="11.08203125" style="12" customWidth="1"/>
    <col min="20" max="20" width="9" style="12" customWidth="1"/>
    <col min="21" max="21" width="12.83203125" style="13" customWidth="1"/>
    <col min="22" max="22" width="5.08203125" style="13" customWidth="1"/>
    <col min="23" max="23" width="11.08203125" style="12" customWidth="1"/>
    <col min="24" max="24" width="10.83203125" style="12" customWidth="1"/>
    <col min="25" max="25" width="11.5" style="12" customWidth="1"/>
    <col min="26" max="26" width="1.83203125" style="12" customWidth="1"/>
    <col min="27" max="27" width="6.25" style="12" customWidth="1"/>
    <col min="28" max="28" width="11" style="12" customWidth="1"/>
    <col min="29" max="29" width="9" style="12"/>
    <col min="30" max="30" width="10.83203125" style="12" customWidth="1"/>
    <col min="31" max="16384" width="9" style="12"/>
  </cols>
  <sheetData>
    <row r="1" spans="1:30" ht="40.5" customHeight="1" x14ac:dyDescent="0.45">
      <c r="A1" s="3" t="s">
        <v>0</v>
      </c>
      <c r="B1" s="2" t="s">
        <v>1</v>
      </c>
      <c r="C1" s="1" t="s">
        <v>2</v>
      </c>
      <c r="D1" s="3" t="s">
        <v>3</v>
      </c>
      <c r="E1" s="234" t="s">
        <v>4</v>
      </c>
      <c r="F1" s="235" t="s">
        <v>5</v>
      </c>
      <c r="G1" s="5" t="s">
        <v>6</v>
      </c>
      <c r="H1" s="7" t="s">
        <v>7</v>
      </c>
      <c r="I1" s="8" t="s">
        <v>8</v>
      </c>
      <c r="J1" s="8" t="s">
        <v>714</v>
      </c>
      <c r="K1" s="8" t="s">
        <v>715</v>
      </c>
      <c r="L1" s="8" t="s">
        <v>11</v>
      </c>
      <c r="M1" s="8" t="s">
        <v>12</v>
      </c>
    </row>
    <row r="2" spans="1:30" s="13" customFormat="1" ht="16.5" customHeight="1" x14ac:dyDescent="0.45">
      <c r="A2" s="14">
        <v>1</v>
      </c>
      <c r="B2" s="35">
        <v>1</v>
      </c>
      <c r="C2" s="51">
        <v>1</v>
      </c>
      <c r="D2" s="49">
        <v>1</v>
      </c>
      <c r="E2" s="236">
        <v>3</v>
      </c>
      <c r="F2" s="56" t="s">
        <v>689</v>
      </c>
      <c r="G2" s="87" t="s">
        <v>14</v>
      </c>
      <c r="H2" s="56" t="s">
        <v>716</v>
      </c>
      <c r="I2" s="178" t="s">
        <v>717</v>
      </c>
      <c r="J2" s="43">
        <v>23040</v>
      </c>
      <c r="K2" s="43"/>
      <c r="L2" s="44">
        <v>960</v>
      </c>
      <c r="M2" s="45">
        <f>SUM(J2:K21)</f>
        <v>437760</v>
      </c>
      <c r="O2" s="237">
        <f>SUM(J2:K21)</f>
        <v>437760</v>
      </c>
      <c r="R2" s="12"/>
      <c r="S2" s="12"/>
      <c r="T2" s="12"/>
      <c r="X2" s="25"/>
      <c r="Y2" s="25"/>
      <c r="Z2" s="25"/>
      <c r="AA2" s="26"/>
      <c r="AB2" s="25"/>
      <c r="AC2" s="25"/>
      <c r="AD2" s="25"/>
    </row>
    <row r="3" spans="1:30" s="13" customFormat="1" ht="16.5" customHeight="1" x14ac:dyDescent="0.45">
      <c r="A3" s="14">
        <v>2</v>
      </c>
      <c r="B3" s="14">
        <v>2</v>
      </c>
      <c r="C3" s="54">
        <v>1</v>
      </c>
      <c r="D3" s="52">
        <v>1</v>
      </c>
      <c r="E3" s="238">
        <v>4</v>
      </c>
      <c r="F3" s="20" t="s">
        <v>691</v>
      </c>
      <c r="G3" s="18" t="s">
        <v>14</v>
      </c>
      <c r="H3" s="20" t="s">
        <v>718</v>
      </c>
      <c r="I3" s="28" t="s">
        <v>719</v>
      </c>
      <c r="J3" s="29">
        <v>17280</v>
      </c>
      <c r="K3" s="29"/>
      <c r="L3" s="30">
        <v>720</v>
      </c>
      <c r="M3" s="23"/>
      <c r="O3" s="237">
        <f>SUM(L2:L21)</f>
        <v>18240</v>
      </c>
      <c r="R3" s="12"/>
      <c r="S3" s="12"/>
      <c r="T3" s="12"/>
    </row>
    <row r="4" spans="1:30" s="13" customFormat="1" ht="16.5" customHeight="1" x14ac:dyDescent="0.45">
      <c r="A4" s="14">
        <v>3</v>
      </c>
      <c r="B4" s="14">
        <v>3</v>
      </c>
      <c r="C4" s="54">
        <v>1</v>
      </c>
      <c r="D4" s="52">
        <v>2</v>
      </c>
      <c r="E4" s="238">
        <v>18</v>
      </c>
      <c r="F4" s="20" t="s">
        <v>214</v>
      </c>
      <c r="G4" s="18" t="s">
        <v>14</v>
      </c>
      <c r="H4" s="20" t="s">
        <v>716</v>
      </c>
      <c r="I4" s="114" t="s">
        <v>717</v>
      </c>
      <c r="J4" s="21">
        <v>23040</v>
      </c>
      <c r="K4" s="21"/>
      <c r="L4" s="22">
        <v>960</v>
      </c>
      <c r="M4" s="23"/>
      <c r="O4" s="237">
        <f>SUM(O2:O3)</f>
        <v>456000</v>
      </c>
      <c r="R4" s="25"/>
      <c r="S4" s="25"/>
      <c r="T4" s="25"/>
      <c r="U4" s="26"/>
      <c r="V4" s="26"/>
      <c r="W4" s="25"/>
    </row>
    <row r="5" spans="1:30" s="13" customFormat="1" ht="16.5" customHeight="1" x14ac:dyDescent="0.45">
      <c r="A5" s="14">
        <v>4</v>
      </c>
      <c r="B5" s="14">
        <v>4</v>
      </c>
      <c r="C5" s="54">
        <v>1</v>
      </c>
      <c r="D5" s="52">
        <v>2</v>
      </c>
      <c r="E5" s="238">
        <v>21</v>
      </c>
      <c r="F5" s="20" t="s">
        <v>720</v>
      </c>
      <c r="G5" s="18" t="s">
        <v>14</v>
      </c>
      <c r="H5" s="20" t="s">
        <v>716</v>
      </c>
      <c r="I5" s="114" t="s">
        <v>717</v>
      </c>
      <c r="J5" s="21">
        <v>23040</v>
      </c>
      <c r="K5" s="21"/>
      <c r="L5" s="22">
        <v>960</v>
      </c>
      <c r="M5" s="23"/>
      <c r="O5" s="12"/>
      <c r="R5" s="12"/>
      <c r="S5" s="12"/>
      <c r="T5" s="12"/>
      <c r="W5" s="13">
        <f>SUM(AF39)</f>
        <v>0</v>
      </c>
    </row>
    <row r="6" spans="1:30" s="13" customFormat="1" ht="16.5" customHeight="1" x14ac:dyDescent="0.45">
      <c r="A6" s="14">
        <v>5</v>
      </c>
      <c r="B6" s="14">
        <v>5</v>
      </c>
      <c r="C6" s="54">
        <v>1</v>
      </c>
      <c r="D6" s="52">
        <v>3</v>
      </c>
      <c r="E6" s="238">
        <v>3</v>
      </c>
      <c r="F6" s="20" t="s">
        <v>662</v>
      </c>
      <c r="G6" s="18" t="s">
        <v>14</v>
      </c>
      <c r="H6" s="20" t="s">
        <v>716</v>
      </c>
      <c r="I6" s="114" t="s">
        <v>717</v>
      </c>
      <c r="J6" s="21">
        <v>23040</v>
      </c>
      <c r="K6" s="21"/>
      <c r="L6" s="22">
        <v>960</v>
      </c>
      <c r="M6" s="23"/>
      <c r="O6" s="12"/>
      <c r="R6" s="12"/>
      <c r="S6" s="12"/>
      <c r="T6" s="12"/>
    </row>
    <row r="7" spans="1:30" s="13" customFormat="1" ht="16.5" customHeight="1" x14ac:dyDescent="0.45">
      <c r="A7" s="14">
        <v>6</v>
      </c>
      <c r="B7" s="14">
        <v>6</v>
      </c>
      <c r="C7" s="54">
        <v>1</v>
      </c>
      <c r="D7" s="52">
        <v>4</v>
      </c>
      <c r="E7" s="238">
        <v>16</v>
      </c>
      <c r="F7" s="20" t="s">
        <v>171</v>
      </c>
      <c r="G7" s="18" t="s">
        <v>14</v>
      </c>
      <c r="H7" s="20" t="s">
        <v>716</v>
      </c>
      <c r="I7" s="114" t="s">
        <v>717</v>
      </c>
      <c r="J7" s="21">
        <v>23040</v>
      </c>
      <c r="K7" s="21"/>
      <c r="L7" s="22">
        <v>960</v>
      </c>
      <c r="M7" s="23"/>
      <c r="O7" s="13">
        <v>23040</v>
      </c>
      <c r="P7" s="13">
        <v>960</v>
      </c>
      <c r="Q7" s="13">
        <v>24000</v>
      </c>
      <c r="R7" s="25"/>
      <c r="T7" s="25"/>
      <c r="U7" s="26"/>
      <c r="V7" s="26"/>
      <c r="W7" s="25"/>
    </row>
    <row r="8" spans="1:30" s="13" customFormat="1" ht="16.5" customHeight="1" x14ac:dyDescent="0.45">
      <c r="A8" s="14">
        <v>7</v>
      </c>
      <c r="B8" s="14">
        <v>7</v>
      </c>
      <c r="C8" s="54">
        <v>1</v>
      </c>
      <c r="D8" s="52">
        <v>7</v>
      </c>
      <c r="E8" s="238">
        <v>19</v>
      </c>
      <c r="F8" s="20" t="s">
        <v>455</v>
      </c>
      <c r="G8" s="18" t="s">
        <v>14</v>
      </c>
      <c r="H8" s="20" t="s">
        <v>716</v>
      </c>
      <c r="I8" s="114" t="s">
        <v>717</v>
      </c>
      <c r="J8" s="21">
        <v>23040</v>
      </c>
      <c r="K8" s="21"/>
      <c r="L8" s="22">
        <v>960</v>
      </c>
      <c r="M8" s="23"/>
      <c r="O8" s="13">
        <f>O7*20</f>
        <v>460800</v>
      </c>
      <c r="P8" s="13">
        <f t="shared" ref="P8:Q8" si="0">P7*20</f>
        <v>19200</v>
      </c>
      <c r="Q8" s="13">
        <f t="shared" si="0"/>
        <v>480000</v>
      </c>
      <c r="R8" s="12"/>
      <c r="S8" s="25">
        <f>SUM(O2,O23,O43,O52,O72,O81,O93,O102,O122)</f>
        <v>2949120</v>
      </c>
      <c r="T8" s="12"/>
      <c r="AB8" s="31"/>
    </row>
    <row r="9" spans="1:30" s="13" customFormat="1" ht="16.5" customHeight="1" x14ac:dyDescent="0.45">
      <c r="A9" s="14">
        <v>8</v>
      </c>
      <c r="B9" s="14">
        <v>8</v>
      </c>
      <c r="C9" s="54">
        <v>1</v>
      </c>
      <c r="D9" s="52">
        <v>9</v>
      </c>
      <c r="E9" s="238">
        <v>11</v>
      </c>
      <c r="F9" s="20" t="s">
        <v>575</v>
      </c>
      <c r="G9" s="18" t="s">
        <v>14</v>
      </c>
      <c r="H9" s="20" t="s">
        <v>716</v>
      </c>
      <c r="I9" s="28" t="s">
        <v>719</v>
      </c>
      <c r="J9" s="29">
        <v>17280</v>
      </c>
      <c r="K9" s="29"/>
      <c r="L9" s="30">
        <v>720</v>
      </c>
      <c r="M9" s="23"/>
      <c r="O9" s="13">
        <v>-23040</v>
      </c>
      <c r="P9" s="13">
        <v>-960</v>
      </c>
      <c r="Q9" s="13">
        <v>-24000</v>
      </c>
      <c r="R9" s="12"/>
      <c r="S9" s="13">
        <f>SUM(O3,O24,O44,O53,O73,O82,O94,O103,O123)</f>
        <v>122880</v>
      </c>
      <c r="T9" s="12"/>
    </row>
    <row r="10" spans="1:30" s="13" customFormat="1" ht="16.5" customHeight="1" x14ac:dyDescent="0.45">
      <c r="A10" s="14">
        <v>9</v>
      </c>
      <c r="B10" s="14">
        <v>9</v>
      </c>
      <c r="C10" s="54">
        <v>1</v>
      </c>
      <c r="D10" s="52">
        <v>9</v>
      </c>
      <c r="E10" s="238">
        <v>15</v>
      </c>
      <c r="F10" s="20" t="s">
        <v>133</v>
      </c>
      <c r="G10" s="18" t="s">
        <v>14</v>
      </c>
      <c r="H10" s="20" t="s">
        <v>716</v>
      </c>
      <c r="I10" s="114" t="s">
        <v>717</v>
      </c>
      <c r="J10" s="21">
        <v>23040</v>
      </c>
      <c r="K10" s="21"/>
      <c r="L10" s="22">
        <v>960</v>
      </c>
      <c r="M10" s="23"/>
      <c r="O10" s="13">
        <f>SUM(O8:O9)</f>
        <v>437760</v>
      </c>
      <c r="P10" s="13">
        <f t="shared" ref="P10:Q10" si="1">SUM(P8:P9)</f>
        <v>18240</v>
      </c>
      <c r="Q10" s="13">
        <f t="shared" si="1"/>
        <v>456000</v>
      </c>
      <c r="R10" s="25"/>
      <c r="S10" s="13">
        <f>SUM(O4,O25,O45,O55,O54,O74,O83,O95,O104,O124)</f>
        <v>3072000</v>
      </c>
      <c r="T10" s="25"/>
      <c r="U10" s="26"/>
      <c r="V10" s="26"/>
      <c r="X10" s="32"/>
      <c r="Y10" s="32"/>
      <c r="Z10" s="32"/>
      <c r="AA10" s="32"/>
      <c r="AB10" s="32"/>
      <c r="AC10" s="32"/>
      <c r="AD10" s="32"/>
    </row>
    <row r="11" spans="1:30" s="13" customFormat="1" ht="16.5" customHeight="1" x14ac:dyDescent="0.45">
      <c r="A11" s="14">
        <v>10</v>
      </c>
      <c r="B11" s="14">
        <v>10</v>
      </c>
      <c r="C11" s="54">
        <v>1</v>
      </c>
      <c r="D11" s="52">
        <v>11</v>
      </c>
      <c r="E11" s="238">
        <v>2</v>
      </c>
      <c r="F11" s="20" t="s">
        <v>309</v>
      </c>
      <c r="G11" s="18" t="s">
        <v>14</v>
      </c>
      <c r="H11" s="20" t="s">
        <v>716</v>
      </c>
      <c r="I11" s="28" t="s">
        <v>719</v>
      </c>
      <c r="J11" s="29">
        <v>17280</v>
      </c>
      <c r="K11" s="29"/>
      <c r="L11" s="30">
        <v>720</v>
      </c>
      <c r="M11" s="23"/>
      <c r="R11" s="12"/>
      <c r="T11" s="12"/>
    </row>
    <row r="12" spans="1:30" s="13" customFormat="1" ht="16.5" customHeight="1" x14ac:dyDescent="0.45">
      <c r="A12" s="14">
        <v>11</v>
      </c>
      <c r="B12" s="14">
        <v>11</v>
      </c>
      <c r="C12" s="54">
        <v>1</v>
      </c>
      <c r="D12" s="52">
        <v>11</v>
      </c>
      <c r="E12" s="238">
        <v>5</v>
      </c>
      <c r="F12" s="20" t="s">
        <v>112</v>
      </c>
      <c r="G12" s="18" t="s">
        <v>14</v>
      </c>
      <c r="H12" s="20" t="s">
        <v>716</v>
      </c>
      <c r="I12" s="114" t="s">
        <v>717</v>
      </c>
      <c r="J12" s="21">
        <v>23040</v>
      </c>
      <c r="K12" s="21"/>
      <c r="L12" s="22">
        <v>960</v>
      </c>
      <c r="M12" s="23"/>
      <c r="O12" s="13">
        <v>20160</v>
      </c>
      <c r="P12" s="13">
        <v>840</v>
      </c>
      <c r="Q12" s="13">
        <v>21000</v>
      </c>
      <c r="R12" s="12"/>
      <c r="S12" s="12"/>
      <c r="T12" s="12"/>
    </row>
    <row r="13" spans="1:30" s="13" customFormat="1" ht="16.5" customHeight="1" x14ac:dyDescent="0.45">
      <c r="A13" s="14">
        <v>12</v>
      </c>
      <c r="B13" s="14">
        <v>12</v>
      </c>
      <c r="C13" s="54">
        <v>2</v>
      </c>
      <c r="D13" s="52">
        <v>4</v>
      </c>
      <c r="E13" s="238">
        <v>20</v>
      </c>
      <c r="F13" s="20" t="s">
        <v>721</v>
      </c>
      <c r="G13" s="18" t="s">
        <v>14</v>
      </c>
      <c r="H13" s="20" t="s">
        <v>716</v>
      </c>
      <c r="I13" s="114" t="s">
        <v>717</v>
      </c>
      <c r="J13" s="21">
        <v>23040</v>
      </c>
      <c r="K13" s="21"/>
      <c r="L13" s="22">
        <v>960</v>
      </c>
      <c r="M13" s="23"/>
      <c r="O13" s="13">
        <f>O12*20</f>
        <v>403200</v>
      </c>
      <c r="P13" s="13">
        <f t="shared" ref="P13:Q13" si="2">P12*20</f>
        <v>16800</v>
      </c>
      <c r="Q13" s="13">
        <f t="shared" si="2"/>
        <v>420000</v>
      </c>
      <c r="R13" s="25"/>
      <c r="S13" s="25"/>
      <c r="T13" s="25"/>
      <c r="U13" s="26"/>
      <c r="V13" s="26"/>
      <c r="W13" s="25"/>
      <c r="Y13" s="25"/>
      <c r="Z13" s="25"/>
      <c r="AA13" s="25"/>
      <c r="AB13" s="25"/>
      <c r="AC13" s="25"/>
      <c r="AD13" s="25"/>
    </row>
    <row r="14" spans="1:30" s="13" customFormat="1" ht="16.5" customHeight="1" x14ac:dyDescent="0.45">
      <c r="A14" s="14">
        <v>13</v>
      </c>
      <c r="B14" s="14">
        <v>13</v>
      </c>
      <c r="C14" s="54">
        <v>2</v>
      </c>
      <c r="D14" s="52">
        <v>5</v>
      </c>
      <c r="E14" s="238">
        <v>21</v>
      </c>
      <c r="F14" s="20" t="s">
        <v>577</v>
      </c>
      <c r="G14" s="18" t="s">
        <v>14</v>
      </c>
      <c r="H14" s="20" t="s">
        <v>716</v>
      </c>
      <c r="I14" s="114" t="s">
        <v>717</v>
      </c>
      <c r="J14" s="21">
        <v>23040</v>
      </c>
      <c r="K14" s="21"/>
      <c r="L14" s="22">
        <v>960</v>
      </c>
      <c r="M14" s="23"/>
      <c r="R14" s="12"/>
      <c r="S14" s="12"/>
      <c r="T14" s="12"/>
    </row>
    <row r="15" spans="1:30" s="13" customFormat="1" ht="16.5" customHeight="1" x14ac:dyDescent="0.45">
      <c r="A15" s="14">
        <v>14</v>
      </c>
      <c r="B15" s="14">
        <v>14</v>
      </c>
      <c r="C15" s="54">
        <v>2</v>
      </c>
      <c r="D15" s="52">
        <v>6</v>
      </c>
      <c r="E15" s="238">
        <v>1</v>
      </c>
      <c r="F15" s="20" t="s">
        <v>722</v>
      </c>
      <c r="G15" s="18" t="s">
        <v>14</v>
      </c>
      <c r="H15" s="20" t="s">
        <v>716</v>
      </c>
      <c r="I15" s="114" t="s">
        <v>717</v>
      </c>
      <c r="J15" s="21">
        <v>23040</v>
      </c>
      <c r="K15" s="21"/>
      <c r="L15" s="22">
        <v>960</v>
      </c>
      <c r="M15" s="23"/>
      <c r="R15" s="12"/>
      <c r="S15" s="12"/>
      <c r="T15" s="12"/>
    </row>
    <row r="16" spans="1:30" s="13" customFormat="1" ht="16.5" customHeight="1" x14ac:dyDescent="0.45">
      <c r="A16" s="14">
        <v>15</v>
      </c>
      <c r="B16" s="14">
        <v>15</v>
      </c>
      <c r="C16" s="54">
        <v>2</v>
      </c>
      <c r="D16" s="52">
        <v>6</v>
      </c>
      <c r="E16" s="238">
        <v>14</v>
      </c>
      <c r="F16" s="20" t="s">
        <v>723</v>
      </c>
      <c r="G16" s="18" t="s">
        <v>14</v>
      </c>
      <c r="H16" s="20" t="s">
        <v>716</v>
      </c>
      <c r="I16" s="28" t="s">
        <v>719</v>
      </c>
      <c r="J16" s="29">
        <v>17280</v>
      </c>
      <c r="K16" s="29"/>
      <c r="L16" s="30">
        <v>720</v>
      </c>
      <c r="M16" s="23"/>
      <c r="R16" s="25"/>
      <c r="S16" s="25"/>
      <c r="T16" s="25"/>
      <c r="U16" s="26"/>
      <c r="V16" s="26"/>
      <c r="W16" s="25"/>
    </row>
    <row r="17" spans="1:20" s="13" customFormat="1" ht="16.5" customHeight="1" x14ac:dyDescent="0.45">
      <c r="A17" s="14">
        <v>16</v>
      </c>
      <c r="B17" s="14">
        <v>16</v>
      </c>
      <c r="C17" s="54">
        <v>2</v>
      </c>
      <c r="D17" s="52">
        <v>6</v>
      </c>
      <c r="E17" s="238">
        <v>21</v>
      </c>
      <c r="F17" s="20" t="s">
        <v>724</v>
      </c>
      <c r="G17" s="18" t="s">
        <v>14</v>
      </c>
      <c r="H17" s="20" t="s">
        <v>716</v>
      </c>
      <c r="I17" s="114" t="s">
        <v>717</v>
      </c>
      <c r="J17" s="21">
        <v>23040</v>
      </c>
      <c r="K17" s="21"/>
      <c r="L17" s="22">
        <v>960</v>
      </c>
      <c r="M17" s="23"/>
      <c r="O17" s="13">
        <v>23040</v>
      </c>
      <c r="P17" s="13">
        <v>960</v>
      </c>
      <c r="Q17" s="13">
        <v>24000</v>
      </c>
      <c r="R17" s="12"/>
      <c r="S17" s="12"/>
      <c r="T17" s="12"/>
    </row>
    <row r="18" spans="1:20" s="13" customFormat="1" ht="16.5" customHeight="1" x14ac:dyDescent="0.45">
      <c r="A18" s="14">
        <v>17</v>
      </c>
      <c r="B18" s="14">
        <v>17</v>
      </c>
      <c r="C18" s="54">
        <v>2</v>
      </c>
      <c r="D18" s="52">
        <v>7</v>
      </c>
      <c r="E18" s="238">
        <v>2</v>
      </c>
      <c r="F18" s="20" t="s">
        <v>725</v>
      </c>
      <c r="G18" s="18" t="s">
        <v>14</v>
      </c>
      <c r="H18" s="20" t="s">
        <v>716</v>
      </c>
      <c r="I18" s="114" t="s">
        <v>717</v>
      </c>
      <c r="J18" s="21">
        <v>23040</v>
      </c>
      <c r="K18" s="21"/>
      <c r="L18" s="22">
        <v>960</v>
      </c>
      <c r="M18" s="23"/>
      <c r="O18" s="13">
        <f>O17*20</f>
        <v>460800</v>
      </c>
      <c r="P18" s="13">
        <f t="shared" ref="P18:Q18" si="3">P17*20</f>
        <v>19200</v>
      </c>
      <c r="Q18" s="13">
        <f t="shared" si="3"/>
        <v>480000</v>
      </c>
      <c r="R18" s="12"/>
      <c r="S18" s="12"/>
      <c r="T18" s="12"/>
    </row>
    <row r="19" spans="1:20" s="13" customFormat="1" ht="19.5" customHeight="1" x14ac:dyDescent="0.45">
      <c r="A19" s="14">
        <v>18</v>
      </c>
      <c r="B19" s="14">
        <v>18</v>
      </c>
      <c r="C19" s="54">
        <v>2</v>
      </c>
      <c r="D19" s="52">
        <v>9</v>
      </c>
      <c r="E19" s="238">
        <v>23</v>
      </c>
      <c r="F19" s="20" t="s">
        <v>136</v>
      </c>
      <c r="G19" s="18" t="s">
        <v>14</v>
      </c>
      <c r="H19" s="20" t="s">
        <v>716</v>
      </c>
      <c r="I19" s="114" t="s">
        <v>717</v>
      </c>
      <c r="J19" s="21">
        <v>23040</v>
      </c>
      <c r="K19" s="21"/>
      <c r="L19" s="22">
        <v>960</v>
      </c>
      <c r="M19" s="23"/>
    </row>
    <row r="20" spans="1:20" s="13" customFormat="1" ht="19.5" customHeight="1" x14ac:dyDescent="0.45">
      <c r="A20" s="14">
        <v>19</v>
      </c>
      <c r="B20" s="14">
        <v>19</v>
      </c>
      <c r="C20" s="54">
        <v>2</v>
      </c>
      <c r="D20" s="52">
        <v>11</v>
      </c>
      <c r="E20" s="238">
        <v>2</v>
      </c>
      <c r="F20" s="20" t="s">
        <v>726</v>
      </c>
      <c r="G20" s="18" t="s">
        <v>14</v>
      </c>
      <c r="H20" s="20" t="s">
        <v>716</v>
      </c>
      <c r="I20" s="114" t="s">
        <v>717</v>
      </c>
      <c r="J20" s="21">
        <v>23040</v>
      </c>
      <c r="K20" s="21"/>
      <c r="L20" s="22">
        <v>960</v>
      </c>
      <c r="M20" s="23"/>
      <c r="O20" s="34">
        <f>SUM(O10,O13,O18)</f>
        <v>1301760</v>
      </c>
      <c r="P20" s="34">
        <f t="shared" ref="P20:Q20" si="4">SUM(P10,P13,P18)</f>
        <v>54240</v>
      </c>
      <c r="Q20" s="34">
        <f t="shared" si="4"/>
        <v>1356000</v>
      </c>
    </row>
    <row r="21" spans="1:20" s="13" customFormat="1" ht="19.5" customHeight="1" x14ac:dyDescent="0.45">
      <c r="A21" s="14">
        <v>20</v>
      </c>
      <c r="B21" s="14">
        <v>20</v>
      </c>
      <c r="C21" s="54">
        <v>2</v>
      </c>
      <c r="D21" s="52">
        <v>11</v>
      </c>
      <c r="E21" s="238">
        <v>17</v>
      </c>
      <c r="F21" s="20" t="s">
        <v>361</v>
      </c>
      <c r="G21" s="18" t="s">
        <v>14</v>
      </c>
      <c r="H21" s="20" t="s">
        <v>716</v>
      </c>
      <c r="I21" s="114" t="s">
        <v>717</v>
      </c>
      <c r="J21" s="21">
        <v>23040</v>
      </c>
      <c r="K21" s="21"/>
      <c r="L21" s="22">
        <v>960</v>
      </c>
      <c r="M21" s="23"/>
    </row>
    <row r="22" spans="1:20" s="13" customFormat="1" ht="19.5" customHeight="1" x14ac:dyDescent="0.45">
      <c r="A22" s="14">
        <v>21</v>
      </c>
      <c r="B22" s="35">
        <v>1</v>
      </c>
      <c r="C22" s="51">
        <v>3</v>
      </c>
      <c r="D22" s="49">
        <v>1</v>
      </c>
      <c r="E22" s="236">
        <v>13</v>
      </c>
      <c r="F22" s="41" t="s">
        <v>727</v>
      </c>
      <c r="G22" s="39" t="s">
        <v>14</v>
      </c>
      <c r="H22" s="41" t="s">
        <v>728</v>
      </c>
      <c r="I22" s="178" t="s">
        <v>717</v>
      </c>
      <c r="J22" s="43">
        <v>23040</v>
      </c>
      <c r="K22" s="43"/>
      <c r="L22" s="44">
        <v>960</v>
      </c>
      <c r="M22" s="45">
        <f>SUM(J22:K41)</f>
        <v>455040</v>
      </c>
    </row>
    <row r="23" spans="1:20" s="13" customFormat="1" ht="19.5" customHeight="1" x14ac:dyDescent="0.45">
      <c r="A23" s="14">
        <v>22</v>
      </c>
      <c r="B23" s="14">
        <v>2</v>
      </c>
      <c r="C23" s="54">
        <v>3</v>
      </c>
      <c r="D23" s="52">
        <v>1</v>
      </c>
      <c r="E23" s="238">
        <v>15</v>
      </c>
      <c r="F23" s="20" t="s">
        <v>729</v>
      </c>
      <c r="G23" s="18" t="s">
        <v>14</v>
      </c>
      <c r="H23" s="20" t="s">
        <v>730</v>
      </c>
      <c r="I23" s="114" t="s">
        <v>717</v>
      </c>
      <c r="J23" s="21">
        <v>23040</v>
      </c>
      <c r="K23" s="21"/>
      <c r="L23" s="22">
        <v>960</v>
      </c>
      <c r="M23" s="23"/>
      <c r="O23" s="237">
        <f>SUM(J22:K41)</f>
        <v>455040</v>
      </c>
    </row>
    <row r="24" spans="1:20" s="13" customFormat="1" ht="19.5" customHeight="1" x14ac:dyDescent="0.45">
      <c r="A24" s="14">
        <v>23</v>
      </c>
      <c r="B24" s="14">
        <v>3</v>
      </c>
      <c r="C24" s="54">
        <v>3</v>
      </c>
      <c r="D24" s="52">
        <v>1</v>
      </c>
      <c r="E24" s="238">
        <v>23</v>
      </c>
      <c r="F24" s="20" t="s">
        <v>731</v>
      </c>
      <c r="G24" s="18" t="s">
        <v>14</v>
      </c>
      <c r="H24" s="20" t="s">
        <v>728</v>
      </c>
      <c r="I24" s="114" t="s">
        <v>717</v>
      </c>
      <c r="J24" s="21">
        <v>23040</v>
      </c>
      <c r="K24" s="21"/>
      <c r="L24" s="22">
        <v>960</v>
      </c>
      <c r="M24" s="23"/>
      <c r="O24" s="237">
        <f>SUM(L22:L41)</f>
        <v>18960</v>
      </c>
    </row>
    <row r="25" spans="1:20" s="13" customFormat="1" ht="19.5" customHeight="1" x14ac:dyDescent="0.45">
      <c r="A25" s="14">
        <v>24</v>
      </c>
      <c r="B25" s="14">
        <v>4</v>
      </c>
      <c r="C25" s="54">
        <v>3</v>
      </c>
      <c r="D25" s="52">
        <v>2</v>
      </c>
      <c r="E25" s="238">
        <v>22</v>
      </c>
      <c r="F25" s="20" t="s">
        <v>578</v>
      </c>
      <c r="G25" s="18" t="s">
        <v>14</v>
      </c>
      <c r="H25" s="20" t="s">
        <v>728</v>
      </c>
      <c r="I25" s="114" t="s">
        <v>717</v>
      </c>
      <c r="J25" s="21">
        <v>23040</v>
      </c>
      <c r="K25" s="21"/>
      <c r="L25" s="22">
        <v>960</v>
      </c>
      <c r="M25" s="23"/>
      <c r="O25" s="237">
        <f>SUM(O23:O24)</f>
        <v>474000</v>
      </c>
    </row>
    <row r="26" spans="1:20" s="13" customFormat="1" ht="19.5" customHeight="1" x14ac:dyDescent="0.45">
      <c r="A26" s="14">
        <v>25</v>
      </c>
      <c r="B26" s="14">
        <v>5</v>
      </c>
      <c r="C26" s="54">
        <v>3</v>
      </c>
      <c r="D26" s="52">
        <v>3</v>
      </c>
      <c r="E26" s="238">
        <v>10</v>
      </c>
      <c r="F26" s="20" t="s">
        <v>404</v>
      </c>
      <c r="G26" s="18" t="s">
        <v>14</v>
      </c>
      <c r="H26" s="20" t="s">
        <v>728</v>
      </c>
      <c r="I26" s="114" t="s">
        <v>717</v>
      </c>
      <c r="J26" s="21">
        <v>23040</v>
      </c>
      <c r="K26" s="21"/>
      <c r="L26" s="22">
        <v>960</v>
      </c>
      <c r="M26" s="23"/>
    </row>
    <row r="27" spans="1:20" s="13" customFormat="1" ht="19.5" customHeight="1" x14ac:dyDescent="0.45">
      <c r="A27" s="14">
        <v>26</v>
      </c>
      <c r="B27" s="14">
        <v>6</v>
      </c>
      <c r="C27" s="54">
        <v>3</v>
      </c>
      <c r="D27" s="52">
        <v>4</v>
      </c>
      <c r="E27" s="238">
        <v>20</v>
      </c>
      <c r="F27" s="20" t="s">
        <v>318</v>
      </c>
      <c r="G27" s="18" t="s">
        <v>14</v>
      </c>
      <c r="H27" s="20" t="s">
        <v>728</v>
      </c>
      <c r="I27" s="114" t="s">
        <v>717</v>
      </c>
      <c r="J27" s="21">
        <v>23040</v>
      </c>
      <c r="K27" s="21"/>
      <c r="L27" s="22">
        <v>960</v>
      </c>
      <c r="M27" s="23"/>
    </row>
    <row r="28" spans="1:20" s="13" customFormat="1" ht="19.5" customHeight="1" x14ac:dyDescent="0.45">
      <c r="A28" s="14">
        <v>27</v>
      </c>
      <c r="B28" s="14">
        <v>7</v>
      </c>
      <c r="C28" s="54">
        <v>3</v>
      </c>
      <c r="D28" s="52">
        <v>7</v>
      </c>
      <c r="E28" s="238">
        <v>3</v>
      </c>
      <c r="F28" s="20" t="s">
        <v>732</v>
      </c>
      <c r="G28" s="18" t="s">
        <v>14</v>
      </c>
      <c r="H28" s="20" t="s">
        <v>728</v>
      </c>
      <c r="I28" s="114" t="s">
        <v>717</v>
      </c>
      <c r="J28" s="21">
        <v>23040</v>
      </c>
      <c r="K28" s="21"/>
      <c r="L28" s="22">
        <v>960</v>
      </c>
      <c r="M28" s="23"/>
      <c r="O28" s="13">
        <v>23040</v>
      </c>
      <c r="P28" s="13">
        <v>960</v>
      </c>
      <c r="Q28" s="13">
        <v>24000</v>
      </c>
    </row>
    <row r="29" spans="1:20" s="13" customFormat="1" ht="19.5" customHeight="1" x14ac:dyDescent="0.45">
      <c r="A29" s="14">
        <v>28</v>
      </c>
      <c r="B29" s="14">
        <v>8</v>
      </c>
      <c r="C29" s="54">
        <v>3</v>
      </c>
      <c r="D29" s="52">
        <v>7</v>
      </c>
      <c r="E29" s="238">
        <v>15</v>
      </c>
      <c r="F29" s="20" t="s">
        <v>488</v>
      </c>
      <c r="G29" s="18" t="s">
        <v>14</v>
      </c>
      <c r="H29" s="20" t="s">
        <v>728</v>
      </c>
      <c r="I29" s="114" t="s">
        <v>717</v>
      </c>
      <c r="J29" s="21">
        <v>23040</v>
      </c>
      <c r="K29" s="21"/>
      <c r="L29" s="22">
        <v>960</v>
      </c>
      <c r="M29" s="23"/>
      <c r="O29" s="13">
        <f>O28*20</f>
        <v>460800</v>
      </c>
      <c r="P29" s="13">
        <f t="shared" ref="P29:Q29" si="5">P28*20</f>
        <v>19200</v>
      </c>
      <c r="Q29" s="13">
        <f t="shared" si="5"/>
        <v>480000</v>
      </c>
    </row>
    <row r="30" spans="1:20" s="13" customFormat="1" ht="19.5" customHeight="1" x14ac:dyDescent="0.45">
      <c r="A30" s="14">
        <v>29</v>
      </c>
      <c r="B30" s="14">
        <v>9</v>
      </c>
      <c r="C30" s="17">
        <v>3</v>
      </c>
      <c r="D30" s="15">
        <v>7</v>
      </c>
      <c r="E30" s="239">
        <v>24</v>
      </c>
      <c r="F30" s="20" t="s">
        <v>229</v>
      </c>
      <c r="G30" s="18" t="s">
        <v>14</v>
      </c>
      <c r="H30" s="20" t="s">
        <v>728</v>
      </c>
      <c r="I30" s="114" t="s">
        <v>717</v>
      </c>
      <c r="J30" s="21">
        <v>23040</v>
      </c>
      <c r="K30" s="21"/>
      <c r="L30" s="22">
        <v>960</v>
      </c>
      <c r="M30" s="23"/>
      <c r="O30" s="13">
        <v>-5760</v>
      </c>
      <c r="P30" s="13">
        <v>-240</v>
      </c>
      <c r="Q30" s="13">
        <v>-6000</v>
      </c>
    </row>
    <row r="31" spans="1:20" s="13" customFormat="1" ht="19.5" customHeight="1" x14ac:dyDescent="0.45">
      <c r="A31" s="14">
        <v>30</v>
      </c>
      <c r="B31" s="14">
        <v>10</v>
      </c>
      <c r="C31" s="17">
        <v>3</v>
      </c>
      <c r="D31" s="15">
        <v>9</v>
      </c>
      <c r="E31" s="239">
        <v>18</v>
      </c>
      <c r="F31" s="20" t="s">
        <v>322</v>
      </c>
      <c r="G31" s="18" t="s">
        <v>14</v>
      </c>
      <c r="H31" s="20" t="s">
        <v>728</v>
      </c>
      <c r="I31" s="28" t="s">
        <v>733</v>
      </c>
      <c r="J31" s="29">
        <v>20160</v>
      </c>
      <c r="K31" s="29"/>
      <c r="L31" s="30">
        <v>840</v>
      </c>
      <c r="M31" s="23"/>
      <c r="O31" s="13">
        <f>SUM(O29:O30)</f>
        <v>455040</v>
      </c>
      <c r="P31" s="13">
        <f t="shared" ref="P31:Q31" si="6">SUM(P29:P30)</f>
        <v>18960</v>
      </c>
      <c r="Q31" s="13">
        <f t="shared" si="6"/>
        <v>474000</v>
      </c>
    </row>
    <row r="32" spans="1:20" s="13" customFormat="1" ht="19.5" customHeight="1" x14ac:dyDescent="0.45">
      <c r="A32" s="14">
        <v>31</v>
      </c>
      <c r="B32" s="14">
        <v>11</v>
      </c>
      <c r="C32" s="17">
        <v>4</v>
      </c>
      <c r="D32" s="15">
        <v>1</v>
      </c>
      <c r="E32" s="239">
        <v>8</v>
      </c>
      <c r="F32" s="20" t="s">
        <v>734</v>
      </c>
      <c r="G32" s="18" t="s">
        <v>14</v>
      </c>
      <c r="H32" s="20" t="s">
        <v>728</v>
      </c>
      <c r="I32" s="114" t="s">
        <v>717</v>
      </c>
      <c r="J32" s="21">
        <v>23040</v>
      </c>
      <c r="K32" s="21"/>
      <c r="L32" s="22">
        <v>960</v>
      </c>
      <c r="M32" s="23"/>
    </row>
    <row r="33" spans="1:25" s="13" customFormat="1" ht="19.5" customHeight="1" x14ac:dyDescent="0.45">
      <c r="A33" s="14">
        <v>32</v>
      </c>
      <c r="B33" s="14">
        <v>12</v>
      </c>
      <c r="C33" s="17">
        <v>4</v>
      </c>
      <c r="D33" s="15">
        <v>2</v>
      </c>
      <c r="E33" s="239">
        <v>6</v>
      </c>
      <c r="F33" s="20" t="s">
        <v>735</v>
      </c>
      <c r="G33" s="18" t="s">
        <v>14</v>
      </c>
      <c r="H33" s="20" t="s">
        <v>728</v>
      </c>
      <c r="I33" s="114" t="s">
        <v>717</v>
      </c>
      <c r="J33" s="21">
        <v>23040</v>
      </c>
      <c r="K33" s="21"/>
      <c r="L33" s="22">
        <v>960</v>
      </c>
      <c r="M33" s="23"/>
    </row>
    <row r="34" spans="1:25" s="13" customFormat="1" ht="19.5" customHeight="1" x14ac:dyDescent="0.45">
      <c r="A34" s="14">
        <v>33</v>
      </c>
      <c r="B34" s="14">
        <v>13</v>
      </c>
      <c r="C34" s="17">
        <v>4</v>
      </c>
      <c r="D34" s="15">
        <v>2</v>
      </c>
      <c r="E34" s="239">
        <v>10</v>
      </c>
      <c r="F34" s="20" t="s">
        <v>736</v>
      </c>
      <c r="G34" s="18" t="s">
        <v>14</v>
      </c>
      <c r="H34" s="20" t="s">
        <v>728</v>
      </c>
      <c r="I34" s="114" t="s">
        <v>717</v>
      </c>
      <c r="J34" s="21">
        <v>23040</v>
      </c>
      <c r="K34" s="21"/>
      <c r="L34" s="22">
        <v>960</v>
      </c>
      <c r="M34" s="23"/>
      <c r="O34" s="13">
        <v>20160</v>
      </c>
      <c r="P34" s="13">
        <v>840</v>
      </c>
      <c r="Q34" s="13">
        <v>21000</v>
      </c>
    </row>
    <row r="35" spans="1:25" s="13" customFormat="1" ht="19.5" customHeight="1" x14ac:dyDescent="0.45">
      <c r="A35" s="14">
        <v>34</v>
      </c>
      <c r="B35" s="14">
        <v>14</v>
      </c>
      <c r="C35" s="17">
        <v>4</v>
      </c>
      <c r="D35" s="15">
        <v>2</v>
      </c>
      <c r="E35" s="239">
        <v>15</v>
      </c>
      <c r="F35" s="20" t="s">
        <v>737</v>
      </c>
      <c r="G35" s="18" t="s">
        <v>14</v>
      </c>
      <c r="H35" s="20" t="s">
        <v>728</v>
      </c>
      <c r="I35" s="114" t="s">
        <v>717</v>
      </c>
      <c r="J35" s="21">
        <v>23040</v>
      </c>
      <c r="K35" s="21"/>
      <c r="L35" s="22">
        <v>960</v>
      </c>
      <c r="M35" s="23"/>
      <c r="O35" s="13">
        <f>O34*20</f>
        <v>403200</v>
      </c>
      <c r="P35" s="13">
        <f t="shared" ref="P35:Q35" si="7">P34*20</f>
        <v>16800</v>
      </c>
      <c r="Q35" s="13">
        <f t="shared" si="7"/>
        <v>420000</v>
      </c>
    </row>
    <row r="36" spans="1:25" s="13" customFormat="1" ht="19.5" customHeight="1" x14ac:dyDescent="0.45">
      <c r="A36" s="14">
        <v>35</v>
      </c>
      <c r="B36" s="14">
        <v>15</v>
      </c>
      <c r="C36" s="17">
        <v>4</v>
      </c>
      <c r="D36" s="15">
        <v>3</v>
      </c>
      <c r="E36" s="239">
        <v>24</v>
      </c>
      <c r="F36" s="20" t="s">
        <v>584</v>
      </c>
      <c r="G36" s="18" t="s">
        <v>14</v>
      </c>
      <c r="H36" s="20" t="s">
        <v>728</v>
      </c>
      <c r="I36" s="114" t="s">
        <v>717</v>
      </c>
      <c r="J36" s="21">
        <v>23040</v>
      </c>
      <c r="K36" s="21"/>
      <c r="L36" s="22">
        <v>960</v>
      </c>
      <c r="M36" s="23"/>
    </row>
    <row r="37" spans="1:25" s="13" customFormat="1" ht="19.5" customHeight="1" x14ac:dyDescent="0.45">
      <c r="A37" s="14">
        <v>36</v>
      </c>
      <c r="B37" s="14">
        <v>16</v>
      </c>
      <c r="C37" s="17">
        <v>4</v>
      </c>
      <c r="D37" s="15">
        <v>4</v>
      </c>
      <c r="E37" s="239">
        <v>17</v>
      </c>
      <c r="F37" s="20" t="s">
        <v>738</v>
      </c>
      <c r="G37" s="18" t="s">
        <v>14</v>
      </c>
      <c r="H37" s="20" t="s">
        <v>728</v>
      </c>
      <c r="I37" s="114" t="s">
        <v>717</v>
      </c>
      <c r="J37" s="21">
        <v>23040</v>
      </c>
      <c r="K37" s="21"/>
      <c r="L37" s="22">
        <v>960</v>
      </c>
      <c r="M37" s="23"/>
    </row>
    <row r="38" spans="1:25" s="13" customFormat="1" ht="19.5" customHeight="1" x14ac:dyDescent="0.45">
      <c r="A38" s="14">
        <v>37</v>
      </c>
      <c r="B38" s="14">
        <v>17</v>
      </c>
      <c r="C38" s="17">
        <v>4</v>
      </c>
      <c r="D38" s="15">
        <v>4</v>
      </c>
      <c r="E38" s="239">
        <v>23</v>
      </c>
      <c r="F38" s="20" t="s">
        <v>739</v>
      </c>
      <c r="G38" s="18" t="s">
        <v>14</v>
      </c>
      <c r="H38" s="20" t="s">
        <v>728</v>
      </c>
      <c r="I38" s="114" t="s">
        <v>717</v>
      </c>
      <c r="J38" s="21">
        <v>23040</v>
      </c>
      <c r="K38" s="21"/>
      <c r="L38" s="22">
        <v>960</v>
      </c>
      <c r="M38" s="23"/>
      <c r="O38" s="13">
        <v>23040</v>
      </c>
      <c r="P38" s="13">
        <v>960</v>
      </c>
      <c r="Q38" s="13">
        <v>24000</v>
      </c>
    </row>
    <row r="39" spans="1:25" s="13" customFormat="1" ht="19.5" customHeight="1" x14ac:dyDescent="0.45">
      <c r="A39" s="14">
        <v>38</v>
      </c>
      <c r="B39" s="14">
        <v>18</v>
      </c>
      <c r="C39" s="17">
        <v>4</v>
      </c>
      <c r="D39" s="15">
        <v>5</v>
      </c>
      <c r="E39" s="239">
        <v>24</v>
      </c>
      <c r="F39" s="20" t="s">
        <v>706</v>
      </c>
      <c r="G39" s="18" t="s">
        <v>14</v>
      </c>
      <c r="H39" s="20" t="s">
        <v>728</v>
      </c>
      <c r="I39" s="114" t="s">
        <v>717</v>
      </c>
      <c r="J39" s="21">
        <v>23040</v>
      </c>
      <c r="K39" s="21"/>
      <c r="L39" s="22">
        <v>960</v>
      </c>
      <c r="M39" s="23"/>
      <c r="O39" s="13">
        <f>O38*20</f>
        <v>460800</v>
      </c>
      <c r="P39" s="13">
        <f t="shared" ref="P39:Q39" si="8">P38*20</f>
        <v>19200</v>
      </c>
      <c r="Q39" s="13">
        <f t="shared" si="8"/>
        <v>480000</v>
      </c>
    </row>
    <row r="40" spans="1:25" s="13" customFormat="1" ht="19.5" customHeight="1" x14ac:dyDescent="0.45">
      <c r="A40" s="14">
        <v>39</v>
      </c>
      <c r="B40" s="14">
        <v>19</v>
      </c>
      <c r="C40" s="17">
        <v>4</v>
      </c>
      <c r="D40" s="15">
        <v>7</v>
      </c>
      <c r="E40" s="239">
        <v>11</v>
      </c>
      <c r="F40" s="20" t="s">
        <v>563</v>
      </c>
      <c r="G40" s="18" t="s">
        <v>14</v>
      </c>
      <c r="H40" s="20" t="s">
        <v>728</v>
      </c>
      <c r="I40" s="28" t="s">
        <v>733</v>
      </c>
      <c r="J40" s="29">
        <v>20160</v>
      </c>
      <c r="K40" s="29"/>
      <c r="L40" s="30">
        <v>840</v>
      </c>
      <c r="M40" s="23"/>
    </row>
    <row r="41" spans="1:25" s="13" customFormat="1" ht="19.5" customHeight="1" x14ac:dyDescent="0.45">
      <c r="A41" s="14">
        <v>40</v>
      </c>
      <c r="B41" s="14">
        <v>20</v>
      </c>
      <c r="C41" s="54">
        <v>4</v>
      </c>
      <c r="D41" s="52">
        <v>7</v>
      </c>
      <c r="E41" s="238">
        <v>20</v>
      </c>
      <c r="F41" s="58" t="s">
        <v>524</v>
      </c>
      <c r="G41" s="89" t="s">
        <v>14</v>
      </c>
      <c r="H41" s="58" t="s">
        <v>728</v>
      </c>
      <c r="I41" s="114" t="s">
        <v>717</v>
      </c>
      <c r="J41" s="21">
        <v>23040</v>
      </c>
      <c r="K41" s="21"/>
      <c r="L41" s="22">
        <v>960</v>
      </c>
      <c r="M41" s="23"/>
      <c r="O41" s="34">
        <f>SUM(O31,O35,O39)</f>
        <v>1319040</v>
      </c>
      <c r="P41" s="34">
        <f t="shared" ref="P41:Q41" si="9">SUM(P31,P35,P39)</f>
        <v>54960</v>
      </c>
      <c r="Q41" s="34">
        <f t="shared" si="9"/>
        <v>1374000</v>
      </c>
    </row>
    <row r="42" spans="1:25" s="13" customFormat="1" ht="19.5" customHeight="1" x14ac:dyDescent="0.45">
      <c r="A42" s="14">
        <v>41</v>
      </c>
      <c r="B42" s="35">
        <v>1</v>
      </c>
      <c r="C42" s="51">
        <v>3</v>
      </c>
      <c r="D42" s="49">
        <v>2</v>
      </c>
      <c r="E42" s="236">
        <v>8</v>
      </c>
      <c r="F42" s="41" t="s">
        <v>740</v>
      </c>
      <c r="G42" s="39" t="s">
        <v>14</v>
      </c>
      <c r="H42" s="41" t="s">
        <v>741</v>
      </c>
      <c r="I42" s="39" t="s">
        <v>742</v>
      </c>
      <c r="J42" s="43">
        <v>23040</v>
      </c>
      <c r="K42" s="43"/>
      <c r="L42" s="44">
        <v>960</v>
      </c>
      <c r="M42" s="45">
        <f>SUM(J42:K50)</f>
        <v>195840</v>
      </c>
    </row>
    <row r="43" spans="1:25" s="13" customFormat="1" ht="19.5" customHeight="1" x14ac:dyDescent="0.45">
      <c r="A43" s="14">
        <v>42</v>
      </c>
      <c r="B43" s="14">
        <v>2</v>
      </c>
      <c r="C43" s="54">
        <v>3</v>
      </c>
      <c r="D43" s="52">
        <v>8</v>
      </c>
      <c r="E43" s="238">
        <v>25</v>
      </c>
      <c r="F43" s="20" t="s">
        <v>383</v>
      </c>
      <c r="G43" s="18" t="s">
        <v>14</v>
      </c>
      <c r="H43" s="20" t="s">
        <v>743</v>
      </c>
      <c r="I43" s="28" t="s">
        <v>744</v>
      </c>
      <c r="J43" s="29">
        <v>17280</v>
      </c>
      <c r="K43" s="29"/>
      <c r="L43" s="30">
        <v>720</v>
      </c>
      <c r="M43" s="23"/>
      <c r="O43" s="240">
        <f>SUM(J42:K50)</f>
        <v>195840</v>
      </c>
    </row>
    <row r="44" spans="1:25" s="13" customFormat="1" ht="19.5" customHeight="1" x14ac:dyDescent="0.45">
      <c r="A44" s="14">
        <v>43</v>
      </c>
      <c r="B44" s="14">
        <v>3</v>
      </c>
      <c r="C44" s="54">
        <v>3</v>
      </c>
      <c r="D44" s="52">
        <v>9</v>
      </c>
      <c r="E44" s="238">
        <v>3</v>
      </c>
      <c r="F44" s="20" t="s">
        <v>475</v>
      </c>
      <c r="G44" s="18" t="s">
        <v>14</v>
      </c>
      <c r="H44" s="20" t="s">
        <v>741</v>
      </c>
      <c r="I44" s="18" t="s">
        <v>742</v>
      </c>
      <c r="J44" s="21">
        <v>23040</v>
      </c>
      <c r="K44" s="21"/>
      <c r="L44" s="22">
        <v>960</v>
      </c>
      <c r="M44" s="23"/>
      <c r="O44" s="240">
        <f>SUM(L42:L50)</f>
        <v>8160</v>
      </c>
    </row>
    <row r="45" spans="1:25" s="13" customFormat="1" ht="19.5" customHeight="1" x14ac:dyDescent="0.45">
      <c r="A45" s="14">
        <v>44</v>
      </c>
      <c r="B45" s="14">
        <v>4</v>
      </c>
      <c r="C45" s="54">
        <v>3</v>
      </c>
      <c r="D45" s="52">
        <v>9</v>
      </c>
      <c r="E45" s="238">
        <v>12</v>
      </c>
      <c r="F45" s="20" t="s">
        <v>295</v>
      </c>
      <c r="G45" s="18" t="s">
        <v>14</v>
      </c>
      <c r="H45" s="20" t="s">
        <v>741</v>
      </c>
      <c r="I45" s="28" t="s">
        <v>744</v>
      </c>
      <c r="J45" s="29">
        <v>17280</v>
      </c>
      <c r="K45" s="29"/>
      <c r="L45" s="30">
        <v>720</v>
      </c>
      <c r="M45" s="23"/>
      <c r="O45" s="240">
        <f>SUM(O43:O44)</f>
        <v>204000</v>
      </c>
    </row>
    <row r="46" spans="1:25" s="13" customFormat="1" ht="19.5" customHeight="1" x14ac:dyDescent="0.45">
      <c r="A46" s="14">
        <v>45</v>
      </c>
      <c r="B46" s="14">
        <v>5</v>
      </c>
      <c r="C46" s="54">
        <v>4</v>
      </c>
      <c r="D46" s="52">
        <v>3</v>
      </c>
      <c r="E46" s="238">
        <v>25</v>
      </c>
      <c r="F46" s="20" t="s">
        <v>745</v>
      </c>
      <c r="G46" s="18" t="s">
        <v>14</v>
      </c>
      <c r="H46" s="20" t="s">
        <v>741</v>
      </c>
      <c r="I46" s="18" t="s">
        <v>742</v>
      </c>
      <c r="J46" s="21">
        <v>23040</v>
      </c>
      <c r="K46" s="21"/>
      <c r="L46" s="22">
        <v>960</v>
      </c>
      <c r="M46" s="23"/>
    </row>
    <row r="47" spans="1:25" s="13" customFormat="1" ht="19.5" customHeight="1" x14ac:dyDescent="0.45">
      <c r="A47" s="14">
        <v>46</v>
      </c>
      <c r="B47" s="14">
        <v>6</v>
      </c>
      <c r="C47" s="54">
        <v>4</v>
      </c>
      <c r="D47" s="52">
        <v>4</v>
      </c>
      <c r="E47" s="238">
        <v>7</v>
      </c>
      <c r="F47" s="20" t="s">
        <v>746</v>
      </c>
      <c r="G47" s="18" t="s">
        <v>14</v>
      </c>
      <c r="H47" s="20" t="s">
        <v>741</v>
      </c>
      <c r="I47" s="18" t="s">
        <v>742</v>
      </c>
      <c r="J47" s="21">
        <v>23040</v>
      </c>
      <c r="K47" s="21"/>
      <c r="L47" s="22">
        <v>960</v>
      </c>
      <c r="M47" s="23"/>
      <c r="O47" s="13">
        <v>23040</v>
      </c>
      <c r="P47" s="13">
        <v>960</v>
      </c>
      <c r="Q47" s="13">
        <v>24000</v>
      </c>
      <c r="S47" s="13">
        <v>23040</v>
      </c>
      <c r="T47" s="13">
        <v>960</v>
      </c>
      <c r="U47" s="13">
        <v>24000</v>
      </c>
      <c r="W47" s="13">
        <v>23040</v>
      </c>
      <c r="X47" s="13">
        <v>960</v>
      </c>
      <c r="Y47" s="13">
        <v>24000</v>
      </c>
    </row>
    <row r="48" spans="1:25" s="13" customFormat="1" ht="19.5" customHeight="1" x14ac:dyDescent="0.45">
      <c r="A48" s="14">
        <v>47</v>
      </c>
      <c r="B48" s="14">
        <v>7</v>
      </c>
      <c r="C48" s="54">
        <v>4</v>
      </c>
      <c r="D48" s="52">
        <v>4</v>
      </c>
      <c r="E48" s="238">
        <v>19</v>
      </c>
      <c r="F48" s="20" t="s">
        <v>747</v>
      </c>
      <c r="G48" s="18" t="s">
        <v>14</v>
      </c>
      <c r="H48" s="20" t="s">
        <v>741</v>
      </c>
      <c r="I48" s="18" t="s">
        <v>742</v>
      </c>
      <c r="J48" s="21">
        <v>23040</v>
      </c>
      <c r="K48" s="21"/>
      <c r="L48" s="22">
        <v>960</v>
      </c>
      <c r="M48" s="23"/>
      <c r="O48" s="13">
        <f>O47*9</f>
        <v>207360</v>
      </c>
      <c r="P48" s="13">
        <f t="shared" ref="P48:Q48" si="10">P47*9</f>
        <v>8640</v>
      </c>
      <c r="Q48" s="13">
        <f t="shared" si="10"/>
        <v>216000</v>
      </c>
      <c r="S48" s="13">
        <f>S47*9</f>
        <v>207360</v>
      </c>
      <c r="T48" s="13">
        <f t="shared" ref="T48:U48" si="11">T47*9</f>
        <v>8640</v>
      </c>
      <c r="U48" s="13">
        <f t="shared" si="11"/>
        <v>216000</v>
      </c>
      <c r="W48" s="13">
        <f>W47*9</f>
        <v>207360</v>
      </c>
      <c r="X48" s="13">
        <f t="shared" ref="X48:Y48" si="12">X47*9</f>
        <v>8640</v>
      </c>
      <c r="Y48" s="13">
        <f t="shared" si="12"/>
        <v>216000</v>
      </c>
    </row>
    <row r="49" spans="1:21" s="13" customFormat="1" ht="19.5" customHeight="1" x14ac:dyDescent="0.45">
      <c r="A49" s="14">
        <v>48</v>
      </c>
      <c r="B49" s="14">
        <v>8</v>
      </c>
      <c r="C49" s="54">
        <v>4</v>
      </c>
      <c r="D49" s="52">
        <v>5</v>
      </c>
      <c r="E49" s="238">
        <v>7</v>
      </c>
      <c r="F49" s="20" t="s">
        <v>617</v>
      </c>
      <c r="G49" s="18" t="s">
        <v>14</v>
      </c>
      <c r="H49" s="20" t="s">
        <v>741</v>
      </c>
      <c r="I49" s="18" t="s">
        <v>742</v>
      </c>
      <c r="J49" s="21">
        <v>23040</v>
      </c>
      <c r="K49" s="21"/>
      <c r="L49" s="22">
        <v>960</v>
      </c>
      <c r="M49" s="23"/>
      <c r="O49" s="13">
        <v>-11520</v>
      </c>
      <c r="P49" s="13">
        <v>-480</v>
      </c>
      <c r="Q49" s="13">
        <v>-12000</v>
      </c>
    </row>
    <row r="50" spans="1:21" s="13" customFormat="1" ht="19.5" customHeight="1" x14ac:dyDescent="0.45">
      <c r="A50" s="14">
        <v>49</v>
      </c>
      <c r="B50" s="14">
        <v>9</v>
      </c>
      <c r="C50" s="54">
        <v>4</v>
      </c>
      <c r="D50" s="52">
        <v>7</v>
      </c>
      <c r="E50" s="238">
        <v>15</v>
      </c>
      <c r="F50" s="58" t="s">
        <v>477</v>
      </c>
      <c r="G50" s="89" t="s">
        <v>14</v>
      </c>
      <c r="H50" s="58" t="s">
        <v>741</v>
      </c>
      <c r="I50" s="18" t="s">
        <v>742</v>
      </c>
      <c r="J50" s="21">
        <v>23040</v>
      </c>
      <c r="K50" s="21"/>
      <c r="L50" s="22">
        <v>960</v>
      </c>
      <c r="M50" s="23"/>
      <c r="O50" s="13">
        <f>SUM(O48:O49)</f>
        <v>195840</v>
      </c>
      <c r="P50" s="13">
        <f t="shared" ref="P50:Q50" si="13">SUM(P48:P49)</f>
        <v>8160</v>
      </c>
      <c r="Q50" s="13">
        <f t="shared" si="13"/>
        <v>204000</v>
      </c>
      <c r="S50" s="34">
        <f>SUM(O50,S48,W48)</f>
        <v>610560</v>
      </c>
      <c r="T50" s="34">
        <f>SUM(P50,T48,X48)</f>
        <v>25440</v>
      </c>
      <c r="U50" s="34">
        <f>SUM(Q50,U48,Y48)</f>
        <v>636000</v>
      </c>
    </row>
    <row r="51" spans="1:21" s="13" customFormat="1" ht="19.5" customHeight="1" x14ac:dyDescent="0.45">
      <c r="A51" s="14">
        <v>50</v>
      </c>
      <c r="B51" s="35">
        <v>1</v>
      </c>
      <c r="C51" s="51">
        <v>1</v>
      </c>
      <c r="D51" s="49">
        <v>1</v>
      </c>
      <c r="E51" s="236">
        <v>19</v>
      </c>
      <c r="F51" s="41" t="s">
        <v>748</v>
      </c>
      <c r="G51" s="39" t="s">
        <v>14</v>
      </c>
      <c r="H51" s="41" t="s">
        <v>749</v>
      </c>
      <c r="I51" s="110" t="s">
        <v>750</v>
      </c>
      <c r="J51" s="111">
        <v>11520</v>
      </c>
      <c r="K51" s="111"/>
      <c r="L51" s="151">
        <v>480</v>
      </c>
      <c r="M51" s="45">
        <f>SUM(J51:K70)</f>
        <v>420480</v>
      </c>
    </row>
    <row r="52" spans="1:21" s="13" customFormat="1" ht="19.5" customHeight="1" x14ac:dyDescent="0.45">
      <c r="A52" s="14">
        <v>51</v>
      </c>
      <c r="B52" s="14">
        <v>2</v>
      </c>
      <c r="C52" s="54">
        <v>1</v>
      </c>
      <c r="D52" s="52">
        <v>4</v>
      </c>
      <c r="E52" s="238">
        <v>5</v>
      </c>
      <c r="F52" s="20" t="s">
        <v>751</v>
      </c>
      <c r="G52" s="18" t="s">
        <v>14</v>
      </c>
      <c r="H52" s="20" t="s">
        <v>749</v>
      </c>
      <c r="I52" s="28" t="s">
        <v>744</v>
      </c>
      <c r="J52" s="29">
        <v>17280</v>
      </c>
      <c r="K52" s="29"/>
      <c r="L52" s="30">
        <v>720</v>
      </c>
      <c r="M52" s="23"/>
      <c r="O52" s="241">
        <f>SUM(J51:K70)</f>
        <v>420480</v>
      </c>
    </row>
    <row r="53" spans="1:21" s="13" customFormat="1" ht="19.5" customHeight="1" x14ac:dyDescent="0.45">
      <c r="A53" s="14">
        <v>52</v>
      </c>
      <c r="B53" s="14">
        <v>3</v>
      </c>
      <c r="C53" s="54">
        <v>1</v>
      </c>
      <c r="D53" s="52">
        <v>4</v>
      </c>
      <c r="E53" s="238">
        <v>21</v>
      </c>
      <c r="F53" s="20" t="s">
        <v>414</v>
      </c>
      <c r="G53" s="18" t="s">
        <v>14</v>
      </c>
      <c r="H53" s="20" t="s">
        <v>749</v>
      </c>
      <c r="I53" s="28" t="s">
        <v>744</v>
      </c>
      <c r="J53" s="29">
        <v>17280</v>
      </c>
      <c r="K53" s="29"/>
      <c r="L53" s="30">
        <v>720</v>
      </c>
      <c r="M53" s="23"/>
      <c r="O53" s="241">
        <f>SUM(L51:L70)</f>
        <v>17520</v>
      </c>
    </row>
    <row r="54" spans="1:21" s="13" customFormat="1" ht="19.5" customHeight="1" x14ac:dyDescent="0.45">
      <c r="A54" s="14">
        <v>53</v>
      </c>
      <c r="B54" s="14">
        <v>4</v>
      </c>
      <c r="C54" s="54">
        <v>1</v>
      </c>
      <c r="D54" s="52">
        <v>5</v>
      </c>
      <c r="E54" s="238">
        <v>17</v>
      </c>
      <c r="F54" s="20" t="s">
        <v>186</v>
      </c>
      <c r="G54" s="18" t="s">
        <v>14</v>
      </c>
      <c r="H54" s="20" t="s">
        <v>752</v>
      </c>
      <c r="I54" s="18" t="s">
        <v>742</v>
      </c>
      <c r="J54" s="21">
        <v>23040</v>
      </c>
      <c r="K54" s="21"/>
      <c r="L54" s="22">
        <v>960</v>
      </c>
      <c r="M54" s="23"/>
      <c r="O54" s="241">
        <f>SUM(O52:O53)</f>
        <v>438000</v>
      </c>
    </row>
    <row r="55" spans="1:21" s="13" customFormat="1" ht="19.5" customHeight="1" x14ac:dyDescent="0.45">
      <c r="A55" s="14">
        <v>54</v>
      </c>
      <c r="B55" s="14">
        <v>5</v>
      </c>
      <c r="C55" s="54">
        <v>1</v>
      </c>
      <c r="D55" s="52">
        <v>7</v>
      </c>
      <c r="E55" s="238">
        <v>11</v>
      </c>
      <c r="F55" s="20" t="s">
        <v>39</v>
      </c>
      <c r="G55" s="18" t="s">
        <v>14</v>
      </c>
      <c r="H55" s="20" t="s">
        <v>749</v>
      </c>
      <c r="I55" s="28" t="s">
        <v>744</v>
      </c>
      <c r="J55" s="29">
        <v>17280</v>
      </c>
      <c r="K55" s="29"/>
      <c r="L55" s="30">
        <v>720</v>
      </c>
      <c r="M55" s="23"/>
    </row>
    <row r="56" spans="1:21" s="13" customFormat="1" ht="19.5" customHeight="1" x14ac:dyDescent="0.45">
      <c r="A56" s="14">
        <v>55</v>
      </c>
      <c r="B56" s="14">
        <v>6</v>
      </c>
      <c r="C56" s="54">
        <v>1</v>
      </c>
      <c r="D56" s="52">
        <v>8</v>
      </c>
      <c r="E56" s="238">
        <v>7</v>
      </c>
      <c r="F56" s="20" t="s">
        <v>456</v>
      </c>
      <c r="G56" s="18" t="s">
        <v>14</v>
      </c>
      <c r="H56" s="20" t="s">
        <v>749</v>
      </c>
      <c r="I56" s="18" t="s">
        <v>742</v>
      </c>
      <c r="J56" s="21">
        <v>23040</v>
      </c>
      <c r="K56" s="21"/>
      <c r="L56" s="22">
        <v>960</v>
      </c>
      <c r="M56" s="23"/>
    </row>
    <row r="57" spans="1:21" s="13" customFormat="1" ht="19.5" customHeight="1" x14ac:dyDescent="0.45">
      <c r="A57" s="14">
        <v>56</v>
      </c>
      <c r="B57" s="14">
        <v>7</v>
      </c>
      <c r="C57" s="54">
        <v>1</v>
      </c>
      <c r="D57" s="52">
        <v>8</v>
      </c>
      <c r="E57" s="238">
        <v>14</v>
      </c>
      <c r="F57" s="20" t="s">
        <v>753</v>
      </c>
      <c r="G57" s="18" t="s">
        <v>14</v>
      </c>
      <c r="H57" s="20" t="s">
        <v>749</v>
      </c>
      <c r="I57" s="28" t="s">
        <v>744</v>
      </c>
      <c r="J57" s="29">
        <v>17280</v>
      </c>
      <c r="K57" s="29"/>
      <c r="L57" s="30">
        <v>720</v>
      </c>
      <c r="M57" s="23"/>
      <c r="O57" s="13">
        <v>23040</v>
      </c>
      <c r="P57" s="13">
        <v>960</v>
      </c>
      <c r="Q57" s="13">
        <v>24000</v>
      </c>
    </row>
    <row r="58" spans="1:21" s="13" customFormat="1" ht="19.5" customHeight="1" x14ac:dyDescent="0.45">
      <c r="A58" s="14">
        <v>57</v>
      </c>
      <c r="B58" s="14">
        <v>8</v>
      </c>
      <c r="C58" s="54">
        <v>1</v>
      </c>
      <c r="D58" s="52">
        <v>9</v>
      </c>
      <c r="E58" s="238">
        <v>9</v>
      </c>
      <c r="F58" s="20" t="s">
        <v>132</v>
      </c>
      <c r="G58" s="18" t="s">
        <v>14</v>
      </c>
      <c r="H58" s="20" t="s">
        <v>749</v>
      </c>
      <c r="I58" s="18" t="s">
        <v>742</v>
      </c>
      <c r="J58" s="21">
        <v>23040</v>
      </c>
      <c r="K58" s="21"/>
      <c r="L58" s="22">
        <v>960</v>
      </c>
      <c r="M58" s="23"/>
      <c r="O58" s="13">
        <f>O57*20</f>
        <v>460800</v>
      </c>
      <c r="P58" s="13">
        <f t="shared" ref="P58:Q58" si="14">P57*20</f>
        <v>19200</v>
      </c>
      <c r="Q58" s="13">
        <f t="shared" si="14"/>
        <v>480000</v>
      </c>
    </row>
    <row r="59" spans="1:21" s="13" customFormat="1" ht="19.5" customHeight="1" x14ac:dyDescent="0.45">
      <c r="A59" s="14">
        <v>58</v>
      </c>
      <c r="B59" s="14">
        <v>9</v>
      </c>
      <c r="C59" s="54">
        <v>1</v>
      </c>
      <c r="D59" s="52">
        <v>10</v>
      </c>
      <c r="E59" s="238">
        <v>6</v>
      </c>
      <c r="F59" s="20" t="s">
        <v>514</v>
      </c>
      <c r="G59" s="18" t="s">
        <v>14</v>
      </c>
      <c r="H59" s="20" t="s">
        <v>749</v>
      </c>
      <c r="I59" s="18" t="s">
        <v>742</v>
      </c>
      <c r="J59" s="21">
        <v>23040</v>
      </c>
      <c r="K59" s="21"/>
      <c r="L59" s="22">
        <v>960</v>
      </c>
      <c r="M59" s="23"/>
      <c r="O59" s="13">
        <v>-40320</v>
      </c>
      <c r="P59" s="13">
        <v>-1680</v>
      </c>
      <c r="Q59" s="13">
        <v>-42000</v>
      </c>
    </row>
    <row r="60" spans="1:21" s="13" customFormat="1" ht="19.5" customHeight="1" x14ac:dyDescent="0.45">
      <c r="A60" s="14">
        <v>59</v>
      </c>
      <c r="B60" s="14">
        <v>10</v>
      </c>
      <c r="C60" s="54">
        <v>1</v>
      </c>
      <c r="D60" s="52">
        <v>12</v>
      </c>
      <c r="E60" s="238">
        <v>7</v>
      </c>
      <c r="F60" s="20" t="s">
        <v>193</v>
      </c>
      <c r="G60" s="18" t="s">
        <v>14</v>
      </c>
      <c r="H60" s="20" t="s">
        <v>749</v>
      </c>
      <c r="I60" s="18" t="s">
        <v>742</v>
      </c>
      <c r="J60" s="21">
        <v>23040</v>
      </c>
      <c r="K60" s="21"/>
      <c r="L60" s="22">
        <v>960</v>
      </c>
      <c r="M60" s="23"/>
      <c r="O60" s="13">
        <f>SUM(O58:O59)</f>
        <v>420480</v>
      </c>
      <c r="P60" s="13">
        <f t="shared" ref="P60:Q60" si="15">SUM(P58:P59)</f>
        <v>17520</v>
      </c>
      <c r="Q60" s="13">
        <f t="shared" si="15"/>
        <v>438000</v>
      </c>
    </row>
    <row r="61" spans="1:21" s="13" customFormat="1" ht="19.5" customHeight="1" x14ac:dyDescent="0.45">
      <c r="A61" s="14">
        <v>60</v>
      </c>
      <c r="B61" s="14">
        <v>11</v>
      </c>
      <c r="C61" s="54">
        <v>2</v>
      </c>
      <c r="D61" s="52">
        <v>3</v>
      </c>
      <c r="E61" s="238">
        <v>1</v>
      </c>
      <c r="F61" s="20" t="s">
        <v>218</v>
      </c>
      <c r="G61" s="18" t="s">
        <v>14</v>
      </c>
      <c r="H61" s="20" t="s">
        <v>749</v>
      </c>
      <c r="I61" s="18" t="s">
        <v>742</v>
      </c>
      <c r="J61" s="21">
        <v>23040</v>
      </c>
      <c r="K61" s="21"/>
      <c r="L61" s="22">
        <v>960</v>
      </c>
      <c r="M61" s="23"/>
    </row>
    <row r="62" spans="1:21" s="13" customFormat="1" ht="19.5" customHeight="1" x14ac:dyDescent="0.45">
      <c r="A62" s="14">
        <v>61</v>
      </c>
      <c r="B62" s="14">
        <v>12</v>
      </c>
      <c r="C62" s="54">
        <v>2</v>
      </c>
      <c r="D62" s="52">
        <v>5</v>
      </c>
      <c r="E62" s="238">
        <v>18</v>
      </c>
      <c r="F62" s="20" t="s">
        <v>608</v>
      </c>
      <c r="G62" s="18" t="s">
        <v>14</v>
      </c>
      <c r="H62" s="20" t="s">
        <v>749</v>
      </c>
      <c r="I62" s="18" t="s">
        <v>742</v>
      </c>
      <c r="J62" s="21">
        <v>23040</v>
      </c>
      <c r="K62" s="21"/>
      <c r="L62" s="22">
        <v>960</v>
      </c>
      <c r="M62" s="23"/>
    </row>
    <row r="63" spans="1:21" s="13" customFormat="1" ht="19.5" customHeight="1" x14ac:dyDescent="0.45">
      <c r="A63" s="14">
        <v>62</v>
      </c>
      <c r="B63" s="14">
        <v>13</v>
      </c>
      <c r="C63" s="54">
        <v>2</v>
      </c>
      <c r="D63" s="52">
        <v>8</v>
      </c>
      <c r="E63" s="238">
        <v>2</v>
      </c>
      <c r="F63" s="20" t="s">
        <v>624</v>
      </c>
      <c r="G63" s="18" t="s">
        <v>14</v>
      </c>
      <c r="H63" s="20" t="s">
        <v>749</v>
      </c>
      <c r="I63" s="18" t="s">
        <v>742</v>
      </c>
      <c r="J63" s="21">
        <v>23040</v>
      </c>
      <c r="K63" s="21"/>
      <c r="L63" s="22">
        <v>960</v>
      </c>
      <c r="M63" s="23"/>
      <c r="O63" s="13">
        <v>23040</v>
      </c>
      <c r="P63" s="13">
        <v>960</v>
      </c>
      <c r="Q63" s="13">
        <v>24000</v>
      </c>
    </row>
    <row r="64" spans="1:21" s="13" customFormat="1" ht="19.5" customHeight="1" x14ac:dyDescent="0.45">
      <c r="A64" s="14">
        <v>63</v>
      </c>
      <c r="B64" s="14">
        <v>14</v>
      </c>
      <c r="C64" s="54">
        <v>2</v>
      </c>
      <c r="D64" s="52">
        <v>8</v>
      </c>
      <c r="E64" s="238">
        <v>11</v>
      </c>
      <c r="F64" s="20" t="s">
        <v>754</v>
      </c>
      <c r="G64" s="18" t="s">
        <v>14</v>
      </c>
      <c r="H64" s="20" t="s">
        <v>749</v>
      </c>
      <c r="I64" s="18" t="s">
        <v>742</v>
      </c>
      <c r="J64" s="21">
        <v>23040</v>
      </c>
      <c r="K64" s="21"/>
      <c r="L64" s="22">
        <v>960</v>
      </c>
      <c r="M64" s="23"/>
      <c r="O64" s="13">
        <f>O63*20</f>
        <v>460800</v>
      </c>
      <c r="P64" s="13">
        <f t="shared" ref="P64:Q64" si="16">P63*20</f>
        <v>19200</v>
      </c>
      <c r="Q64" s="13">
        <f t="shared" si="16"/>
        <v>480000</v>
      </c>
    </row>
    <row r="65" spans="1:25" s="13" customFormat="1" ht="19.5" customHeight="1" x14ac:dyDescent="0.45">
      <c r="A65" s="14">
        <v>64</v>
      </c>
      <c r="B65" s="14">
        <v>15</v>
      </c>
      <c r="C65" s="54">
        <v>2</v>
      </c>
      <c r="D65" s="52">
        <v>8</v>
      </c>
      <c r="E65" s="238">
        <v>17</v>
      </c>
      <c r="F65" s="20" t="s">
        <v>538</v>
      </c>
      <c r="G65" s="18" t="s">
        <v>14</v>
      </c>
      <c r="H65" s="20" t="s">
        <v>749</v>
      </c>
      <c r="I65" s="18" t="s">
        <v>742</v>
      </c>
      <c r="J65" s="21">
        <v>23040</v>
      </c>
      <c r="K65" s="21"/>
      <c r="L65" s="22">
        <v>960</v>
      </c>
      <c r="M65" s="23"/>
    </row>
    <row r="66" spans="1:25" s="13" customFormat="1" ht="19.5" customHeight="1" x14ac:dyDescent="0.45">
      <c r="A66" s="14">
        <v>65</v>
      </c>
      <c r="B66" s="14">
        <v>16</v>
      </c>
      <c r="C66" s="54">
        <v>2</v>
      </c>
      <c r="D66" s="52">
        <v>9</v>
      </c>
      <c r="E66" s="238">
        <v>8</v>
      </c>
      <c r="F66" s="20" t="s">
        <v>30</v>
      </c>
      <c r="G66" s="18" t="s">
        <v>14</v>
      </c>
      <c r="H66" s="20" t="s">
        <v>749</v>
      </c>
      <c r="I66" s="18" t="s">
        <v>742</v>
      </c>
      <c r="J66" s="21">
        <v>23040</v>
      </c>
      <c r="K66" s="21"/>
      <c r="L66" s="22">
        <v>960</v>
      </c>
      <c r="M66" s="23"/>
    </row>
    <row r="67" spans="1:25" s="13" customFormat="1" ht="19.5" customHeight="1" x14ac:dyDescent="0.45">
      <c r="A67" s="14">
        <v>66</v>
      </c>
      <c r="B67" s="14">
        <v>17</v>
      </c>
      <c r="C67" s="54">
        <v>2</v>
      </c>
      <c r="D67" s="52">
        <v>9</v>
      </c>
      <c r="E67" s="238">
        <v>14</v>
      </c>
      <c r="F67" s="20" t="s">
        <v>702</v>
      </c>
      <c r="G67" s="18" t="s">
        <v>14</v>
      </c>
      <c r="H67" s="20" t="s">
        <v>749</v>
      </c>
      <c r="I67" s="18" t="s">
        <v>742</v>
      </c>
      <c r="J67" s="21">
        <v>23040</v>
      </c>
      <c r="K67" s="21"/>
      <c r="L67" s="22">
        <v>960</v>
      </c>
      <c r="M67" s="23"/>
      <c r="O67" s="13">
        <v>23040</v>
      </c>
      <c r="P67" s="13">
        <v>960</v>
      </c>
      <c r="Q67" s="13">
        <v>24000</v>
      </c>
    </row>
    <row r="68" spans="1:25" s="13" customFormat="1" ht="19.5" customHeight="1" x14ac:dyDescent="0.45">
      <c r="A68" s="14">
        <v>67</v>
      </c>
      <c r="B68" s="14">
        <v>18</v>
      </c>
      <c r="C68" s="54">
        <v>2</v>
      </c>
      <c r="D68" s="52">
        <v>10</v>
      </c>
      <c r="E68" s="238">
        <v>6</v>
      </c>
      <c r="F68" s="20" t="s">
        <v>166</v>
      </c>
      <c r="G68" s="18" t="s">
        <v>14</v>
      </c>
      <c r="H68" s="20" t="s">
        <v>749</v>
      </c>
      <c r="I68" s="18" t="s">
        <v>742</v>
      </c>
      <c r="J68" s="21">
        <v>23040</v>
      </c>
      <c r="K68" s="21"/>
      <c r="L68" s="22">
        <v>960</v>
      </c>
      <c r="M68" s="23"/>
      <c r="O68" s="13">
        <f>O67*20</f>
        <v>460800</v>
      </c>
      <c r="P68" s="13">
        <f t="shared" ref="P68:Q68" si="17">P67*20</f>
        <v>19200</v>
      </c>
      <c r="Q68" s="13">
        <f t="shared" si="17"/>
        <v>480000</v>
      </c>
    </row>
    <row r="69" spans="1:25" s="13" customFormat="1" ht="19.5" customHeight="1" x14ac:dyDescent="0.45">
      <c r="A69" s="14">
        <v>68</v>
      </c>
      <c r="B69" s="14">
        <v>19</v>
      </c>
      <c r="C69" s="54">
        <v>2</v>
      </c>
      <c r="D69" s="52">
        <v>10</v>
      </c>
      <c r="E69" s="238">
        <v>23</v>
      </c>
      <c r="F69" s="20" t="s">
        <v>438</v>
      </c>
      <c r="G69" s="18" t="s">
        <v>14</v>
      </c>
      <c r="H69" s="20" t="s">
        <v>749</v>
      </c>
      <c r="I69" s="28" t="s">
        <v>744</v>
      </c>
      <c r="J69" s="29">
        <v>17280</v>
      </c>
      <c r="K69" s="29"/>
      <c r="L69" s="30">
        <v>720</v>
      </c>
      <c r="M69" s="23"/>
    </row>
    <row r="70" spans="1:25" s="13" customFormat="1" ht="19.5" customHeight="1" x14ac:dyDescent="0.45">
      <c r="A70" s="14">
        <v>69</v>
      </c>
      <c r="B70" s="14">
        <v>20</v>
      </c>
      <c r="C70" s="54">
        <v>2</v>
      </c>
      <c r="D70" s="52">
        <v>11</v>
      </c>
      <c r="E70" s="238">
        <v>21</v>
      </c>
      <c r="F70" s="20" t="s">
        <v>755</v>
      </c>
      <c r="G70" s="18" t="s">
        <v>14</v>
      </c>
      <c r="H70" s="20" t="s">
        <v>749</v>
      </c>
      <c r="I70" s="18" t="s">
        <v>742</v>
      </c>
      <c r="J70" s="21">
        <v>23040</v>
      </c>
      <c r="K70" s="21"/>
      <c r="L70" s="22">
        <v>960</v>
      </c>
      <c r="M70" s="23"/>
      <c r="O70" s="34">
        <f>SUM(O60,O64,O68)</f>
        <v>1342080</v>
      </c>
      <c r="P70" s="34">
        <f>SUM(P60,P64,P68)</f>
        <v>55920</v>
      </c>
      <c r="Q70" s="34">
        <f>SUM(Q60,Q64,Q68)</f>
        <v>1398000</v>
      </c>
    </row>
    <row r="71" spans="1:25" s="13" customFormat="1" ht="19.5" customHeight="1" x14ac:dyDescent="0.45">
      <c r="A71" s="14">
        <v>70</v>
      </c>
      <c r="B71" s="35">
        <v>1</v>
      </c>
      <c r="C71" s="51">
        <v>3</v>
      </c>
      <c r="D71" s="49">
        <v>1</v>
      </c>
      <c r="E71" s="236">
        <v>4</v>
      </c>
      <c r="F71" s="56" t="s">
        <v>756</v>
      </c>
      <c r="G71" s="87" t="s">
        <v>14</v>
      </c>
      <c r="H71" s="56" t="s">
        <v>757</v>
      </c>
      <c r="I71" s="39" t="s">
        <v>742</v>
      </c>
      <c r="J71" s="43">
        <v>23040</v>
      </c>
      <c r="K71" s="43"/>
      <c r="L71" s="44">
        <v>960</v>
      </c>
      <c r="M71" s="45">
        <f>SUM(J71:K79)</f>
        <v>195840</v>
      </c>
    </row>
    <row r="72" spans="1:25" s="13" customFormat="1" ht="19.5" customHeight="1" x14ac:dyDescent="0.45">
      <c r="A72" s="14">
        <v>71</v>
      </c>
      <c r="B72" s="14">
        <v>2</v>
      </c>
      <c r="C72" s="54">
        <v>3</v>
      </c>
      <c r="D72" s="52">
        <v>3</v>
      </c>
      <c r="E72" s="238">
        <v>5</v>
      </c>
      <c r="F72" s="58" t="s">
        <v>403</v>
      </c>
      <c r="G72" s="89" t="s">
        <v>14</v>
      </c>
      <c r="H72" s="58" t="s">
        <v>757</v>
      </c>
      <c r="I72" s="18" t="s">
        <v>742</v>
      </c>
      <c r="J72" s="21">
        <v>23040</v>
      </c>
      <c r="K72" s="21"/>
      <c r="L72" s="22">
        <v>960</v>
      </c>
      <c r="M72" s="23"/>
      <c r="O72" s="237">
        <f>SUM(J71:K79)</f>
        <v>195840</v>
      </c>
    </row>
    <row r="73" spans="1:25" s="13" customFormat="1" ht="19.5" customHeight="1" x14ac:dyDescent="0.45">
      <c r="A73" s="14">
        <v>72</v>
      </c>
      <c r="B73" s="14">
        <v>3</v>
      </c>
      <c r="C73" s="54">
        <v>3</v>
      </c>
      <c r="D73" s="52">
        <v>5</v>
      </c>
      <c r="E73" s="238">
        <v>7</v>
      </c>
      <c r="F73" s="58" t="s">
        <v>175</v>
      </c>
      <c r="G73" s="89" t="s">
        <v>14</v>
      </c>
      <c r="H73" s="58" t="s">
        <v>757</v>
      </c>
      <c r="I73" s="18" t="s">
        <v>742</v>
      </c>
      <c r="J73" s="21">
        <v>23040</v>
      </c>
      <c r="K73" s="21"/>
      <c r="L73" s="22">
        <v>960</v>
      </c>
      <c r="M73" s="23"/>
      <c r="O73" s="237">
        <f>SUM(L71:L79)</f>
        <v>8160</v>
      </c>
      <c r="S73" s="13">
        <v>23040</v>
      </c>
      <c r="T73" s="13">
        <v>960</v>
      </c>
      <c r="U73" s="13">
        <v>24000</v>
      </c>
      <c r="W73" s="13">
        <v>23040</v>
      </c>
      <c r="X73" s="13">
        <v>960</v>
      </c>
      <c r="Y73" s="13">
        <v>24000</v>
      </c>
    </row>
    <row r="74" spans="1:25" s="13" customFormat="1" ht="19.5" customHeight="1" x14ac:dyDescent="0.45">
      <c r="A74" s="14">
        <v>73</v>
      </c>
      <c r="B74" s="14">
        <v>4</v>
      </c>
      <c r="C74" s="54">
        <v>3</v>
      </c>
      <c r="D74" s="52">
        <v>6</v>
      </c>
      <c r="E74" s="238">
        <v>4</v>
      </c>
      <c r="F74" s="58" t="s">
        <v>758</v>
      </c>
      <c r="G74" s="89" t="s">
        <v>14</v>
      </c>
      <c r="H74" s="58" t="s">
        <v>759</v>
      </c>
      <c r="I74" s="28" t="s">
        <v>744</v>
      </c>
      <c r="J74" s="29">
        <v>17280</v>
      </c>
      <c r="K74" s="29"/>
      <c r="L74" s="30">
        <v>720</v>
      </c>
      <c r="M74" s="23"/>
      <c r="O74" s="237">
        <f>SUM(O72:O73)</f>
        <v>204000</v>
      </c>
      <c r="S74" s="13">
        <f>S73*9</f>
        <v>207360</v>
      </c>
      <c r="T74" s="13">
        <f t="shared" ref="T74:U74" si="18">T73*9</f>
        <v>8640</v>
      </c>
      <c r="U74" s="13">
        <f t="shared" si="18"/>
        <v>216000</v>
      </c>
      <c r="W74" s="13">
        <f>W73*9</f>
        <v>207360</v>
      </c>
      <c r="X74" s="13">
        <f t="shared" ref="X74:Y74" si="19">X73*9</f>
        <v>8640</v>
      </c>
      <c r="Y74" s="13">
        <f t="shared" si="19"/>
        <v>216000</v>
      </c>
    </row>
    <row r="75" spans="1:25" s="13" customFormat="1" ht="19.5" customHeight="1" x14ac:dyDescent="0.45">
      <c r="A75" s="14">
        <v>74</v>
      </c>
      <c r="B75" s="14">
        <v>5</v>
      </c>
      <c r="C75" s="54">
        <v>3</v>
      </c>
      <c r="D75" s="52">
        <v>7</v>
      </c>
      <c r="E75" s="238">
        <v>14</v>
      </c>
      <c r="F75" s="58" t="s">
        <v>760</v>
      </c>
      <c r="G75" s="89" t="s">
        <v>14</v>
      </c>
      <c r="H75" s="58" t="s">
        <v>757</v>
      </c>
      <c r="I75" s="18" t="s">
        <v>742</v>
      </c>
      <c r="J75" s="21">
        <v>23040</v>
      </c>
      <c r="K75" s="21"/>
      <c r="L75" s="22">
        <v>960</v>
      </c>
      <c r="M75" s="23"/>
    </row>
    <row r="76" spans="1:25" s="13" customFormat="1" ht="19.5" customHeight="1" x14ac:dyDescent="0.45">
      <c r="A76" s="14">
        <v>75</v>
      </c>
      <c r="B76" s="14">
        <v>6</v>
      </c>
      <c r="C76" s="54">
        <v>3</v>
      </c>
      <c r="D76" s="52">
        <v>8</v>
      </c>
      <c r="E76" s="238">
        <v>22</v>
      </c>
      <c r="F76" s="58" t="s">
        <v>654</v>
      </c>
      <c r="G76" s="89" t="s">
        <v>14</v>
      </c>
      <c r="H76" s="58" t="s">
        <v>757</v>
      </c>
      <c r="I76" s="28" t="s">
        <v>744</v>
      </c>
      <c r="J76" s="29">
        <v>17280</v>
      </c>
      <c r="K76" s="29"/>
      <c r="L76" s="30">
        <v>720</v>
      </c>
      <c r="M76" s="23"/>
      <c r="O76" s="13">
        <v>23040</v>
      </c>
      <c r="P76" s="13">
        <v>960</v>
      </c>
      <c r="Q76" s="13">
        <v>24000</v>
      </c>
    </row>
    <row r="77" spans="1:25" s="13" customFormat="1" ht="19.5" customHeight="1" x14ac:dyDescent="0.45">
      <c r="A77" s="14">
        <v>76</v>
      </c>
      <c r="B77" s="14">
        <v>7</v>
      </c>
      <c r="C77" s="54">
        <v>4</v>
      </c>
      <c r="D77" s="52">
        <v>1</v>
      </c>
      <c r="E77" s="238">
        <v>3</v>
      </c>
      <c r="F77" s="58" t="s">
        <v>49</v>
      </c>
      <c r="G77" s="89" t="s">
        <v>14</v>
      </c>
      <c r="H77" s="58" t="s">
        <v>757</v>
      </c>
      <c r="I77" s="18" t="s">
        <v>742</v>
      </c>
      <c r="J77" s="21">
        <v>23040</v>
      </c>
      <c r="K77" s="21"/>
      <c r="L77" s="22">
        <v>960</v>
      </c>
      <c r="M77" s="23"/>
      <c r="O77" s="13">
        <f>O76*9</f>
        <v>207360</v>
      </c>
      <c r="P77" s="13">
        <f t="shared" ref="P77:Q77" si="20">P76*9</f>
        <v>8640</v>
      </c>
      <c r="Q77" s="13">
        <f t="shared" si="20"/>
        <v>216000</v>
      </c>
    </row>
    <row r="78" spans="1:25" s="13" customFormat="1" ht="19.5" customHeight="1" x14ac:dyDescent="0.45">
      <c r="A78" s="14">
        <v>77</v>
      </c>
      <c r="B78" s="14">
        <v>8</v>
      </c>
      <c r="C78" s="54">
        <v>4</v>
      </c>
      <c r="D78" s="52">
        <v>6</v>
      </c>
      <c r="E78" s="238">
        <v>23</v>
      </c>
      <c r="F78" s="58" t="s">
        <v>434</v>
      </c>
      <c r="G78" s="89" t="s">
        <v>14</v>
      </c>
      <c r="H78" s="58" t="s">
        <v>757</v>
      </c>
      <c r="I78" s="18" t="s">
        <v>742</v>
      </c>
      <c r="J78" s="21">
        <v>23040</v>
      </c>
      <c r="K78" s="21"/>
      <c r="L78" s="22">
        <v>960</v>
      </c>
      <c r="M78" s="23"/>
      <c r="O78" s="13">
        <v>-11520</v>
      </c>
      <c r="P78" s="13">
        <v>-480</v>
      </c>
      <c r="Q78" s="13">
        <v>-12000</v>
      </c>
    </row>
    <row r="79" spans="1:25" s="13" customFormat="1" ht="19.5" customHeight="1" x14ac:dyDescent="0.45">
      <c r="A79" s="14">
        <v>78</v>
      </c>
      <c r="B79" s="14">
        <v>9</v>
      </c>
      <c r="C79" s="54">
        <v>4</v>
      </c>
      <c r="D79" s="52">
        <v>8</v>
      </c>
      <c r="E79" s="238">
        <v>19</v>
      </c>
      <c r="F79" s="58" t="s">
        <v>618</v>
      </c>
      <c r="G79" s="89" t="s">
        <v>14</v>
      </c>
      <c r="H79" s="58" t="s">
        <v>757</v>
      </c>
      <c r="I79" s="18" t="s">
        <v>742</v>
      </c>
      <c r="J79" s="21">
        <v>23040</v>
      </c>
      <c r="K79" s="21"/>
      <c r="L79" s="22">
        <v>960</v>
      </c>
      <c r="M79" s="23"/>
      <c r="O79" s="13">
        <f>SUM(O77:O78)</f>
        <v>195840</v>
      </c>
      <c r="P79" s="13">
        <f t="shared" ref="P79:Q79" si="21">SUM(P77:P78)</f>
        <v>8160</v>
      </c>
      <c r="Q79" s="13">
        <f t="shared" si="21"/>
        <v>204000</v>
      </c>
      <c r="S79" s="34">
        <f>SUM(O79,S74,W74)</f>
        <v>610560</v>
      </c>
      <c r="T79" s="34">
        <f>SUM(P79,T74,X74)</f>
        <v>25440</v>
      </c>
      <c r="U79" s="34">
        <f>SUM(Q79,U74,Y74)</f>
        <v>636000</v>
      </c>
    </row>
    <row r="80" spans="1:25" s="13" customFormat="1" ht="19.5" customHeight="1" x14ac:dyDescent="0.45">
      <c r="A80" s="14">
        <v>79</v>
      </c>
      <c r="B80" s="35">
        <v>1</v>
      </c>
      <c r="C80" s="51">
        <v>2</v>
      </c>
      <c r="D80" s="49">
        <v>4</v>
      </c>
      <c r="E80" s="236">
        <v>7</v>
      </c>
      <c r="F80" s="56" t="s">
        <v>69</v>
      </c>
      <c r="G80" s="87" t="s">
        <v>14</v>
      </c>
      <c r="H80" s="56" t="s">
        <v>761</v>
      </c>
      <c r="I80" s="39" t="s">
        <v>742</v>
      </c>
      <c r="J80" s="43">
        <v>23040</v>
      </c>
      <c r="K80" s="43"/>
      <c r="L80" s="44">
        <v>960</v>
      </c>
      <c r="M80" s="45">
        <f>SUM(J80:K93)</f>
        <v>311040</v>
      </c>
    </row>
    <row r="81" spans="1:27" s="13" customFormat="1" ht="19.5" customHeight="1" x14ac:dyDescent="0.45">
      <c r="A81" s="14">
        <v>80</v>
      </c>
      <c r="B81" s="14">
        <v>2</v>
      </c>
      <c r="C81" s="54">
        <v>3</v>
      </c>
      <c r="D81" s="52">
        <v>2</v>
      </c>
      <c r="E81" s="238">
        <v>8</v>
      </c>
      <c r="F81" s="58" t="s">
        <v>740</v>
      </c>
      <c r="G81" s="89" t="s">
        <v>14</v>
      </c>
      <c r="H81" s="58" t="s">
        <v>761</v>
      </c>
      <c r="I81" s="18" t="s">
        <v>742</v>
      </c>
      <c r="J81" s="21">
        <v>23040</v>
      </c>
      <c r="K81" s="21"/>
      <c r="L81" s="22">
        <v>960</v>
      </c>
      <c r="M81" s="23"/>
      <c r="O81" s="237">
        <f>SUM(J80:K93)</f>
        <v>311040</v>
      </c>
    </row>
    <row r="82" spans="1:27" s="13" customFormat="1" ht="19.5" customHeight="1" x14ac:dyDescent="0.45">
      <c r="A82" s="14">
        <v>81</v>
      </c>
      <c r="B82" s="14">
        <v>3</v>
      </c>
      <c r="C82" s="54">
        <v>3</v>
      </c>
      <c r="D82" s="52">
        <v>3</v>
      </c>
      <c r="E82" s="238">
        <v>18</v>
      </c>
      <c r="F82" s="58" t="s">
        <v>762</v>
      </c>
      <c r="G82" s="89" t="s">
        <v>14</v>
      </c>
      <c r="H82" s="58" t="s">
        <v>761</v>
      </c>
      <c r="I82" s="18" t="s">
        <v>742</v>
      </c>
      <c r="J82" s="21">
        <v>23040</v>
      </c>
      <c r="K82" s="21"/>
      <c r="L82" s="22">
        <v>960</v>
      </c>
      <c r="M82" s="23"/>
      <c r="O82" s="237">
        <f>SUM(L80:L93)</f>
        <v>12960</v>
      </c>
    </row>
    <row r="83" spans="1:27" s="13" customFormat="1" ht="19.5" customHeight="1" x14ac:dyDescent="0.45">
      <c r="A83" s="14">
        <v>82</v>
      </c>
      <c r="B83" s="14">
        <v>4</v>
      </c>
      <c r="C83" s="54">
        <v>3</v>
      </c>
      <c r="D83" s="52">
        <v>4</v>
      </c>
      <c r="E83" s="238">
        <v>6</v>
      </c>
      <c r="F83" s="58" t="s">
        <v>249</v>
      </c>
      <c r="G83" s="89" t="s">
        <v>14</v>
      </c>
      <c r="H83" s="58" t="s">
        <v>761</v>
      </c>
      <c r="I83" s="18" t="s">
        <v>742</v>
      </c>
      <c r="J83" s="21">
        <v>23040</v>
      </c>
      <c r="K83" s="21"/>
      <c r="L83" s="22">
        <v>960</v>
      </c>
      <c r="M83" s="23"/>
      <c r="O83" s="237">
        <f>SUM(O81:O82)</f>
        <v>324000</v>
      </c>
    </row>
    <row r="84" spans="1:27" s="13" customFormat="1" ht="19.5" customHeight="1" x14ac:dyDescent="0.45">
      <c r="A84" s="14">
        <v>83</v>
      </c>
      <c r="B84" s="14">
        <v>5</v>
      </c>
      <c r="C84" s="54">
        <v>3</v>
      </c>
      <c r="D84" s="52">
        <v>4</v>
      </c>
      <c r="E84" s="238">
        <v>12</v>
      </c>
      <c r="F84" s="242" t="s">
        <v>763</v>
      </c>
      <c r="G84" s="89" t="s">
        <v>14</v>
      </c>
      <c r="H84" s="58" t="s">
        <v>761</v>
      </c>
      <c r="I84" s="18" t="s">
        <v>742</v>
      </c>
      <c r="J84" s="21">
        <v>23040</v>
      </c>
      <c r="K84" s="21"/>
      <c r="L84" s="22">
        <v>960</v>
      </c>
      <c r="M84" s="23"/>
    </row>
    <row r="85" spans="1:27" s="13" customFormat="1" ht="19.5" customHeight="1" x14ac:dyDescent="0.45">
      <c r="A85" s="14">
        <v>84</v>
      </c>
      <c r="B85" s="14">
        <v>6</v>
      </c>
      <c r="C85" s="54">
        <v>3</v>
      </c>
      <c r="D85" s="52">
        <v>6</v>
      </c>
      <c r="E85" s="238">
        <v>15</v>
      </c>
      <c r="F85" s="58" t="s">
        <v>710</v>
      </c>
      <c r="G85" s="89" t="s">
        <v>14</v>
      </c>
      <c r="H85" s="58" t="s">
        <v>761</v>
      </c>
      <c r="I85" s="18" t="s">
        <v>742</v>
      </c>
      <c r="J85" s="21">
        <v>23040</v>
      </c>
      <c r="K85" s="21"/>
      <c r="L85" s="22">
        <v>960</v>
      </c>
      <c r="M85" s="23"/>
    </row>
    <row r="86" spans="1:27" s="13" customFormat="1" ht="19.5" customHeight="1" x14ac:dyDescent="0.45">
      <c r="A86" s="14">
        <v>85</v>
      </c>
      <c r="B86" s="14">
        <v>7</v>
      </c>
      <c r="C86" s="54">
        <v>3</v>
      </c>
      <c r="D86" s="52">
        <v>6</v>
      </c>
      <c r="E86" s="238">
        <v>16</v>
      </c>
      <c r="F86" s="58" t="s">
        <v>487</v>
      </c>
      <c r="G86" s="89" t="s">
        <v>14</v>
      </c>
      <c r="H86" s="58" t="s">
        <v>761</v>
      </c>
      <c r="I86" s="28" t="s">
        <v>744</v>
      </c>
      <c r="J86" s="29">
        <v>17280</v>
      </c>
      <c r="K86" s="29"/>
      <c r="L86" s="30">
        <v>720</v>
      </c>
      <c r="M86" s="23"/>
      <c r="O86" s="13">
        <v>14</v>
      </c>
    </row>
    <row r="87" spans="1:27" s="13" customFormat="1" ht="19.5" customHeight="1" x14ac:dyDescent="0.45">
      <c r="A87" s="14">
        <v>86</v>
      </c>
      <c r="B87" s="14">
        <v>8</v>
      </c>
      <c r="C87" s="54">
        <v>3</v>
      </c>
      <c r="D87" s="52">
        <v>6</v>
      </c>
      <c r="E87" s="238">
        <v>17</v>
      </c>
      <c r="F87" s="58" t="s">
        <v>764</v>
      </c>
      <c r="G87" s="89" t="s">
        <v>14</v>
      </c>
      <c r="H87" s="58" t="s">
        <v>761</v>
      </c>
      <c r="I87" s="18" t="s">
        <v>742</v>
      </c>
      <c r="J87" s="21">
        <v>23040</v>
      </c>
      <c r="K87" s="21"/>
      <c r="L87" s="22">
        <v>960</v>
      </c>
      <c r="M87" s="23"/>
      <c r="O87" s="13">
        <v>23040</v>
      </c>
      <c r="P87" s="13">
        <v>960</v>
      </c>
      <c r="Q87" s="13">
        <v>24000</v>
      </c>
      <c r="S87" s="13">
        <v>23040</v>
      </c>
      <c r="T87" s="13">
        <v>960</v>
      </c>
      <c r="U87" s="13">
        <v>24000</v>
      </c>
      <c r="W87" s="13">
        <v>17280</v>
      </c>
      <c r="X87" s="13">
        <v>720</v>
      </c>
      <c r="Y87" s="13">
        <v>18000</v>
      </c>
    </row>
    <row r="88" spans="1:27" s="13" customFormat="1" ht="19.5" customHeight="1" x14ac:dyDescent="0.45">
      <c r="A88" s="14">
        <v>87</v>
      </c>
      <c r="B88" s="14">
        <v>9</v>
      </c>
      <c r="C88" s="54">
        <v>3</v>
      </c>
      <c r="D88" s="52">
        <v>7</v>
      </c>
      <c r="E88" s="238">
        <v>21</v>
      </c>
      <c r="F88" s="58" t="s">
        <v>522</v>
      </c>
      <c r="G88" s="89" t="s">
        <v>14</v>
      </c>
      <c r="H88" s="58" t="s">
        <v>761</v>
      </c>
      <c r="I88" s="18" t="s">
        <v>742</v>
      </c>
      <c r="J88" s="21">
        <v>23040</v>
      </c>
      <c r="K88" s="21"/>
      <c r="L88" s="22">
        <v>960</v>
      </c>
      <c r="M88" s="23"/>
      <c r="O88" s="13">
        <f>O87*14</f>
        <v>322560</v>
      </c>
      <c r="P88" s="13">
        <f t="shared" ref="P88:Q88" si="22">P87*14</f>
        <v>13440</v>
      </c>
      <c r="Q88" s="13">
        <f t="shared" si="22"/>
        <v>336000</v>
      </c>
      <c r="S88" s="13">
        <f>S87*14</f>
        <v>322560</v>
      </c>
      <c r="T88" s="13">
        <f t="shared" ref="T88:U88" si="23">T87*14</f>
        <v>13440</v>
      </c>
      <c r="U88" s="13">
        <f t="shared" si="23"/>
        <v>336000</v>
      </c>
      <c r="W88" s="13">
        <f>W87*14</f>
        <v>241920</v>
      </c>
      <c r="X88" s="13">
        <f t="shared" ref="X88:AA88" si="24">X87*14</f>
        <v>10080</v>
      </c>
      <c r="Y88" s="13">
        <f t="shared" si="24"/>
        <v>252000</v>
      </c>
      <c r="Z88" s="13">
        <f t="shared" si="24"/>
        <v>0</v>
      </c>
      <c r="AA88" s="13">
        <f t="shared" si="24"/>
        <v>0</v>
      </c>
    </row>
    <row r="89" spans="1:27" s="13" customFormat="1" ht="19.5" customHeight="1" x14ac:dyDescent="0.45">
      <c r="A89" s="14">
        <v>88</v>
      </c>
      <c r="B89" s="14">
        <v>10</v>
      </c>
      <c r="C89" s="54">
        <v>4</v>
      </c>
      <c r="D89" s="52">
        <v>3</v>
      </c>
      <c r="E89" s="238">
        <v>20</v>
      </c>
      <c r="F89" s="58" t="s">
        <v>765</v>
      </c>
      <c r="G89" s="89" t="s">
        <v>14</v>
      </c>
      <c r="H89" s="58" t="s">
        <v>761</v>
      </c>
      <c r="I89" s="18" t="s">
        <v>742</v>
      </c>
      <c r="J89" s="21">
        <v>23040</v>
      </c>
      <c r="K89" s="21"/>
      <c r="L89" s="22">
        <v>960</v>
      </c>
      <c r="M89" s="23"/>
      <c r="O89" s="13">
        <v>-11520</v>
      </c>
      <c r="P89" s="13">
        <v>-480</v>
      </c>
      <c r="Q89" s="13">
        <v>-12000</v>
      </c>
    </row>
    <row r="90" spans="1:27" s="13" customFormat="1" ht="19.5" customHeight="1" x14ac:dyDescent="0.45">
      <c r="A90" s="14">
        <v>89</v>
      </c>
      <c r="B90" s="14">
        <v>11</v>
      </c>
      <c r="C90" s="54">
        <v>4</v>
      </c>
      <c r="D90" s="52">
        <v>4</v>
      </c>
      <c r="E90" s="238">
        <v>6</v>
      </c>
      <c r="F90" s="58" t="s">
        <v>616</v>
      </c>
      <c r="G90" s="89" t="s">
        <v>14</v>
      </c>
      <c r="H90" s="58" t="s">
        <v>766</v>
      </c>
      <c r="I90" s="28" t="s">
        <v>744</v>
      </c>
      <c r="J90" s="29">
        <v>17280</v>
      </c>
      <c r="K90" s="29"/>
      <c r="L90" s="30">
        <v>720</v>
      </c>
      <c r="M90" s="23"/>
      <c r="O90" s="13">
        <f>SUM(O88:O89)</f>
        <v>311040</v>
      </c>
      <c r="P90" s="13">
        <f t="shared" ref="P90:Q90" si="25">SUM(P88:P89)</f>
        <v>12960</v>
      </c>
      <c r="Q90" s="13">
        <f t="shared" si="25"/>
        <v>324000</v>
      </c>
    </row>
    <row r="91" spans="1:27" s="13" customFormat="1" ht="19.5" customHeight="1" x14ac:dyDescent="0.45">
      <c r="A91" s="14">
        <v>90</v>
      </c>
      <c r="B91" s="14">
        <v>12</v>
      </c>
      <c r="C91" s="54">
        <v>4</v>
      </c>
      <c r="D91" s="52">
        <v>5</v>
      </c>
      <c r="E91" s="238">
        <v>7</v>
      </c>
      <c r="F91" s="58" t="s">
        <v>617</v>
      </c>
      <c r="G91" s="89" t="s">
        <v>14</v>
      </c>
      <c r="H91" s="58" t="s">
        <v>761</v>
      </c>
      <c r="I91" s="18" t="s">
        <v>742</v>
      </c>
      <c r="J91" s="21">
        <v>23040</v>
      </c>
      <c r="K91" s="21"/>
      <c r="L91" s="22">
        <v>960</v>
      </c>
      <c r="M91" s="23"/>
      <c r="S91" s="34">
        <f>SUM(O90,S88,W88)</f>
        <v>875520</v>
      </c>
      <c r="T91" s="34">
        <f t="shared" ref="T91:U91" si="26">SUM(P90,T88,X88)</f>
        <v>36480</v>
      </c>
      <c r="U91" s="34">
        <f t="shared" si="26"/>
        <v>912000</v>
      </c>
    </row>
    <row r="92" spans="1:27" s="13" customFormat="1" ht="19.5" customHeight="1" x14ac:dyDescent="0.45">
      <c r="A92" s="14">
        <v>91</v>
      </c>
      <c r="B92" s="14">
        <v>13</v>
      </c>
      <c r="C92" s="54">
        <v>4</v>
      </c>
      <c r="D92" s="52">
        <v>7</v>
      </c>
      <c r="E92" s="238">
        <v>15</v>
      </c>
      <c r="F92" s="58" t="s">
        <v>477</v>
      </c>
      <c r="G92" s="89" t="s">
        <v>14</v>
      </c>
      <c r="H92" s="58" t="s">
        <v>761</v>
      </c>
      <c r="I92" s="18" t="s">
        <v>742</v>
      </c>
      <c r="J92" s="21">
        <v>23040</v>
      </c>
      <c r="K92" s="21"/>
      <c r="L92" s="22">
        <v>960</v>
      </c>
      <c r="M92" s="23"/>
    </row>
    <row r="93" spans="1:27" s="13" customFormat="1" ht="19.5" customHeight="1" x14ac:dyDescent="0.45">
      <c r="A93" s="14">
        <v>92</v>
      </c>
      <c r="B93" s="14">
        <v>14</v>
      </c>
      <c r="C93" s="54">
        <v>4</v>
      </c>
      <c r="D93" s="52">
        <v>8</v>
      </c>
      <c r="E93" s="238">
        <v>2</v>
      </c>
      <c r="F93" s="58" t="s">
        <v>767</v>
      </c>
      <c r="G93" s="89" t="s">
        <v>14</v>
      </c>
      <c r="H93" s="58" t="s">
        <v>761</v>
      </c>
      <c r="I93" s="18" t="s">
        <v>742</v>
      </c>
      <c r="J93" s="21">
        <v>23040</v>
      </c>
      <c r="K93" s="21"/>
      <c r="L93" s="22">
        <v>960</v>
      </c>
      <c r="M93" s="23"/>
      <c r="O93" s="237">
        <f>SUM(J94:K100)</f>
        <v>155520</v>
      </c>
    </row>
    <row r="94" spans="1:27" s="13" customFormat="1" ht="19.5" customHeight="1" x14ac:dyDescent="0.45">
      <c r="A94" s="14">
        <v>93</v>
      </c>
      <c r="B94" s="35">
        <v>1</v>
      </c>
      <c r="C94" s="51">
        <v>3</v>
      </c>
      <c r="D94" s="49">
        <v>8</v>
      </c>
      <c r="E94" s="236">
        <v>12</v>
      </c>
      <c r="F94" s="56" t="s">
        <v>150</v>
      </c>
      <c r="G94" s="87" t="s">
        <v>14</v>
      </c>
      <c r="H94" s="56" t="s">
        <v>768</v>
      </c>
      <c r="I94" s="39" t="s">
        <v>742</v>
      </c>
      <c r="J94" s="43">
        <v>23040</v>
      </c>
      <c r="K94" s="43"/>
      <c r="L94" s="44">
        <v>960</v>
      </c>
      <c r="M94" s="45">
        <f>SUM(J94:K100)</f>
        <v>155520</v>
      </c>
      <c r="O94" s="237">
        <f>SUM(L94:L100)</f>
        <v>6480</v>
      </c>
    </row>
    <row r="95" spans="1:27" s="13" customFormat="1" ht="19.5" customHeight="1" x14ac:dyDescent="0.45">
      <c r="A95" s="14">
        <v>94</v>
      </c>
      <c r="B95" s="14">
        <v>2</v>
      </c>
      <c r="C95" s="54">
        <v>3</v>
      </c>
      <c r="D95" s="52">
        <v>9</v>
      </c>
      <c r="E95" s="238">
        <v>17</v>
      </c>
      <c r="F95" s="58" t="s">
        <v>230</v>
      </c>
      <c r="G95" s="89" t="s">
        <v>14</v>
      </c>
      <c r="H95" s="58" t="s">
        <v>768</v>
      </c>
      <c r="I95" s="18" t="s">
        <v>742</v>
      </c>
      <c r="J95" s="21">
        <v>23040</v>
      </c>
      <c r="K95" s="21"/>
      <c r="L95" s="22">
        <v>960</v>
      </c>
      <c r="M95" s="23"/>
      <c r="O95" s="237">
        <f>SUM(O93:O94)</f>
        <v>162000</v>
      </c>
    </row>
    <row r="96" spans="1:27" s="13" customFormat="1" ht="19.5" customHeight="1" x14ac:dyDescent="0.45">
      <c r="A96" s="14">
        <v>95</v>
      </c>
      <c r="B96" s="14">
        <v>3</v>
      </c>
      <c r="C96" s="54">
        <v>4</v>
      </c>
      <c r="D96" s="52">
        <v>3</v>
      </c>
      <c r="E96" s="238">
        <v>14</v>
      </c>
      <c r="F96" s="58" t="s">
        <v>265</v>
      </c>
      <c r="G96" s="89" t="s">
        <v>14</v>
      </c>
      <c r="H96" s="58" t="s">
        <v>769</v>
      </c>
      <c r="I96" s="18" t="s">
        <v>742</v>
      </c>
      <c r="J96" s="21">
        <v>23040</v>
      </c>
      <c r="K96" s="21"/>
      <c r="L96" s="22">
        <v>960</v>
      </c>
      <c r="M96" s="23"/>
    </row>
    <row r="97" spans="1:25" s="13" customFormat="1" ht="19.5" customHeight="1" x14ac:dyDescent="0.45">
      <c r="A97" s="14">
        <v>96</v>
      </c>
      <c r="B97" s="14">
        <v>4</v>
      </c>
      <c r="C97" s="54">
        <v>4</v>
      </c>
      <c r="D97" s="52">
        <v>8</v>
      </c>
      <c r="E97" s="238">
        <v>18</v>
      </c>
      <c r="F97" s="58" t="s">
        <v>770</v>
      </c>
      <c r="G97" s="89" t="s">
        <v>14</v>
      </c>
      <c r="H97" s="58" t="s">
        <v>768</v>
      </c>
      <c r="I97" s="28" t="s">
        <v>744</v>
      </c>
      <c r="J97" s="29">
        <v>17280</v>
      </c>
      <c r="K97" s="29"/>
      <c r="L97" s="30">
        <v>720</v>
      </c>
      <c r="M97" s="23"/>
      <c r="O97" s="13">
        <v>23040</v>
      </c>
      <c r="P97" s="13">
        <v>960</v>
      </c>
      <c r="Q97" s="13">
        <v>24000</v>
      </c>
      <c r="S97" s="13">
        <v>23040</v>
      </c>
      <c r="T97" s="13">
        <v>960</v>
      </c>
      <c r="U97" s="13">
        <v>24000</v>
      </c>
      <c r="W97" s="13">
        <v>17280</v>
      </c>
      <c r="X97" s="13">
        <v>720</v>
      </c>
      <c r="Y97" s="13">
        <v>18000</v>
      </c>
    </row>
    <row r="98" spans="1:25" s="13" customFormat="1" ht="19.5" customHeight="1" x14ac:dyDescent="0.45">
      <c r="A98" s="14">
        <v>97</v>
      </c>
      <c r="B98" s="14">
        <v>5</v>
      </c>
      <c r="C98" s="54">
        <v>5</v>
      </c>
      <c r="D98" s="52">
        <v>1</v>
      </c>
      <c r="E98" s="238">
        <v>13</v>
      </c>
      <c r="F98" s="58" t="s">
        <v>771</v>
      </c>
      <c r="G98" s="89" t="s">
        <v>14</v>
      </c>
      <c r="H98" s="58" t="s">
        <v>768</v>
      </c>
      <c r="I98" s="18" t="s">
        <v>742</v>
      </c>
      <c r="J98" s="21">
        <v>23040</v>
      </c>
      <c r="K98" s="21"/>
      <c r="L98" s="22">
        <v>960</v>
      </c>
      <c r="M98" s="23"/>
      <c r="O98" s="13">
        <f>O97*7</f>
        <v>161280</v>
      </c>
      <c r="P98" s="13">
        <f t="shared" ref="P98:Q98" si="27">P97*7</f>
        <v>6720</v>
      </c>
      <c r="Q98" s="13">
        <f t="shared" si="27"/>
        <v>168000</v>
      </c>
      <c r="S98" s="13">
        <f>S97*7</f>
        <v>161280</v>
      </c>
      <c r="T98" s="13">
        <f t="shared" ref="T98:U98" si="28">T97*7</f>
        <v>6720</v>
      </c>
      <c r="U98" s="13">
        <f t="shared" si="28"/>
        <v>168000</v>
      </c>
      <c r="W98" s="13">
        <f>W97*7</f>
        <v>120960</v>
      </c>
      <c r="X98" s="13">
        <f t="shared" ref="X98:Y98" si="29">X97*7</f>
        <v>5040</v>
      </c>
      <c r="Y98" s="13">
        <f t="shared" si="29"/>
        <v>126000</v>
      </c>
    </row>
    <row r="99" spans="1:25" s="13" customFormat="1" ht="19.5" customHeight="1" x14ac:dyDescent="0.45">
      <c r="A99" s="14">
        <v>98</v>
      </c>
      <c r="B99" s="14">
        <v>6</v>
      </c>
      <c r="C99" s="54">
        <v>5</v>
      </c>
      <c r="D99" s="52">
        <v>5</v>
      </c>
      <c r="E99" s="238">
        <v>10</v>
      </c>
      <c r="F99" s="58" t="s">
        <v>589</v>
      </c>
      <c r="G99" s="89" t="s">
        <v>14</v>
      </c>
      <c r="H99" s="58" t="s">
        <v>768</v>
      </c>
      <c r="I99" s="18" t="s">
        <v>742</v>
      </c>
      <c r="J99" s="21">
        <v>23040</v>
      </c>
      <c r="K99" s="21"/>
      <c r="L99" s="22">
        <v>960</v>
      </c>
      <c r="M99" s="23"/>
      <c r="O99" s="20">
        <v>-5760</v>
      </c>
      <c r="P99" s="20">
        <v>-240</v>
      </c>
      <c r="Q99" s="20">
        <v>-6000</v>
      </c>
    </row>
    <row r="100" spans="1:25" s="13" customFormat="1" ht="19.5" customHeight="1" x14ac:dyDescent="0.45">
      <c r="A100" s="14">
        <v>99</v>
      </c>
      <c r="B100" s="14">
        <v>7</v>
      </c>
      <c r="C100" s="54">
        <v>6</v>
      </c>
      <c r="D100" s="52">
        <v>2</v>
      </c>
      <c r="E100" s="238">
        <v>2</v>
      </c>
      <c r="F100" s="58" t="s">
        <v>772</v>
      </c>
      <c r="G100" s="89" t="s">
        <v>14</v>
      </c>
      <c r="H100" s="58" t="s">
        <v>768</v>
      </c>
      <c r="I100" s="18" t="s">
        <v>742</v>
      </c>
      <c r="J100" s="21">
        <v>23040</v>
      </c>
      <c r="K100" s="21"/>
      <c r="L100" s="22">
        <v>960</v>
      </c>
      <c r="M100" s="23"/>
      <c r="O100" s="13">
        <f>SUM(O98:O99)</f>
        <v>155520</v>
      </c>
      <c r="P100" s="13">
        <f t="shared" ref="P100:Q100" si="30">SUM(P98:P99)</f>
        <v>6480</v>
      </c>
      <c r="Q100" s="13">
        <f t="shared" si="30"/>
        <v>162000</v>
      </c>
      <c r="S100" s="34">
        <f>SUM(O100,S98,W98)</f>
        <v>437760</v>
      </c>
      <c r="T100" s="34">
        <f>SUM(P100,T98,X98)</f>
        <v>18240</v>
      </c>
      <c r="U100" s="34">
        <f>SUM(Q100,U98,Y98)</f>
        <v>456000</v>
      </c>
    </row>
    <row r="101" spans="1:25" s="13" customFormat="1" ht="19.5" customHeight="1" x14ac:dyDescent="0.45">
      <c r="A101" s="14">
        <v>100</v>
      </c>
      <c r="B101" s="35">
        <v>1</v>
      </c>
      <c r="C101" s="51">
        <v>4</v>
      </c>
      <c r="D101" s="49">
        <v>1</v>
      </c>
      <c r="E101" s="236">
        <v>5</v>
      </c>
      <c r="F101" s="56" t="s">
        <v>297</v>
      </c>
      <c r="G101" s="87" t="s">
        <v>14</v>
      </c>
      <c r="H101" s="56" t="s">
        <v>773</v>
      </c>
      <c r="I101" s="110" t="s">
        <v>744</v>
      </c>
      <c r="J101" s="111">
        <v>17280</v>
      </c>
      <c r="K101" s="111"/>
      <c r="L101" s="151">
        <v>720</v>
      </c>
      <c r="M101" s="45">
        <f>SUM(J101:K120)</f>
        <v>443520</v>
      </c>
    </row>
    <row r="102" spans="1:25" s="13" customFormat="1" ht="19.5" customHeight="1" x14ac:dyDescent="0.45">
      <c r="A102" s="14">
        <v>101</v>
      </c>
      <c r="B102" s="14">
        <v>2</v>
      </c>
      <c r="C102" s="54">
        <v>4</v>
      </c>
      <c r="D102" s="52">
        <v>2</v>
      </c>
      <c r="E102" s="238">
        <v>19</v>
      </c>
      <c r="F102" s="58" t="s">
        <v>323</v>
      </c>
      <c r="G102" s="89" t="s">
        <v>14</v>
      </c>
      <c r="H102" s="58" t="s">
        <v>773</v>
      </c>
      <c r="I102" s="18" t="s">
        <v>742</v>
      </c>
      <c r="J102" s="21">
        <v>23040</v>
      </c>
      <c r="K102" s="21"/>
      <c r="L102" s="22">
        <v>960</v>
      </c>
      <c r="M102" s="23"/>
      <c r="O102" s="237">
        <f>SUM(J101:K120)</f>
        <v>443520</v>
      </c>
    </row>
    <row r="103" spans="1:25" s="13" customFormat="1" ht="19.5" customHeight="1" x14ac:dyDescent="0.45">
      <c r="A103" s="14">
        <v>102</v>
      </c>
      <c r="B103" s="14">
        <v>3</v>
      </c>
      <c r="C103" s="54">
        <v>4</v>
      </c>
      <c r="D103" s="52">
        <v>4</v>
      </c>
      <c r="E103" s="238">
        <v>22</v>
      </c>
      <c r="F103" s="58" t="s">
        <v>774</v>
      </c>
      <c r="G103" s="89" t="s">
        <v>14</v>
      </c>
      <c r="H103" s="58" t="s">
        <v>773</v>
      </c>
      <c r="I103" s="18" t="s">
        <v>742</v>
      </c>
      <c r="J103" s="21">
        <v>23040</v>
      </c>
      <c r="K103" s="21"/>
      <c r="L103" s="22">
        <v>960</v>
      </c>
      <c r="M103" s="23"/>
      <c r="O103" s="237">
        <f>SUM(L101:L120)</f>
        <v>18480</v>
      </c>
    </row>
    <row r="104" spans="1:25" s="13" customFormat="1" ht="19.5" customHeight="1" x14ac:dyDescent="0.45">
      <c r="A104" s="14">
        <v>103</v>
      </c>
      <c r="B104" s="14">
        <v>4</v>
      </c>
      <c r="C104" s="54">
        <v>4</v>
      </c>
      <c r="D104" s="52">
        <v>8</v>
      </c>
      <c r="E104" s="238">
        <v>1</v>
      </c>
      <c r="F104" s="58" t="s">
        <v>138</v>
      </c>
      <c r="G104" s="89" t="s">
        <v>14</v>
      </c>
      <c r="H104" s="58" t="s">
        <v>773</v>
      </c>
      <c r="I104" s="18" t="s">
        <v>742</v>
      </c>
      <c r="J104" s="21">
        <v>23040</v>
      </c>
      <c r="K104" s="21"/>
      <c r="L104" s="22">
        <v>960</v>
      </c>
      <c r="M104" s="23"/>
      <c r="O104" s="237">
        <f>SUM(O102:O103)</f>
        <v>462000</v>
      </c>
    </row>
    <row r="105" spans="1:25" s="13" customFormat="1" ht="19.5" customHeight="1" x14ac:dyDescent="0.45">
      <c r="A105" s="14">
        <v>104</v>
      </c>
      <c r="B105" s="14">
        <v>5</v>
      </c>
      <c r="C105" s="54">
        <v>5</v>
      </c>
      <c r="D105" s="52">
        <v>1</v>
      </c>
      <c r="E105" s="238">
        <v>7</v>
      </c>
      <c r="F105" s="58" t="s">
        <v>775</v>
      </c>
      <c r="G105" s="89" t="s">
        <v>14</v>
      </c>
      <c r="H105" s="58" t="s">
        <v>773</v>
      </c>
      <c r="I105" s="18" t="s">
        <v>742</v>
      </c>
      <c r="J105" s="21">
        <v>23040</v>
      </c>
      <c r="K105" s="21"/>
      <c r="L105" s="22">
        <v>960</v>
      </c>
      <c r="M105" s="23"/>
    </row>
    <row r="106" spans="1:25" s="13" customFormat="1" ht="19.5" customHeight="1" x14ac:dyDescent="0.45">
      <c r="A106" s="14">
        <v>105</v>
      </c>
      <c r="B106" s="14">
        <v>6</v>
      </c>
      <c r="C106" s="54">
        <v>5</v>
      </c>
      <c r="D106" s="52">
        <v>2</v>
      </c>
      <c r="E106" s="238">
        <v>10</v>
      </c>
      <c r="F106" s="58" t="s">
        <v>232</v>
      </c>
      <c r="G106" s="89" t="s">
        <v>14</v>
      </c>
      <c r="H106" s="58" t="s">
        <v>773</v>
      </c>
      <c r="I106" s="18" t="s">
        <v>742</v>
      </c>
      <c r="J106" s="21">
        <v>23040</v>
      </c>
      <c r="K106" s="21"/>
      <c r="L106" s="22">
        <v>960</v>
      </c>
      <c r="M106" s="23"/>
    </row>
    <row r="107" spans="1:25" s="13" customFormat="1" ht="19.5" customHeight="1" x14ac:dyDescent="0.45">
      <c r="A107" s="14">
        <v>106</v>
      </c>
      <c r="B107" s="14">
        <v>7</v>
      </c>
      <c r="C107" s="54">
        <v>5</v>
      </c>
      <c r="D107" s="52">
        <v>2</v>
      </c>
      <c r="E107" s="238">
        <v>21</v>
      </c>
      <c r="F107" s="58" t="s">
        <v>776</v>
      </c>
      <c r="G107" s="89" t="s">
        <v>14</v>
      </c>
      <c r="H107" s="58" t="s">
        <v>773</v>
      </c>
      <c r="I107" s="18" t="s">
        <v>742</v>
      </c>
      <c r="J107" s="21">
        <v>23040</v>
      </c>
      <c r="K107" s="21"/>
      <c r="L107" s="22">
        <v>960</v>
      </c>
      <c r="M107" s="23"/>
    </row>
    <row r="108" spans="1:25" s="13" customFormat="1" ht="19.5" customHeight="1" x14ac:dyDescent="0.45">
      <c r="A108" s="14">
        <v>107</v>
      </c>
      <c r="B108" s="14">
        <v>8</v>
      </c>
      <c r="C108" s="54">
        <v>5</v>
      </c>
      <c r="D108" s="52">
        <v>3</v>
      </c>
      <c r="E108" s="238">
        <v>2</v>
      </c>
      <c r="F108" s="58" t="s">
        <v>587</v>
      </c>
      <c r="G108" s="89" t="s">
        <v>14</v>
      </c>
      <c r="H108" s="58" t="s">
        <v>773</v>
      </c>
      <c r="I108" s="18" t="s">
        <v>742</v>
      </c>
      <c r="J108" s="21">
        <v>23040</v>
      </c>
      <c r="K108" s="21"/>
      <c r="L108" s="22">
        <v>960</v>
      </c>
      <c r="M108" s="23"/>
      <c r="O108" s="13">
        <v>23040</v>
      </c>
      <c r="P108" s="13">
        <v>960</v>
      </c>
      <c r="Q108" s="13">
        <v>24000</v>
      </c>
      <c r="S108" s="13">
        <v>17280</v>
      </c>
      <c r="T108" s="13">
        <v>720</v>
      </c>
      <c r="U108" s="13">
        <v>18000</v>
      </c>
      <c r="W108" s="13">
        <v>23040</v>
      </c>
      <c r="X108" s="13">
        <v>960</v>
      </c>
      <c r="Y108" s="13">
        <v>24000</v>
      </c>
    </row>
    <row r="109" spans="1:25" s="13" customFormat="1" ht="19.5" customHeight="1" x14ac:dyDescent="0.45">
      <c r="A109" s="14">
        <v>108</v>
      </c>
      <c r="B109" s="14">
        <v>9</v>
      </c>
      <c r="C109" s="54">
        <v>5</v>
      </c>
      <c r="D109" s="52">
        <v>5</v>
      </c>
      <c r="E109" s="238">
        <v>1</v>
      </c>
      <c r="F109" s="58" t="s">
        <v>255</v>
      </c>
      <c r="G109" s="89" t="s">
        <v>14</v>
      </c>
      <c r="H109" s="58" t="s">
        <v>773</v>
      </c>
      <c r="I109" s="18" t="s">
        <v>742</v>
      </c>
      <c r="J109" s="21">
        <v>23040</v>
      </c>
      <c r="K109" s="21"/>
      <c r="L109" s="22">
        <v>960</v>
      </c>
      <c r="M109" s="23"/>
      <c r="O109" s="13">
        <f>O108*20</f>
        <v>460800</v>
      </c>
      <c r="P109" s="13">
        <f t="shared" ref="P109:Q109" si="31">P108*20</f>
        <v>19200</v>
      </c>
      <c r="Q109" s="13">
        <f t="shared" si="31"/>
        <v>480000</v>
      </c>
      <c r="S109" s="13">
        <f>S108*20</f>
        <v>345600</v>
      </c>
      <c r="T109" s="13">
        <f t="shared" ref="T109:U109" si="32">T108*20</f>
        <v>14400</v>
      </c>
      <c r="U109" s="13">
        <f t="shared" si="32"/>
        <v>360000</v>
      </c>
      <c r="W109" s="13">
        <f>W108*20</f>
        <v>460800</v>
      </c>
      <c r="X109" s="13">
        <f t="shared" ref="X109:Y109" si="33">X108*20</f>
        <v>19200</v>
      </c>
      <c r="Y109" s="13">
        <f t="shared" si="33"/>
        <v>480000</v>
      </c>
    </row>
    <row r="110" spans="1:25" s="13" customFormat="1" ht="19.5" customHeight="1" x14ac:dyDescent="0.45">
      <c r="A110" s="14">
        <v>109</v>
      </c>
      <c r="B110" s="14">
        <v>10</v>
      </c>
      <c r="C110" s="54">
        <v>5</v>
      </c>
      <c r="D110" s="52">
        <v>5</v>
      </c>
      <c r="E110" s="238">
        <v>9</v>
      </c>
      <c r="F110" s="58" t="s">
        <v>180</v>
      </c>
      <c r="G110" s="89" t="s">
        <v>14</v>
      </c>
      <c r="H110" s="58" t="s">
        <v>773</v>
      </c>
      <c r="I110" s="18" t="s">
        <v>742</v>
      </c>
      <c r="J110" s="21">
        <v>23040</v>
      </c>
      <c r="K110" s="21"/>
      <c r="L110" s="22">
        <v>960</v>
      </c>
      <c r="M110" s="23"/>
      <c r="O110" s="13">
        <v>-17280</v>
      </c>
      <c r="P110" s="13">
        <v>-720</v>
      </c>
      <c r="Q110" s="13">
        <v>-18000</v>
      </c>
    </row>
    <row r="111" spans="1:25" s="13" customFormat="1" ht="19.5" customHeight="1" x14ac:dyDescent="0.45">
      <c r="A111" s="14">
        <v>110</v>
      </c>
      <c r="B111" s="14">
        <v>11</v>
      </c>
      <c r="C111" s="54">
        <v>5</v>
      </c>
      <c r="D111" s="52">
        <v>5</v>
      </c>
      <c r="E111" s="238">
        <v>12</v>
      </c>
      <c r="F111" s="58" t="s">
        <v>256</v>
      </c>
      <c r="G111" s="89" t="s">
        <v>14</v>
      </c>
      <c r="H111" s="58" t="s">
        <v>773</v>
      </c>
      <c r="I111" s="18" t="s">
        <v>742</v>
      </c>
      <c r="J111" s="21">
        <v>23040</v>
      </c>
      <c r="K111" s="21"/>
      <c r="L111" s="22">
        <v>960</v>
      </c>
      <c r="M111" s="23"/>
      <c r="O111" s="13">
        <f>SUM(O109:O110)</f>
        <v>443520</v>
      </c>
      <c r="P111" s="13">
        <f t="shared" ref="P111:Q111" si="34">SUM(P109:P110)</f>
        <v>18480</v>
      </c>
      <c r="Q111" s="13">
        <f t="shared" si="34"/>
        <v>462000</v>
      </c>
    </row>
    <row r="112" spans="1:25" s="13" customFormat="1" ht="19.5" customHeight="1" x14ac:dyDescent="0.45">
      <c r="A112" s="14">
        <v>111</v>
      </c>
      <c r="B112" s="14">
        <v>12</v>
      </c>
      <c r="C112" s="54">
        <v>5</v>
      </c>
      <c r="D112" s="52">
        <v>5</v>
      </c>
      <c r="E112" s="238">
        <v>14</v>
      </c>
      <c r="F112" s="58" t="s">
        <v>257</v>
      </c>
      <c r="G112" s="89" t="s">
        <v>14</v>
      </c>
      <c r="H112" s="58" t="s">
        <v>773</v>
      </c>
      <c r="I112" s="18" t="s">
        <v>742</v>
      </c>
      <c r="J112" s="21">
        <v>23040</v>
      </c>
      <c r="K112" s="21"/>
      <c r="L112" s="22">
        <v>960</v>
      </c>
      <c r="M112" s="23"/>
      <c r="S112" s="34">
        <f>SUM(O111,S109,W110,W109)</f>
        <v>1249920</v>
      </c>
      <c r="T112" s="34">
        <f t="shared" ref="T112:U112" si="35">SUM(P111,T109,X110,X109)</f>
        <v>52080</v>
      </c>
      <c r="U112" s="34">
        <f t="shared" si="35"/>
        <v>1302000</v>
      </c>
    </row>
    <row r="113" spans="1:25" s="13" customFormat="1" ht="19.5" customHeight="1" x14ac:dyDescent="0.45">
      <c r="A113" s="14">
        <v>112</v>
      </c>
      <c r="B113" s="14">
        <v>13</v>
      </c>
      <c r="C113" s="54">
        <v>5</v>
      </c>
      <c r="D113" s="52">
        <v>6</v>
      </c>
      <c r="E113" s="238">
        <v>7</v>
      </c>
      <c r="F113" s="58" t="s">
        <v>570</v>
      </c>
      <c r="G113" s="89" t="s">
        <v>14</v>
      </c>
      <c r="H113" s="58" t="s">
        <v>773</v>
      </c>
      <c r="I113" s="18" t="s">
        <v>742</v>
      </c>
      <c r="J113" s="21">
        <v>23040</v>
      </c>
      <c r="K113" s="21"/>
      <c r="L113" s="22">
        <v>960</v>
      </c>
      <c r="M113" s="23"/>
    </row>
    <row r="114" spans="1:25" s="13" customFormat="1" ht="19.5" customHeight="1" x14ac:dyDescent="0.45">
      <c r="A114" s="14">
        <v>113</v>
      </c>
      <c r="B114" s="14">
        <v>14</v>
      </c>
      <c r="C114" s="54">
        <v>5</v>
      </c>
      <c r="D114" s="52">
        <v>6</v>
      </c>
      <c r="E114" s="238">
        <v>13</v>
      </c>
      <c r="F114" s="58" t="s">
        <v>777</v>
      </c>
      <c r="G114" s="89" t="s">
        <v>14</v>
      </c>
      <c r="H114" s="58" t="s">
        <v>778</v>
      </c>
      <c r="I114" s="18" t="s">
        <v>742</v>
      </c>
      <c r="J114" s="21">
        <v>23040</v>
      </c>
      <c r="K114" s="21"/>
      <c r="L114" s="22">
        <v>960</v>
      </c>
      <c r="M114" s="23"/>
    </row>
    <row r="115" spans="1:25" s="13" customFormat="1" ht="19.5" customHeight="1" x14ac:dyDescent="0.45">
      <c r="A115" s="14">
        <v>114</v>
      </c>
      <c r="B115" s="14">
        <v>15</v>
      </c>
      <c r="C115" s="54">
        <v>5</v>
      </c>
      <c r="D115" s="52">
        <v>7</v>
      </c>
      <c r="E115" s="238">
        <v>2</v>
      </c>
      <c r="F115" s="58" t="s">
        <v>392</v>
      </c>
      <c r="G115" s="89" t="s">
        <v>14</v>
      </c>
      <c r="H115" s="58" t="s">
        <v>773</v>
      </c>
      <c r="I115" s="18" t="s">
        <v>742</v>
      </c>
      <c r="J115" s="21">
        <v>23040</v>
      </c>
      <c r="K115" s="21"/>
      <c r="L115" s="22">
        <v>960</v>
      </c>
      <c r="M115" s="23"/>
    </row>
    <row r="116" spans="1:25" s="13" customFormat="1" ht="19.5" customHeight="1" x14ac:dyDescent="0.45">
      <c r="A116" s="14">
        <v>115</v>
      </c>
      <c r="B116" s="14">
        <v>16</v>
      </c>
      <c r="C116" s="54">
        <v>6</v>
      </c>
      <c r="D116" s="52">
        <v>2</v>
      </c>
      <c r="E116" s="238">
        <v>7</v>
      </c>
      <c r="F116" s="58" t="s">
        <v>779</v>
      </c>
      <c r="G116" s="89" t="s">
        <v>14</v>
      </c>
      <c r="H116" s="58" t="s">
        <v>773</v>
      </c>
      <c r="I116" s="18" t="s">
        <v>742</v>
      </c>
      <c r="J116" s="21">
        <v>23040</v>
      </c>
      <c r="K116" s="21"/>
      <c r="L116" s="22">
        <v>960</v>
      </c>
      <c r="M116" s="23"/>
    </row>
    <row r="117" spans="1:25" s="13" customFormat="1" ht="19.5" customHeight="1" x14ac:dyDescent="0.45">
      <c r="A117" s="14">
        <v>116</v>
      </c>
      <c r="B117" s="14">
        <v>17</v>
      </c>
      <c r="C117" s="54">
        <v>6</v>
      </c>
      <c r="D117" s="52">
        <v>4</v>
      </c>
      <c r="E117" s="238">
        <v>12</v>
      </c>
      <c r="F117" s="58" t="s">
        <v>780</v>
      </c>
      <c r="G117" s="89" t="s">
        <v>14</v>
      </c>
      <c r="H117" s="58" t="s">
        <v>773</v>
      </c>
      <c r="I117" s="28" t="s">
        <v>744</v>
      </c>
      <c r="J117" s="29">
        <v>17280</v>
      </c>
      <c r="K117" s="29"/>
      <c r="L117" s="30">
        <v>720</v>
      </c>
      <c r="M117" s="23"/>
    </row>
    <row r="118" spans="1:25" s="13" customFormat="1" ht="19.5" customHeight="1" x14ac:dyDescent="0.45">
      <c r="A118" s="14">
        <v>117</v>
      </c>
      <c r="B118" s="14">
        <v>18</v>
      </c>
      <c r="C118" s="54">
        <v>6</v>
      </c>
      <c r="D118" s="52">
        <v>6</v>
      </c>
      <c r="E118" s="238">
        <v>15</v>
      </c>
      <c r="F118" s="58" t="s">
        <v>781</v>
      </c>
      <c r="G118" s="89" t="s">
        <v>14</v>
      </c>
      <c r="H118" s="58" t="s">
        <v>773</v>
      </c>
      <c r="I118" s="18" t="s">
        <v>742</v>
      </c>
      <c r="J118" s="21">
        <v>23040</v>
      </c>
      <c r="K118" s="21"/>
      <c r="L118" s="22">
        <v>960</v>
      </c>
      <c r="M118" s="23"/>
    </row>
    <row r="119" spans="1:25" s="13" customFormat="1" ht="19.5" customHeight="1" x14ac:dyDescent="0.45">
      <c r="A119" s="14">
        <v>118</v>
      </c>
      <c r="B119" s="14">
        <v>19</v>
      </c>
      <c r="C119" s="54">
        <v>6</v>
      </c>
      <c r="D119" s="52">
        <v>7</v>
      </c>
      <c r="E119" s="238">
        <v>3</v>
      </c>
      <c r="F119" s="58" t="s">
        <v>100</v>
      </c>
      <c r="G119" s="89" t="s">
        <v>14</v>
      </c>
      <c r="H119" s="58" t="s">
        <v>773</v>
      </c>
      <c r="I119" s="18" t="s">
        <v>742</v>
      </c>
      <c r="J119" s="21">
        <v>23040</v>
      </c>
      <c r="K119" s="21"/>
      <c r="L119" s="22">
        <v>960</v>
      </c>
      <c r="M119" s="23"/>
    </row>
    <row r="120" spans="1:25" s="13" customFormat="1" ht="19.5" customHeight="1" x14ac:dyDescent="0.45">
      <c r="A120" s="14">
        <v>119</v>
      </c>
      <c r="B120" s="14">
        <v>20</v>
      </c>
      <c r="C120" s="54">
        <v>6</v>
      </c>
      <c r="D120" s="52">
        <v>7</v>
      </c>
      <c r="E120" s="238">
        <v>24</v>
      </c>
      <c r="F120" s="58" t="s">
        <v>497</v>
      </c>
      <c r="G120" s="89" t="s">
        <v>14</v>
      </c>
      <c r="H120" s="58" t="s">
        <v>773</v>
      </c>
      <c r="I120" s="28" t="s">
        <v>744</v>
      </c>
      <c r="J120" s="29">
        <v>17280</v>
      </c>
      <c r="K120" s="29"/>
      <c r="L120" s="30">
        <v>720</v>
      </c>
      <c r="M120" s="23"/>
    </row>
    <row r="121" spans="1:25" s="13" customFormat="1" ht="19.5" customHeight="1" x14ac:dyDescent="0.45">
      <c r="A121" s="14">
        <v>120</v>
      </c>
      <c r="B121" s="35">
        <v>1</v>
      </c>
      <c r="C121" s="51">
        <v>4</v>
      </c>
      <c r="D121" s="49">
        <v>4</v>
      </c>
      <c r="E121" s="236">
        <v>1</v>
      </c>
      <c r="F121" s="56" t="s">
        <v>782</v>
      </c>
      <c r="G121" s="87" t="s">
        <v>14</v>
      </c>
      <c r="H121" s="56" t="s">
        <v>783</v>
      </c>
      <c r="I121" s="39" t="s">
        <v>742</v>
      </c>
      <c r="J121" s="43">
        <v>23040</v>
      </c>
      <c r="K121" s="43"/>
      <c r="L121" s="44">
        <v>960</v>
      </c>
      <c r="M121" s="45">
        <f>SUM(J121:K135)</f>
        <v>334080</v>
      </c>
    </row>
    <row r="122" spans="1:25" s="13" customFormat="1" ht="19.5" customHeight="1" x14ac:dyDescent="0.45">
      <c r="A122" s="14">
        <v>121</v>
      </c>
      <c r="B122" s="14">
        <v>2</v>
      </c>
      <c r="C122" s="54">
        <v>5</v>
      </c>
      <c r="D122" s="52">
        <v>1</v>
      </c>
      <c r="E122" s="238">
        <v>24</v>
      </c>
      <c r="F122" s="58" t="s">
        <v>267</v>
      </c>
      <c r="G122" s="89" t="s">
        <v>14</v>
      </c>
      <c r="H122" s="58" t="s">
        <v>783</v>
      </c>
      <c r="I122" s="18" t="s">
        <v>742</v>
      </c>
      <c r="J122" s="21">
        <v>23040</v>
      </c>
      <c r="K122" s="21"/>
      <c r="L122" s="22">
        <v>960</v>
      </c>
      <c r="M122" s="23"/>
      <c r="O122" s="237">
        <f>SUM(J121:K135)</f>
        <v>334080</v>
      </c>
    </row>
    <row r="123" spans="1:25" s="13" customFormat="1" ht="19.5" customHeight="1" x14ac:dyDescent="0.45">
      <c r="A123" s="14">
        <v>122</v>
      </c>
      <c r="B123" s="14">
        <v>3</v>
      </c>
      <c r="C123" s="54">
        <v>5</v>
      </c>
      <c r="D123" s="52">
        <v>2</v>
      </c>
      <c r="E123" s="238">
        <v>7</v>
      </c>
      <c r="F123" s="58" t="s">
        <v>491</v>
      </c>
      <c r="G123" s="89" t="s">
        <v>14</v>
      </c>
      <c r="H123" s="58" t="s">
        <v>783</v>
      </c>
      <c r="I123" s="18" t="s">
        <v>742</v>
      </c>
      <c r="J123" s="21">
        <v>23040</v>
      </c>
      <c r="K123" s="21"/>
      <c r="L123" s="22">
        <v>960</v>
      </c>
      <c r="M123" s="23"/>
      <c r="O123" s="237">
        <f>SUM(L121:L135)</f>
        <v>13920</v>
      </c>
    </row>
    <row r="124" spans="1:25" s="13" customFormat="1" ht="19.5" customHeight="1" x14ac:dyDescent="0.45">
      <c r="A124" s="14">
        <v>123</v>
      </c>
      <c r="B124" s="14">
        <v>4</v>
      </c>
      <c r="C124" s="54">
        <v>5</v>
      </c>
      <c r="D124" s="52">
        <v>2</v>
      </c>
      <c r="E124" s="238">
        <v>8</v>
      </c>
      <c r="F124" s="58" t="s">
        <v>784</v>
      </c>
      <c r="G124" s="89" t="s">
        <v>14</v>
      </c>
      <c r="H124" s="58" t="s">
        <v>783</v>
      </c>
      <c r="I124" s="18" t="s">
        <v>742</v>
      </c>
      <c r="J124" s="21">
        <v>23040</v>
      </c>
      <c r="K124" s="21"/>
      <c r="L124" s="22">
        <v>960</v>
      </c>
      <c r="M124" s="23"/>
      <c r="O124" s="237">
        <f>SUM(O122:O123)</f>
        <v>348000</v>
      </c>
    </row>
    <row r="125" spans="1:25" s="13" customFormat="1" ht="19.5" customHeight="1" x14ac:dyDescent="0.45">
      <c r="A125" s="14">
        <v>124</v>
      </c>
      <c r="B125" s="14">
        <v>5</v>
      </c>
      <c r="C125" s="54">
        <v>5</v>
      </c>
      <c r="D125" s="52">
        <v>5</v>
      </c>
      <c r="E125" s="238">
        <v>12</v>
      </c>
      <c r="F125" s="58" t="s">
        <v>256</v>
      </c>
      <c r="G125" s="89" t="s">
        <v>14</v>
      </c>
      <c r="H125" s="58" t="s">
        <v>783</v>
      </c>
      <c r="I125" s="18" t="s">
        <v>742</v>
      </c>
      <c r="J125" s="21">
        <v>23040</v>
      </c>
      <c r="K125" s="21"/>
      <c r="L125" s="22">
        <v>960</v>
      </c>
      <c r="M125" s="23"/>
    </row>
    <row r="126" spans="1:25" s="13" customFormat="1" ht="19.5" customHeight="1" x14ac:dyDescent="0.45">
      <c r="A126" s="14">
        <v>125</v>
      </c>
      <c r="B126" s="14">
        <v>6</v>
      </c>
      <c r="C126" s="54">
        <v>5</v>
      </c>
      <c r="D126" s="52">
        <v>5</v>
      </c>
      <c r="E126" s="238">
        <v>27</v>
      </c>
      <c r="F126" s="58" t="s">
        <v>301</v>
      </c>
      <c r="G126" s="89" t="s">
        <v>14</v>
      </c>
      <c r="H126" s="58" t="s">
        <v>783</v>
      </c>
      <c r="I126" s="28" t="s">
        <v>744</v>
      </c>
      <c r="J126" s="29">
        <v>17280</v>
      </c>
      <c r="K126" s="29"/>
      <c r="L126" s="30">
        <v>720</v>
      </c>
      <c r="M126" s="23"/>
    </row>
    <row r="127" spans="1:25" s="13" customFormat="1" ht="19.5" customHeight="1" x14ac:dyDescent="0.45">
      <c r="A127" s="14">
        <v>126</v>
      </c>
      <c r="B127" s="14">
        <v>7</v>
      </c>
      <c r="C127" s="54">
        <v>5</v>
      </c>
      <c r="D127" s="52">
        <v>7</v>
      </c>
      <c r="E127" s="238">
        <v>23</v>
      </c>
      <c r="F127" s="58" t="s">
        <v>785</v>
      </c>
      <c r="G127" s="89" t="s">
        <v>14</v>
      </c>
      <c r="H127" s="58" t="s">
        <v>783</v>
      </c>
      <c r="I127" s="18" t="s">
        <v>742</v>
      </c>
      <c r="J127" s="21">
        <v>23040</v>
      </c>
      <c r="K127" s="21"/>
      <c r="L127" s="22">
        <v>960</v>
      </c>
      <c r="M127" s="23"/>
      <c r="O127" s="13">
        <v>23040</v>
      </c>
      <c r="P127" s="13">
        <v>960</v>
      </c>
      <c r="Q127" s="13">
        <v>24000</v>
      </c>
      <c r="S127" s="13">
        <v>17280</v>
      </c>
      <c r="T127" s="13">
        <v>720</v>
      </c>
      <c r="U127" s="13">
        <v>18000</v>
      </c>
      <c r="W127" s="13">
        <v>23040</v>
      </c>
      <c r="X127" s="13">
        <v>960</v>
      </c>
      <c r="Y127" s="13">
        <v>24000</v>
      </c>
    </row>
    <row r="128" spans="1:25" s="13" customFormat="1" ht="19.5" customHeight="1" x14ac:dyDescent="0.45">
      <c r="A128" s="14">
        <v>127</v>
      </c>
      <c r="B128" s="14">
        <v>8</v>
      </c>
      <c r="C128" s="54">
        <v>6</v>
      </c>
      <c r="D128" s="52">
        <v>1</v>
      </c>
      <c r="E128" s="238">
        <v>1</v>
      </c>
      <c r="F128" s="58" t="s">
        <v>553</v>
      </c>
      <c r="G128" s="89" t="s">
        <v>14</v>
      </c>
      <c r="H128" s="58" t="s">
        <v>783</v>
      </c>
      <c r="I128" s="18" t="s">
        <v>742</v>
      </c>
      <c r="J128" s="21">
        <v>23040</v>
      </c>
      <c r="K128" s="21"/>
      <c r="L128" s="22">
        <v>960</v>
      </c>
      <c r="M128" s="23"/>
      <c r="O128" s="13">
        <f>O127*15</f>
        <v>345600</v>
      </c>
      <c r="P128" s="13">
        <f t="shared" ref="P128:Q128" si="36">P127*15</f>
        <v>14400</v>
      </c>
      <c r="Q128" s="13">
        <f t="shared" si="36"/>
        <v>360000</v>
      </c>
      <c r="S128" s="13">
        <f>S127*14</f>
        <v>241920</v>
      </c>
      <c r="T128" s="13">
        <f t="shared" ref="T128:U128" si="37">T127*14</f>
        <v>10080</v>
      </c>
      <c r="U128" s="13">
        <f t="shared" si="37"/>
        <v>252000</v>
      </c>
      <c r="W128" s="13">
        <f>W127*14</f>
        <v>322560</v>
      </c>
      <c r="X128" s="13">
        <f t="shared" ref="X128:Y128" si="38">X127*14</f>
        <v>13440</v>
      </c>
      <c r="Y128" s="13">
        <f t="shared" si="38"/>
        <v>336000</v>
      </c>
    </row>
    <row r="129" spans="1:31" s="13" customFormat="1" ht="19.5" customHeight="1" x14ac:dyDescent="0.45">
      <c r="A129" s="14">
        <v>128</v>
      </c>
      <c r="B129" s="14">
        <v>9</v>
      </c>
      <c r="C129" s="54">
        <v>6</v>
      </c>
      <c r="D129" s="52">
        <v>1</v>
      </c>
      <c r="E129" s="238">
        <v>8</v>
      </c>
      <c r="F129" s="58" t="s">
        <v>786</v>
      </c>
      <c r="G129" s="89" t="s">
        <v>14</v>
      </c>
      <c r="H129" s="58" t="s">
        <v>787</v>
      </c>
      <c r="I129" s="18" t="s">
        <v>742</v>
      </c>
      <c r="J129" s="21">
        <v>23040</v>
      </c>
      <c r="K129" s="21"/>
      <c r="L129" s="22">
        <v>960</v>
      </c>
      <c r="M129" s="23"/>
      <c r="O129" s="13">
        <v>-11520</v>
      </c>
      <c r="P129" s="13">
        <v>-480</v>
      </c>
      <c r="Q129" s="13">
        <v>-12000</v>
      </c>
    </row>
    <row r="130" spans="1:31" s="13" customFormat="1" ht="19.5" customHeight="1" x14ac:dyDescent="0.45">
      <c r="A130" s="14">
        <v>129</v>
      </c>
      <c r="B130" s="14">
        <v>10</v>
      </c>
      <c r="C130" s="54">
        <v>6</v>
      </c>
      <c r="D130" s="52">
        <v>2</v>
      </c>
      <c r="E130" s="238">
        <v>7</v>
      </c>
      <c r="F130" s="58" t="s">
        <v>779</v>
      </c>
      <c r="G130" s="89" t="s">
        <v>14</v>
      </c>
      <c r="H130" s="58" t="s">
        <v>783</v>
      </c>
      <c r="I130" s="28" t="s">
        <v>744</v>
      </c>
      <c r="J130" s="29">
        <v>17280</v>
      </c>
      <c r="K130" s="29"/>
      <c r="L130" s="30">
        <v>720</v>
      </c>
      <c r="M130" s="23"/>
      <c r="O130" s="13">
        <f>SUM(O128:O129)</f>
        <v>334080</v>
      </c>
      <c r="P130" s="13">
        <f t="shared" ref="P130:Q130" si="39">SUM(P128:P129)</f>
        <v>13920</v>
      </c>
      <c r="Q130" s="13">
        <f t="shared" si="39"/>
        <v>348000</v>
      </c>
    </row>
    <row r="131" spans="1:31" s="13" customFormat="1" ht="19.5" customHeight="1" x14ac:dyDescent="0.45">
      <c r="A131" s="14">
        <v>130</v>
      </c>
      <c r="B131" s="14">
        <v>11</v>
      </c>
      <c r="C131" s="54">
        <v>6</v>
      </c>
      <c r="D131" s="52">
        <v>3</v>
      </c>
      <c r="E131" s="238">
        <v>10</v>
      </c>
      <c r="F131" s="58" t="s">
        <v>788</v>
      </c>
      <c r="G131" s="89" t="s">
        <v>14</v>
      </c>
      <c r="H131" s="58" t="s">
        <v>783</v>
      </c>
      <c r="I131" s="18" t="s">
        <v>742</v>
      </c>
      <c r="J131" s="21">
        <v>23040</v>
      </c>
      <c r="K131" s="21"/>
      <c r="L131" s="22">
        <v>960</v>
      </c>
      <c r="M131" s="23"/>
    </row>
    <row r="132" spans="1:31" s="13" customFormat="1" ht="19.5" customHeight="1" x14ac:dyDescent="0.45">
      <c r="A132" s="14">
        <v>131</v>
      </c>
      <c r="B132" s="14">
        <v>12</v>
      </c>
      <c r="C132" s="54">
        <v>6</v>
      </c>
      <c r="D132" s="52">
        <v>5</v>
      </c>
      <c r="E132" s="238">
        <v>24</v>
      </c>
      <c r="F132" s="58" t="s">
        <v>789</v>
      </c>
      <c r="G132" s="89" t="s">
        <v>14</v>
      </c>
      <c r="H132" s="58" t="s">
        <v>783</v>
      </c>
      <c r="I132" s="18" t="s">
        <v>742</v>
      </c>
      <c r="J132" s="21">
        <v>23040</v>
      </c>
      <c r="K132" s="21"/>
      <c r="L132" s="22">
        <v>960</v>
      </c>
      <c r="M132" s="23"/>
    </row>
    <row r="133" spans="1:31" s="13" customFormat="1" ht="19.5" customHeight="1" x14ac:dyDescent="0.45">
      <c r="A133" s="14">
        <v>132</v>
      </c>
      <c r="B133" s="14">
        <v>13</v>
      </c>
      <c r="C133" s="54">
        <v>6</v>
      </c>
      <c r="D133" s="52">
        <v>6</v>
      </c>
      <c r="E133" s="238">
        <v>13</v>
      </c>
      <c r="F133" s="58" t="s">
        <v>790</v>
      </c>
      <c r="G133" s="89" t="s">
        <v>14</v>
      </c>
      <c r="H133" s="58" t="s">
        <v>783</v>
      </c>
      <c r="I133" s="18" t="s">
        <v>742</v>
      </c>
      <c r="J133" s="21">
        <v>23040</v>
      </c>
      <c r="K133" s="21"/>
      <c r="L133" s="22">
        <v>960</v>
      </c>
      <c r="M133" s="23"/>
      <c r="S133" s="34">
        <f>SUM(O130,S128,W128)</f>
        <v>898560</v>
      </c>
      <c r="T133" s="34">
        <f>SUM(P130,T128,X128)</f>
        <v>37440</v>
      </c>
      <c r="U133" s="34">
        <f>SUM(Q130,U128,Y128)</f>
        <v>936000</v>
      </c>
    </row>
    <row r="134" spans="1:31" s="13" customFormat="1" ht="19.5" customHeight="1" x14ac:dyDescent="0.45">
      <c r="A134" s="14">
        <v>133</v>
      </c>
      <c r="B134" s="14">
        <v>14</v>
      </c>
      <c r="C134" s="54">
        <v>6</v>
      </c>
      <c r="D134" s="52">
        <v>6</v>
      </c>
      <c r="E134" s="238">
        <v>21</v>
      </c>
      <c r="F134" s="58" t="s">
        <v>791</v>
      </c>
      <c r="G134" s="89" t="s">
        <v>14</v>
      </c>
      <c r="H134" s="58" t="s">
        <v>783</v>
      </c>
      <c r="I134" s="18" t="s">
        <v>742</v>
      </c>
      <c r="J134" s="21">
        <v>23040</v>
      </c>
      <c r="K134" s="21"/>
      <c r="L134" s="22">
        <v>960</v>
      </c>
      <c r="M134" s="23"/>
    </row>
    <row r="135" spans="1:31" s="13" customFormat="1" ht="19.5" customHeight="1" x14ac:dyDescent="0.45">
      <c r="A135" s="14">
        <v>134</v>
      </c>
      <c r="B135" s="156">
        <v>15</v>
      </c>
      <c r="C135" s="64">
        <v>6</v>
      </c>
      <c r="D135" s="62">
        <v>7</v>
      </c>
      <c r="E135" s="243">
        <v>1</v>
      </c>
      <c r="F135" s="66" t="s">
        <v>278</v>
      </c>
      <c r="G135" s="163" t="s">
        <v>14</v>
      </c>
      <c r="H135" s="66" t="s">
        <v>783</v>
      </c>
      <c r="I135" s="48" t="s">
        <v>742</v>
      </c>
      <c r="J135" s="67">
        <v>23040</v>
      </c>
      <c r="K135" s="67"/>
      <c r="L135" s="68">
        <v>960</v>
      </c>
      <c r="M135" s="69"/>
    </row>
    <row r="136" spans="1:31" s="13" customFormat="1" ht="29.25" customHeight="1" x14ac:dyDescent="0.45">
      <c r="A136" s="185" t="s">
        <v>671</v>
      </c>
      <c r="B136" s="186"/>
      <c r="C136" s="186"/>
      <c r="D136" s="186"/>
      <c r="E136" s="186"/>
      <c r="F136" s="186"/>
      <c r="G136" s="186"/>
      <c r="H136" s="187"/>
      <c r="I136" s="188"/>
      <c r="J136" s="189">
        <f>SUM(J2:J135)</f>
        <v>2949120</v>
      </c>
      <c r="K136" s="189">
        <f t="shared" ref="K136:L136" si="40">SUM(K2:K135)</f>
        <v>0</v>
      </c>
      <c r="L136" s="189">
        <f t="shared" si="40"/>
        <v>122880</v>
      </c>
      <c r="M136" s="190">
        <f>SUM(M2:M135)</f>
        <v>2949120</v>
      </c>
    </row>
    <row r="137" spans="1:31" s="13" customFormat="1" ht="29.25" customHeight="1" x14ac:dyDescent="0.45">
      <c r="A137" s="191" t="s">
        <v>672</v>
      </c>
      <c r="B137" s="192"/>
      <c r="C137" s="192"/>
      <c r="D137" s="192"/>
      <c r="E137" s="192"/>
      <c r="F137" s="192"/>
      <c r="G137" s="192"/>
      <c r="H137" s="193"/>
      <c r="I137" s="194"/>
      <c r="J137" s="244">
        <f>SUM(J136:K136)</f>
        <v>2949120</v>
      </c>
      <c r="K137" s="244"/>
      <c r="L137" s="197"/>
      <c r="M137" s="245">
        <f>SUM(M136:M136)</f>
        <v>2949120</v>
      </c>
      <c r="O137" s="237">
        <f>SUM(O20,O41,S50,O70,S79,S91,S100,S112,S133)</f>
        <v>8645760</v>
      </c>
      <c r="P137" s="237">
        <f>SUM(P20,P41,T50,P70,T79,T91,T100,T112,T133)</f>
        <v>360240</v>
      </c>
      <c r="Q137" s="237">
        <f>SUM(Q20,Q41,U50,Q70,U79,U91,U100,U112,U133)</f>
        <v>9006000</v>
      </c>
      <c r="R137" s="27">
        <f t="shared" ref="R137" si="41">SUM(R20,R41,V50,R70,Z76,V92,V100,V112,V133)</f>
        <v>0</v>
      </c>
    </row>
    <row r="138" spans="1:31" s="13" customFormat="1" ht="20.5" x14ac:dyDescent="0.45">
      <c r="A138" s="201"/>
      <c r="B138" s="201"/>
      <c r="C138" s="202"/>
      <c r="D138" s="202"/>
      <c r="E138" s="202"/>
      <c r="F138" s="203"/>
      <c r="G138" s="146"/>
      <c r="H138" s="204"/>
      <c r="I138" s="204"/>
      <c r="J138" s="205"/>
      <c r="K138" s="205"/>
      <c r="L138" s="205"/>
      <c r="M138" s="206"/>
    </row>
    <row r="139" spans="1:31" s="13" customFormat="1" x14ac:dyDescent="0.45">
      <c r="A139" s="209"/>
      <c r="B139" s="233"/>
      <c r="C139" s="233"/>
      <c r="D139" s="233"/>
      <c r="E139" s="233"/>
      <c r="H139" s="31"/>
      <c r="I139" s="31"/>
      <c r="J139" s="31"/>
      <c r="K139" s="31">
        <f>SUM(J137,L136)</f>
        <v>3072000</v>
      </c>
      <c r="L139" s="31"/>
    </row>
    <row r="140" spans="1:31" s="13" customFormat="1" x14ac:dyDescent="0.45">
      <c r="A140" s="209"/>
      <c r="B140" s="233"/>
      <c r="C140" s="233"/>
      <c r="D140" s="233"/>
      <c r="E140" s="233"/>
      <c r="H140" s="31"/>
      <c r="I140" s="31"/>
      <c r="J140" s="31"/>
      <c r="K140" s="31"/>
      <c r="L140" s="31"/>
    </row>
    <row r="141" spans="1:31" x14ac:dyDescent="0.45">
      <c r="P141" s="13"/>
      <c r="Q141" s="13"/>
      <c r="R141" s="13"/>
      <c r="S141" s="13"/>
      <c r="T141" s="13"/>
      <c r="W141" s="13"/>
      <c r="X141" s="13"/>
      <c r="Y141" s="13"/>
      <c r="Z141" s="13"/>
      <c r="AA141" s="13"/>
      <c r="AB141" s="13"/>
      <c r="AC141" s="13"/>
      <c r="AD141" s="13"/>
      <c r="AE141" s="13"/>
    </row>
    <row r="142" spans="1:31" x14ac:dyDescent="0.45">
      <c r="W142" s="13"/>
      <c r="X142" s="13"/>
      <c r="Y142" s="13"/>
      <c r="Z142" s="13"/>
      <c r="AA142" s="13"/>
      <c r="AB142" s="13"/>
      <c r="AC142" s="13"/>
      <c r="AD142" s="13"/>
      <c r="AE142" s="13"/>
    </row>
  </sheetData>
  <mergeCells count="12">
    <mergeCell ref="M94:M100"/>
    <mergeCell ref="M101:M120"/>
    <mergeCell ref="M121:M135"/>
    <mergeCell ref="A136:H136"/>
    <mergeCell ref="A137:H137"/>
    <mergeCell ref="J137:K137"/>
    <mergeCell ref="M2:M21"/>
    <mergeCell ref="M22:M41"/>
    <mergeCell ref="M42:M50"/>
    <mergeCell ref="M51:M70"/>
    <mergeCell ref="M71:M79"/>
    <mergeCell ref="M80:M93"/>
  </mergeCells>
  <phoneticPr fontId="1" type="noConversion"/>
  <dataValidations count="2">
    <dataValidation type="list" allowBlank="1" showInputMessage="1" showErrorMessage="1" sqref="G1" xr:uid="{6C08277A-5DFD-47C7-8C47-306E41F06677}">
      <formula1>#REF!</formula1>
    </dataValidation>
    <dataValidation type="list" allowBlank="1" showInputMessage="1" showErrorMessage="1" sqref="G138 G2:G135" xr:uid="{F502A6CA-4F75-4064-94C6-25E481E58223}">
      <formula1>"유상, 자유수"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9AE44-B9F2-4DC2-94F2-9228A9AA275E}">
  <sheetPr codeName="Sheet5"/>
  <dimension ref="A1:AC157"/>
  <sheetViews>
    <sheetView zoomScale="70" zoomScaleNormal="70" workbookViewId="0">
      <selection activeCell="E7" sqref="E7"/>
    </sheetView>
  </sheetViews>
  <sheetFormatPr defaultColWidth="9" defaultRowHeight="17" x14ac:dyDescent="0.45"/>
  <cols>
    <col min="1" max="1" width="6.08203125" style="246" customWidth="1"/>
    <col min="2" max="2" width="5.5" style="246" customWidth="1"/>
    <col min="3" max="5" width="5.58203125" style="246" customWidth="1"/>
    <col min="6" max="6" width="10.58203125" style="246" customWidth="1"/>
    <col min="7" max="7" width="11.25" style="246" customWidth="1"/>
    <col min="8" max="8" width="35.33203125" style="246" customWidth="1"/>
    <col min="9" max="9" width="13.5" style="246" customWidth="1"/>
    <col min="10" max="12" width="16.08203125" style="246" customWidth="1"/>
    <col min="13" max="13" width="17.58203125" style="246" customWidth="1"/>
    <col min="14" max="14" width="4" customWidth="1"/>
    <col min="15" max="15" width="13.5" customWidth="1"/>
    <col min="16" max="16" width="7.08203125" customWidth="1"/>
    <col min="17" max="17" width="11.75" style="13" customWidth="1"/>
    <col min="18" max="18" width="10.83203125" style="31" customWidth="1"/>
    <col min="19" max="19" width="12.33203125" style="31" bestFit="1" customWidth="1"/>
    <col min="20" max="20" width="3.75" style="31" customWidth="1"/>
    <col min="21" max="21" width="9.25" style="31" customWidth="1"/>
    <col min="22" max="22" width="10.25" style="13" bestFit="1" customWidth="1"/>
    <col min="23" max="23" width="11.08203125" style="13" customWidth="1"/>
    <col min="24" max="24" width="5.33203125" customWidth="1"/>
    <col min="25" max="25" width="9.08203125" customWidth="1"/>
    <col min="26" max="26" width="10.25" customWidth="1"/>
    <col min="28" max="28" width="11.08203125" customWidth="1"/>
  </cols>
  <sheetData>
    <row r="1" spans="1:29" s="13" customFormat="1" ht="40.5" customHeight="1" x14ac:dyDescent="0.45">
      <c r="A1" s="247" t="s">
        <v>0</v>
      </c>
      <c r="B1" s="248" t="s">
        <v>792</v>
      </c>
      <c r="C1" s="249" t="s">
        <v>2</v>
      </c>
      <c r="D1" s="250" t="s">
        <v>793</v>
      </c>
      <c r="E1" s="249" t="s">
        <v>4</v>
      </c>
      <c r="F1" s="251" t="s">
        <v>5</v>
      </c>
      <c r="G1" s="252" t="s">
        <v>6</v>
      </c>
      <c r="H1" s="253" t="s">
        <v>794</v>
      </c>
      <c r="I1" s="254" t="s">
        <v>795</v>
      </c>
      <c r="J1" s="255" t="s">
        <v>796</v>
      </c>
      <c r="K1" s="254" t="s">
        <v>797</v>
      </c>
      <c r="L1" s="254" t="s">
        <v>798</v>
      </c>
      <c r="M1" s="256" t="s">
        <v>799</v>
      </c>
      <c r="N1"/>
      <c r="O1"/>
      <c r="P1"/>
      <c r="R1" s="31"/>
      <c r="S1" s="31"/>
      <c r="T1" s="31"/>
      <c r="U1" s="31"/>
      <c r="X1"/>
      <c r="Y1"/>
      <c r="Z1"/>
      <c r="AA1"/>
      <c r="AB1"/>
      <c r="AC1"/>
    </row>
    <row r="2" spans="1:29" s="13" customFormat="1" ht="16.5" customHeight="1" x14ac:dyDescent="0.45">
      <c r="A2" s="257">
        <v>1</v>
      </c>
      <c r="B2" s="258">
        <v>1</v>
      </c>
      <c r="C2" s="259">
        <v>1</v>
      </c>
      <c r="D2" s="260">
        <v>2</v>
      </c>
      <c r="E2" s="259">
        <v>10</v>
      </c>
      <c r="F2" s="261" t="s">
        <v>61</v>
      </c>
      <c r="G2" s="178" t="s">
        <v>14</v>
      </c>
      <c r="H2" s="261" t="s">
        <v>800</v>
      </c>
      <c r="I2" s="262" t="s">
        <v>801</v>
      </c>
      <c r="J2" s="263">
        <v>57600</v>
      </c>
      <c r="K2" s="264"/>
      <c r="L2" s="265">
        <v>2400</v>
      </c>
      <c r="M2" s="266">
        <f>SUM(J2:K18)</f>
        <v>925200</v>
      </c>
      <c r="N2"/>
      <c r="O2"/>
      <c r="P2"/>
      <c r="R2" s="31"/>
      <c r="S2" s="31"/>
      <c r="T2" s="31"/>
      <c r="U2" s="31"/>
      <c r="X2"/>
      <c r="Y2"/>
      <c r="Z2"/>
      <c r="AA2"/>
      <c r="AB2"/>
      <c r="AC2"/>
    </row>
    <row r="3" spans="1:29" s="13" customFormat="1" ht="16.5" customHeight="1" x14ac:dyDescent="0.45">
      <c r="A3" s="257">
        <v>2</v>
      </c>
      <c r="B3" s="257">
        <v>2</v>
      </c>
      <c r="C3" s="267">
        <v>1</v>
      </c>
      <c r="D3" s="268">
        <v>3</v>
      </c>
      <c r="E3" s="267">
        <v>19</v>
      </c>
      <c r="F3" s="125" t="s">
        <v>802</v>
      </c>
      <c r="G3" s="114" t="s">
        <v>14</v>
      </c>
      <c r="H3" s="125" t="s">
        <v>803</v>
      </c>
      <c r="I3" s="269" t="s">
        <v>804</v>
      </c>
      <c r="J3" s="270">
        <v>46800</v>
      </c>
      <c r="K3" s="271"/>
      <c r="L3" s="272">
        <v>1950</v>
      </c>
      <c r="M3" s="273"/>
      <c r="N3"/>
      <c r="O3" s="232">
        <f>SUM(J2:K18)</f>
        <v>925200</v>
      </c>
      <c r="P3"/>
      <c r="Q3" s="13">
        <v>57600</v>
      </c>
      <c r="R3" s="31">
        <v>2400</v>
      </c>
      <c r="S3" s="31">
        <v>60000</v>
      </c>
      <c r="T3" s="31"/>
      <c r="U3" s="31"/>
      <c r="X3"/>
      <c r="Y3"/>
      <c r="Z3"/>
      <c r="AA3"/>
      <c r="AB3"/>
      <c r="AC3"/>
    </row>
    <row r="4" spans="1:29" s="13" customFormat="1" ht="16.5" customHeight="1" x14ac:dyDescent="0.45">
      <c r="A4" s="257">
        <v>3</v>
      </c>
      <c r="B4" s="257">
        <v>3</v>
      </c>
      <c r="C4" s="267">
        <v>1</v>
      </c>
      <c r="D4" s="268">
        <v>6</v>
      </c>
      <c r="E4" s="267">
        <v>12</v>
      </c>
      <c r="F4" s="125" t="s">
        <v>106</v>
      </c>
      <c r="G4" s="114" t="s">
        <v>14</v>
      </c>
      <c r="H4" s="125" t="s">
        <v>803</v>
      </c>
      <c r="I4" s="274" t="s">
        <v>801</v>
      </c>
      <c r="J4" s="275">
        <v>57600</v>
      </c>
      <c r="K4" s="276"/>
      <c r="L4" s="277">
        <v>2400</v>
      </c>
      <c r="M4" s="273"/>
      <c r="N4"/>
      <c r="O4" s="232">
        <f>SUM(L2:L18)</f>
        <v>38550</v>
      </c>
      <c r="P4"/>
      <c r="Q4" s="13">
        <f>Q3*16</f>
        <v>921600</v>
      </c>
      <c r="R4" s="13">
        <f t="shared" ref="R4:S4" si="0">R3*16</f>
        <v>38400</v>
      </c>
      <c r="S4" s="13">
        <f t="shared" si="0"/>
        <v>960000</v>
      </c>
      <c r="T4" s="31"/>
      <c r="U4" s="31"/>
      <c r="X4"/>
      <c r="Y4"/>
      <c r="Z4"/>
      <c r="AA4"/>
      <c r="AB4"/>
      <c r="AC4"/>
    </row>
    <row r="5" spans="1:29" s="13" customFormat="1" ht="16.5" customHeight="1" x14ac:dyDescent="0.45">
      <c r="A5" s="257">
        <v>4</v>
      </c>
      <c r="B5" s="257">
        <v>4</v>
      </c>
      <c r="C5" s="267">
        <v>1</v>
      </c>
      <c r="D5" s="268">
        <v>6</v>
      </c>
      <c r="E5" s="267">
        <v>21</v>
      </c>
      <c r="F5" s="125" t="s">
        <v>63</v>
      </c>
      <c r="G5" s="114" t="s">
        <v>14</v>
      </c>
      <c r="H5" s="125" t="s">
        <v>803</v>
      </c>
      <c r="I5" s="274" t="s">
        <v>801</v>
      </c>
      <c r="J5" s="275">
        <v>57600</v>
      </c>
      <c r="K5" s="276"/>
      <c r="L5" s="277">
        <v>2400</v>
      </c>
      <c r="M5" s="273"/>
      <c r="N5"/>
      <c r="O5" s="232">
        <f>SUM(O3:O4)</f>
        <v>963750</v>
      </c>
      <c r="P5"/>
      <c r="Q5" s="13">
        <v>-39600</v>
      </c>
      <c r="R5" s="31">
        <v>-1650</v>
      </c>
      <c r="S5" s="31">
        <v>-41250</v>
      </c>
      <c r="T5" s="31"/>
      <c r="U5" s="31"/>
      <c r="X5"/>
      <c r="Y5"/>
      <c r="Z5"/>
      <c r="AA5"/>
      <c r="AB5"/>
      <c r="AC5"/>
    </row>
    <row r="6" spans="1:29" s="13" customFormat="1" ht="16.5" customHeight="1" x14ac:dyDescent="0.45">
      <c r="A6" s="257">
        <v>5</v>
      </c>
      <c r="B6" s="257">
        <v>5</v>
      </c>
      <c r="C6" s="267">
        <v>1</v>
      </c>
      <c r="D6" s="268">
        <v>7</v>
      </c>
      <c r="E6" s="267">
        <v>13</v>
      </c>
      <c r="F6" s="125" t="s">
        <v>700</v>
      </c>
      <c r="G6" s="114" t="s">
        <v>14</v>
      </c>
      <c r="H6" s="125" t="s">
        <v>803</v>
      </c>
      <c r="I6" s="274" t="s">
        <v>801</v>
      </c>
      <c r="J6" s="275">
        <v>57600</v>
      </c>
      <c r="K6" s="276"/>
      <c r="L6" s="277">
        <v>2400</v>
      </c>
      <c r="M6" s="273"/>
      <c r="N6"/>
      <c r="O6"/>
      <c r="P6" t="s">
        <v>805</v>
      </c>
      <c r="Q6">
        <v>43200</v>
      </c>
      <c r="R6">
        <v>1800</v>
      </c>
      <c r="S6">
        <v>45000</v>
      </c>
      <c r="T6" s="31"/>
      <c r="U6" s="31"/>
      <c r="X6"/>
      <c r="Y6"/>
      <c r="Z6"/>
      <c r="AA6"/>
      <c r="AB6"/>
      <c r="AC6"/>
    </row>
    <row r="7" spans="1:29" s="13" customFormat="1" ht="16.5" customHeight="1" x14ac:dyDescent="0.45">
      <c r="A7" s="257">
        <v>6</v>
      </c>
      <c r="B7" s="257">
        <v>6</v>
      </c>
      <c r="C7" s="267">
        <v>1</v>
      </c>
      <c r="D7" s="268">
        <v>9</v>
      </c>
      <c r="E7" s="267">
        <v>1</v>
      </c>
      <c r="F7" s="125" t="s">
        <v>41</v>
      </c>
      <c r="G7" s="114" t="s">
        <v>14</v>
      </c>
      <c r="H7" s="125" t="s">
        <v>803</v>
      </c>
      <c r="I7" s="274" t="s">
        <v>801</v>
      </c>
      <c r="J7" s="275">
        <v>57600</v>
      </c>
      <c r="K7" s="276"/>
      <c r="L7" s="277">
        <v>2400</v>
      </c>
      <c r="M7" s="273"/>
      <c r="N7"/>
      <c r="O7"/>
      <c r="P7"/>
      <c r="Q7" s="13">
        <f>SUM(Q4:Q6)</f>
        <v>925200</v>
      </c>
      <c r="R7" s="13">
        <f t="shared" ref="R7:S7" si="1">SUM(R4:R6)</f>
        <v>38550</v>
      </c>
      <c r="S7" s="13">
        <f t="shared" si="1"/>
        <v>963750</v>
      </c>
      <c r="T7" s="31"/>
      <c r="U7" s="31"/>
      <c r="X7"/>
      <c r="Y7"/>
      <c r="Z7"/>
      <c r="AA7"/>
      <c r="AB7"/>
      <c r="AC7"/>
    </row>
    <row r="8" spans="1:29" s="13" customFormat="1" ht="16.5" customHeight="1" x14ac:dyDescent="0.45">
      <c r="A8" s="257">
        <v>7</v>
      </c>
      <c r="B8" s="257">
        <v>7</v>
      </c>
      <c r="C8" s="267">
        <v>1</v>
      </c>
      <c r="D8" s="268">
        <v>10</v>
      </c>
      <c r="E8" s="267">
        <v>7</v>
      </c>
      <c r="F8" s="125" t="s">
        <v>204</v>
      </c>
      <c r="G8" s="114" t="s">
        <v>14</v>
      </c>
      <c r="H8" s="125" t="s">
        <v>803</v>
      </c>
      <c r="I8" s="274" t="s">
        <v>801</v>
      </c>
      <c r="J8" s="275">
        <v>28800</v>
      </c>
      <c r="K8" s="276"/>
      <c r="L8" s="277">
        <v>1200</v>
      </c>
      <c r="M8" s="273"/>
      <c r="N8"/>
      <c r="O8"/>
      <c r="P8"/>
      <c r="R8" s="31"/>
      <c r="S8" s="31"/>
      <c r="T8" s="31"/>
      <c r="U8" s="31"/>
      <c r="X8"/>
      <c r="Y8"/>
      <c r="Z8"/>
      <c r="AA8"/>
      <c r="AB8"/>
      <c r="AC8"/>
    </row>
    <row r="9" spans="1:29" s="13" customFormat="1" ht="16.5" customHeight="1" x14ac:dyDescent="0.45">
      <c r="A9" s="257">
        <v>8</v>
      </c>
      <c r="B9" s="257">
        <v>8</v>
      </c>
      <c r="C9" s="267">
        <v>1</v>
      </c>
      <c r="D9" s="268">
        <v>10</v>
      </c>
      <c r="E9" s="267">
        <v>9</v>
      </c>
      <c r="F9" s="125" t="s">
        <v>205</v>
      </c>
      <c r="G9" s="114" t="s">
        <v>14</v>
      </c>
      <c r="H9" s="125" t="s">
        <v>803</v>
      </c>
      <c r="I9" s="274" t="s">
        <v>801</v>
      </c>
      <c r="J9" s="275">
        <v>57600</v>
      </c>
      <c r="K9" s="276"/>
      <c r="L9" s="277">
        <v>2400</v>
      </c>
      <c r="M9" s="273"/>
      <c r="N9"/>
      <c r="O9"/>
      <c r="P9"/>
      <c r="Q9" s="13">
        <v>54000</v>
      </c>
      <c r="R9" s="31">
        <v>2250</v>
      </c>
      <c r="S9" s="31">
        <v>56250</v>
      </c>
      <c r="T9" s="31"/>
      <c r="U9" s="31"/>
      <c r="X9"/>
      <c r="Y9"/>
      <c r="Z9"/>
      <c r="AA9"/>
      <c r="AB9"/>
      <c r="AC9"/>
    </row>
    <row r="10" spans="1:29" s="13" customFormat="1" ht="16.5" customHeight="1" x14ac:dyDescent="0.45">
      <c r="A10" s="257">
        <v>9</v>
      </c>
      <c r="B10" s="257">
        <v>9</v>
      </c>
      <c r="C10" s="267">
        <v>1</v>
      </c>
      <c r="D10" s="268">
        <v>10</v>
      </c>
      <c r="E10" s="267">
        <v>10</v>
      </c>
      <c r="F10" s="125" t="s">
        <v>206</v>
      </c>
      <c r="G10" s="114" t="s">
        <v>14</v>
      </c>
      <c r="H10" s="125" t="s">
        <v>803</v>
      </c>
      <c r="I10" s="274" t="s">
        <v>801</v>
      </c>
      <c r="J10" s="275">
        <v>57600</v>
      </c>
      <c r="K10" s="276"/>
      <c r="L10" s="277">
        <v>2400</v>
      </c>
      <c r="M10" s="273"/>
      <c r="N10"/>
      <c r="O10"/>
      <c r="P10"/>
      <c r="Q10" s="13">
        <f>Q9*16</f>
        <v>864000</v>
      </c>
      <c r="R10" s="13">
        <f t="shared" ref="R10:U10" si="2">R9*16</f>
        <v>36000</v>
      </c>
      <c r="S10" s="13">
        <f t="shared" si="2"/>
        <v>900000</v>
      </c>
      <c r="T10" s="13">
        <f t="shared" si="2"/>
        <v>0</v>
      </c>
      <c r="U10" s="13">
        <f t="shared" si="2"/>
        <v>0</v>
      </c>
      <c r="X10"/>
      <c r="Y10"/>
      <c r="Z10"/>
      <c r="AA10"/>
      <c r="AB10"/>
      <c r="AC10"/>
    </row>
    <row r="11" spans="1:29" s="13" customFormat="1" ht="16.5" customHeight="1" x14ac:dyDescent="0.45">
      <c r="A11" s="257">
        <v>10</v>
      </c>
      <c r="B11" s="257">
        <v>10</v>
      </c>
      <c r="C11" s="267">
        <v>1</v>
      </c>
      <c r="D11" s="268">
        <v>10</v>
      </c>
      <c r="E11" s="267">
        <v>15</v>
      </c>
      <c r="F11" s="125" t="s">
        <v>110</v>
      </c>
      <c r="G11" s="114" t="s">
        <v>14</v>
      </c>
      <c r="H11" s="125" t="s">
        <v>803</v>
      </c>
      <c r="I11" s="274" t="s">
        <v>801</v>
      </c>
      <c r="J11" s="275">
        <v>57600</v>
      </c>
      <c r="K11" s="276"/>
      <c r="L11" s="277">
        <v>2400</v>
      </c>
      <c r="M11" s="273"/>
      <c r="N11"/>
      <c r="O11"/>
      <c r="P11"/>
      <c r="R11" s="31"/>
      <c r="S11" s="31"/>
      <c r="T11" s="31"/>
      <c r="U11" s="31"/>
      <c r="X11"/>
      <c r="Y11"/>
      <c r="Z11"/>
      <c r="AA11"/>
      <c r="AB11"/>
      <c r="AC11"/>
    </row>
    <row r="12" spans="1:29" s="13" customFormat="1" ht="16.5" customHeight="1" x14ac:dyDescent="0.45">
      <c r="A12" s="257">
        <v>11</v>
      </c>
      <c r="B12" s="257">
        <v>11</v>
      </c>
      <c r="C12" s="267">
        <v>1</v>
      </c>
      <c r="D12" s="268">
        <v>10</v>
      </c>
      <c r="E12" s="267">
        <v>20</v>
      </c>
      <c r="F12" s="125" t="s">
        <v>208</v>
      </c>
      <c r="G12" s="114" t="s">
        <v>14</v>
      </c>
      <c r="H12" s="125" t="s">
        <v>803</v>
      </c>
      <c r="I12" s="274" t="s">
        <v>801</v>
      </c>
      <c r="J12" s="275">
        <v>57600</v>
      </c>
      <c r="K12" s="276"/>
      <c r="L12" s="277">
        <v>2400</v>
      </c>
      <c r="M12" s="273"/>
      <c r="N12"/>
      <c r="O12"/>
      <c r="P12"/>
      <c r="R12" s="31"/>
      <c r="S12" s="31"/>
      <c r="T12" s="31"/>
      <c r="U12" s="31"/>
      <c r="X12"/>
      <c r="Y12"/>
      <c r="Z12"/>
      <c r="AA12"/>
      <c r="AB12"/>
      <c r="AC12"/>
    </row>
    <row r="13" spans="1:29" s="13" customFormat="1" ht="16.5" customHeight="1" x14ac:dyDescent="0.45">
      <c r="A13" s="257">
        <v>12</v>
      </c>
      <c r="B13" s="257">
        <v>12</v>
      </c>
      <c r="C13" s="267">
        <v>1</v>
      </c>
      <c r="D13" s="268">
        <v>11</v>
      </c>
      <c r="E13" s="267">
        <v>15</v>
      </c>
      <c r="F13" s="125" t="s">
        <v>688</v>
      </c>
      <c r="G13" s="114" t="s">
        <v>14</v>
      </c>
      <c r="H13" s="125" t="s">
        <v>803</v>
      </c>
      <c r="I13" s="274" t="s">
        <v>801</v>
      </c>
      <c r="J13" s="275">
        <v>57600</v>
      </c>
      <c r="K13" s="276"/>
      <c r="L13" s="277">
        <v>2400</v>
      </c>
      <c r="M13" s="273"/>
      <c r="N13"/>
      <c r="O13"/>
      <c r="P13"/>
      <c r="Q13" s="13">
        <v>54000</v>
      </c>
      <c r="R13" s="31">
        <v>2250</v>
      </c>
      <c r="S13" s="31">
        <v>56250</v>
      </c>
      <c r="T13" s="31"/>
      <c r="U13" s="31"/>
      <c r="X13"/>
      <c r="Y13"/>
      <c r="Z13"/>
      <c r="AA13"/>
      <c r="AB13"/>
      <c r="AC13"/>
    </row>
    <row r="14" spans="1:29" s="13" customFormat="1" ht="16.5" customHeight="1" x14ac:dyDescent="0.45">
      <c r="A14" s="257">
        <v>13</v>
      </c>
      <c r="B14" s="257">
        <v>13</v>
      </c>
      <c r="C14" s="267">
        <v>2</v>
      </c>
      <c r="D14" s="268">
        <v>4</v>
      </c>
      <c r="E14" s="267">
        <v>23</v>
      </c>
      <c r="F14" s="125" t="s">
        <v>806</v>
      </c>
      <c r="G14" s="114" t="s">
        <v>14</v>
      </c>
      <c r="H14" s="125" t="s">
        <v>803</v>
      </c>
      <c r="I14" s="274" t="s">
        <v>801</v>
      </c>
      <c r="J14" s="275">
        <v>57600</v>
      </c>
      <c r="K14" s="276"/>
      <c r="L14" s="277">
        <v>2400</v>
      </c>
      <c r="M14" s="273"/>
      <c r="N14"/>
      <c r="O14"/>
      <c r="P14"/>
      <c r="Q14" s="13">
        <f>Q13*16</f>
        <v>864000</v>
      </c>
      <c r="R14" s="13">
        <f t="shared" ref="R14:S14" si="3">R13*16</f>
        <v>36000</v>
      </c>
      <c r="S14" s="13">
        <f t="shared" si="3"/>
        <v>900000</v>
      </c>
      <c r="T14" s="31"/>
      <c r="U14" s="31"/>
      <c r="X14"/>
      <c r="Y14"/>
      <c r="Z14"/>
      <c r="AA14"/>
      <c r="AB14"/>
      <c r="AC14"/>
    </row>
    <row r="15" spans="1:29" s="13" customFormat="1" ht="16.5" customHeight="1" x14ac:dyDescent="0.45">
      <c r="A15" s="257">
        <v>14</v>
      </c>
      <c r="B15" s="257">
        <v>14</v>
      </c>
      <c r="C15" s="267">
        <v>2</v>
      </c>
      <c r="D15" s="268">
        <v>5</v>
      </c>
      <c r="E15" s="267">
        <v>20</v>
      </c>
      <c r="F15" s="125" t="s">
        <v>311</v>
      </c>
      <c r="G15" s="114" t="s">
        <v>14</v>
      </c>
      <c r="H15" s="125" t="s">
        <v>803</v>
      </c>
      <c r="I15" s="274" t="s">
        <v>801</v>
      </c>
      <c r="J15" s="275">
        <v>57600</v>
      </c>
      <c r="K15" s="276"/>
      <c r="L15" s="277">
        <v>2400</v>
      </c>
      <c r="M15" s="273"/>
      <c r="N15"/>
      <c r="O15"/>
      <c r="P15"/>
      <c r="Q15"/>
      <c r="R15"/>
      <c r="S15"/>
      <c r="T15" s="31"/>
      <c r="U15" s="31"/>
      <c r="X15"/>
      <c r="Y15"/>
      <c r="Z15"/>
      <c r="AA15"/>
      <c r="AB15"/>
      <c r="AC15"/>
    </row>
    <row r="16" spans="1:29" s="13" customFormat="1" ht="16.5" customHeight="1" x14ac:dyDescent="0.45">
      <c r="A16" s="257">
        <v>15</v>
      </c>
      <c r="B16" s="257">
        <v>15</v>
      </c>
      <c r="C16" s="267">
        <v>2</v>
      </c>
      <c r="D16" s="268">
        <v>6</v>
      </c>
      <c r="E16" s="267">
        <v>20</v>
      </c>
      <c r="F16" s="125" t="s">
        <v>807</v>
      </c>
      <c r="G16" s="114" t="s">
        <v>14</v>
      </c>
      <c r="H16" s="125" t="s">
        <v>803</v>
      </c>
      <c r="I16" s="269" t="s">
        <v>808</v>
      </c>
      <c r="J16" s="270">
        <v>43200</v>
      </c>
      <c r="K16" s="271"/>
      <c r="L16" s="272">
        <v>1800</v>
      </c>
      <c r="M16" s="273"/>
      <c r="N16"/>
      <c r="O16"/>
      <c r="P16"/>
      <c r="Q16"/>
      <c r="R16"/>
      <c r="S16"/>
      <c r="T16" s="31"/>
      <c r="U16" s="31"/>
      <c r="X16"/>
      <c r="Y16"/>
      <c r="Z16"/>
      <c r="AA16"/>
      <c r="AB16"/>
      <c r="AC16"/>
    </row>
    <row r="17" spans="1:29" s="13" customFormat="1" ht="16.5" customHeight="1" x14ac:dyDescent="0.45">
      <c r="A17" s="257">
        <v>16</v>
      </c>
      <c r="B17" s="257">
        <v>16</v>
      </c>
      <c r="C17" s="267">
        <v>2</v>
      </c>
      <c r="D17" s="268">
        <v>11</v>
      </c>
      <c r="E17" s="267">
        <v>11</v>
      </c>
      <c r="F17" s="125" t="s">
        <v>668</v>
      </c>
      <c r="G17" s="114" t="s">
        <v>174</v>
      </c>
      <c r="H17" s="125" t="s">
        <v>803</v>
      </c>
      <c r="I17" s="274" t="s">
        <v>801</v>
      </c>
      <c r="J17" s="275">
        <v>0</v>
      </c>
      <c r="K17" s="278">
        <v>57600</v>
      </c>
      <c r="L17" s="279">
        <v>2400</v>
      </c>
      <c r="M17" s="273"/>
      <c r="N17"/>
      <c r="O17"/>
      <c r="P17"/>
      <c r="Q17" s="13">
        <f>SUM(Q7,Q10,Q14)</f>
        <v>2653200</v>
      </c>
      <c r="R17" s="13">
        <f t="shared" ref="R17:U17" si="4">SUM(R7,R10,R14)</f>
        <v>110550</v>
      </c>
      <c r="S17" s="13">
        <f t="shared" si="4"/>
        <v>2763750</v>
      </c>
      <c r="T17" s="13">
        <f t="shared" si="4"/>
        <v>0</v>
      </c>
      <c r="U17" s="13">
        <f t="shared" si="4"/>
        <v>0</v>
      </c>
      <c r="X17"/>
      <c r="Y17"/>
      <c r="Z17"/>
      <c r="AA17"/>
      <c r="AB17"/>
      <c r="AC17"/>
    </row>
    <row r="18" spans="1:29" s="13" customFormat="1" ht="16.5" customHeight="1" x14ac:dyDescent="0.45">
      <c r="A18" s="257">
        <v>17</v>
      </c>
      <c r="B18" s="257">
        <v>17</v>
      </c>
      <c r="C18" s="267">
        <v>2</v>
      </c>
      <c r="D18" s="268">
        <v>11</v>
      </c>
      <c r="E18" s="267">
        <v>24</v>
      </c>
      <c r="F18" s="125" t="s">
        <v>709</v>
      </c>
      <c r="G18" s="114" t="s">
        <v>14</v>
      </c>
      <c r="H18" s="125" t="s">
        <v>803</v>
      </c>
      <c r="I18" s="274" t="s">
        <v>801</v>
      </c>
      <c r="J18" s="275">
        <v>57600</v>
      </c>
      <c r="K18" s="276"/>
      <c r="L18" s="277">
        <v>2400</v>
      </c>
      <c r="M18" s="273"/>
      <c r="N18"/>
      <c r="O18"/>
      <c r="P18"/>
      <c r="R18" s="31"/>
      <c r="S18" s="31"/>
      <c r="T18" s="31"/>
      <c r="U18" s="31"/>
      <c r="X18"/>
      <c r="Y18"/>
      <c r="Z18"/>
      <c r="AA18"/>
      <c r="AB18"/>
      <c r="AC18"/>
    </row>
    <row r="19" spans="1:29" s="13" customFormat="1" ht="16.5" customHeight="1" x14ac:dyDescent="0.45">
      <c r="A19" s="257">
        <v>18</v>
      </c>
      <c r="B19" s="258">
        <v>1</v>
      </c>
      <c r="C19" s="259">
        <v>2</v>
      </c>
      <c r="D19" s="260">
        <v>1</v>
      </c>
      <c r="E19" s="259">
        <v>12</v>
      </c>
      <c r="F19" s="261" t="s">
        <v>83</v>
      </c>
      <c r="G19" s="178" t="s">
        <v>14</v>
      </c>
      <c r="H19" s="261" t="s">
        <v>809</v>
      </c>
      <c r="I19" s="262" t="s">
        <v>801</v>
      </c>
      <c r="J19" s="263">
        <v>57600</v>
      </c>
      <c r="K19" s="264"/>
      <c r="L19" s="265">
        <v>2400</v>
      </c>
      <c r="M19" s="266">
        <f>SUM(J19:K32)</f>
        <v>759600</v>
      </c>
      <c r="N19"/>
      <c r="O19"/>
      <c r="P19"/>
      <c r="R19" s="31"/>
      <c r="S19" s="31"/>
      <c r="T19" s="31"/>
      <c r="U19" s="31"/>
      <c r="X19"/>
      <c r="Y19"/>
      <c r="Z19"/>
      <c r="AA19"/>
      <c r="AB19"/>
      <c r="AC19"/>
    </row>
    <row r="20" spans="1:29" s="13" customFormat="1" ht="16.5" customHeight="1" x14ac:dyDescent="0.45">
      <c r="A20" s="257">
        <v>19</v>
      </c>
      <c r="B20" s="257">
        <v>2</v>
      </c>
      <c r="C20" s="267">
        <v>2</v>
      </c>
      <c r="D20" s="268">
        <v>1</v>
      </c>
      <c r="E20" s="267">
        <v>18</v>
      </c>
      <c r="F20" s="125" t="s">
        <v>219</v>
      </c>
      <c r="G20" s="114" t="s">
        <v>14</v>
      </c>
      <c r="H20" s="125" t="s">
        <v>810</v>
      </c>
      <c r="I20" s="274" t="s">
        <v>801</v>
      </c>
      <c r="J20" s="275">
        <v>57600</v>
      </c>
      <c r="K20" s="276"/>
      <c r="L20" s="277">
        <v>2400</v>
      </c>
      <c r="M20" s="273"/>
      <c r="N20"/>
      <c r="O20" s="232">
        <f>SUM(J19:K32)</f>
        <v>759600</v>
      </c>
      <c r="P20"/>
      <c r="Q20" s="13">
        <v>57600</v>
      </c>
      <c r="R20" s="31">
        <v>2400</v>
      </c>
      <c r="S20" s="31">
        <v>60000</v>
      </c>
      <c r="T20" s="31"/>
      <c r="U20" s="31"/>
      <c r="X20"/>
      <c r="Y20"/>
      <c r="Z20"/>
      <c r="AA20"/>
      <c r="AB20"/>
      <c r="AC20"/>
    </row>
    <row r="21" spans="1:29" s="13" customFormat="1" ht="16.5" customHeight="1" x14ac:dyDescent="0.45">
      <c r="A21" s="257">
        <v>20</v>
      </c>
      <c r="B21" s="257">
        <v>3</v>
      </c>
      <c r="C21" s="267">
        <v>2</v>
      </c>
      <c r="D21" s="268">
        <v>3</v>
      </c>
      <c r="E21" s="267">
        <v>24</v>
      </c>
      <c r="F21" s="125" t="s">
        <v>364</v>
      </c>
      <c r="G21" s="114" t="s">
        <v>14</v>
      </c>
      <c r="H21" s="125" t="s">
        <v>810</v>
      </c>
      <c r="I21" s="274" t="s">
        <v>801</v>
      </c>
      <c r="J21" s="275">
        <v>57600</v>
      </c>
      <c r="K21" s="276"/>
      <c r="L21" s="277">
        <v>2400</v>
      </c>
      <c r="M21" s="273"/>
      <c r="N21"/>
      <c r="O21" s="232">
        <f>SUM(L19:L32)</f>
        <v>31650</v>
      </c>
      <c r="P21"/>
      <c r="Q21" s="13">
        <f>Q20*14</f>
        <v>806400</v>
      </c>
      <c r="R21" s="13">
        <f t="shared" ref="R21:S21" si="5">R20*14</f>
        <v>33600</v>
      </c>
      <c r="S21" s="13">
        <f t="shared" si="5"/>
        <v>840000</v>
      </c>
      <c r="X21"/>
      <c r="Y21"/>
      <c r="Z21"/>
      <c r="AA21"/>
      <c r="AB21"/>
      <c r="AC21"/>
    </row>
    <row r="22" spans="1:29" s="13" customFormat="1" ht="16.5" customHeight="1" x14ac:dyDescent="0.45">
      <c r="A22" s="257">
        <v>21</v>
      </c>
      <c r="B22" s="257">
        <v>4</v>
      </c>
      <c r="C22" s="267">
        <v>2</v>
      </c>
      <c r="D22" s="268">
        <v>3</v>
      </c>
      <c r="E22" s="267">
        <v>21</v>
      </c>
      <c r="F22" s="125" t="s">
        <v>811</v>
      </c>
      <c r="G22" s="114" t="s">
        <v>14</v>
      </c>
      <c r="H22" s="125" t="s">
        <v>810</v>
      </c>
      <c r="I22" s="269" t="s">
        <v>812</v>
      </c>
      <c r="J22" s="270">
        <v>39600</v>
      </c>
      <c r="K22" s="271"/>
      <c r="L22" s="272">
        <v>1650</v>
      </c>
      <c r="M22" s="273"/>
      <c r="N22"/>
      <c r="O22" s="232">
        <f>SUM(O20:O21)</f>
        <v>791250</v>
      </c>
      <c r="P22"/>
      <c r="Q22">
        <v>-46800</v>
      </c>
      <c r="R22">
        <v>-1950</v>
      </c>
      <c r="S22">
        <v>-48750</v>
      </c>
      <c r="T22" s="31"/>
      <c r="U22" s="31"/>
      <c r="X22"/>
      <c r="Y22"/>
      <c r="Z22"/>
      <c r="AA22"/>
      <c r="AB22"/>
      <c r="AC22"/>
    </row>
    <row r="23" spans="1:29" s="13" customFormat="1" ht="16.5" customHeight="1" x14ac:dyDescent="0.45">
      <c r="A23" s="257">
        <v>22</v>
      </c>
      <c r="B23" s="257">
        <v>5</v>
      </c>
      <c r="C23" s="267">
        <v>2</v>
      </c>
      <c r="D23" s="268">
        <v>5</v>
      </c>
      <c r="E23" s="267">
        <v>3</v>
      </c>
      <c r="F23" s="125" t="s">
        <v>607</v>
      </c>
      <c r="G23" s="114" t="s">
        <v>14</v>
      </c>
      <c r="H23" s="125" t="s">
        <v>810</v>
      </c>
      <c r="I23" s="274" t="s">
        <v>801</v>
      </c>
      <c r="J23" s="275">
        <v>57600</v>
      </c>
      <c r="K23" s="276"/>
      <c r="L23" s="277">
        <v>2400</v>
      </c>
      <c r="M23" s="273"/>
      <c r="N23"/>
      <c r="O23"/>
      <c r="P23"/>
      <c r="Q23" s="232">
        <f>SUM(Q21:Q22)</f>
        <v>759600</v>
      </c>
      <c r="R23" s="232">
        <f t="shared" ref="R23:S23" si="6">SUM(R21:R22)</f>
        <v>31650</v>
      </c>
      <c r="S23" s="232">
        <f t="shared" si="6"/>
        <v>791250</v>
      </c>
      <c r="T23" s="31"/>
      <c r="U23" s="31"/>
      <c r="X23"/>
      <c r="Y23"/>
      <c r="Z23"/>
      <c r="AA23"/>
      <c r="AB23"/>
      <c r="AC23"/>
    </row>
    <row r="24" spans="1:29" s="13" customFormat="1" ht="16.5" customHeight="1" x14ac:dyDescent="0.45">
      <c r="A24" s="257">
        <v>23</v>
      </c>
      <c r="B24" s="257">
        <v>6</v>
      </c>
      <c r="C24" s="267">
        <v>2</v>
      </c>
      <c r="D24" s="268">
        <v>6</v>
      </c>
      <c r="E24" s="267">
        <v>11</v>
      </c>
      <c r="F24" s="125" t="s">
        <v>40</v>
      </c>
      <c r="G24" s="114" t="s">
        <v>14</v>
      </c>
      <c r="H24" s="125" t="s">
        <v>810</v>
      </c>
      <c r="I24" s="274" t="s">
        <v>801</v>
      </c>
      <c r="J24" s="275">
        <v>57600</v>
      </c>
      <c r="K24" s="276"/>
      <c r="L24" s="277">
        <v>2400</v>
      </c>
      <c r="M24" s="273"/>
      <c r="N24"/>
      <c r="O24"/>
      <c r="P24"/>
      <c r="Q24"/>
      <c r="R24"/>
      <c r="S24"/>
      <c r="T24"/>
      <c r="U24" s="31">
        <v>3600</v>
      </c>
      <c r="V24" s="13">
        <v>150</v>
      </c>
      <c r="X24"/>
      <c r="Y24"/>
      <c r="Z24"/>
      <c r="AA24"/>
      <c r="AB24"/>
      <c r="AC24"/>
    </row>
    <row r="25" spans="1:29" s="13" customFormat="1" ht="16.5" customHeight="1" x14ac:dyDescent="0.45">
      <c r="A25" s="257">
        <v>24</v>
      </c>
      <c r="B25" s="257">
        <v>7</v>
      </c>
      <c r="C25" s="267">
        <v>2</v>
      </c>
      <c r="D25" s="268">
        <v>6</v>
      </c>
      <c r="E25" s="267">
        <v>12</v>
      </c>
      <c r="F25" s="125" t="s">
        <v>813</v>
      </c>
      <c r="G25" s="114" t="s">
        <v>14</v>
      </c>
      <c r="H25" s="125" t="s">
        <v>810</v>
      </c>
      <c r="I25" s="274" t="s">
        <v>801</v>
      </c>
      <c r="J25" s="275">
        <v>57600</v>
      </c>
      <c r="K25" s="276"/>
      <c r="L25" s="277">
        <v>2400</v>
      </c>
      <c r="M25" s="273"/>
      <c r="N25"/>
      <c r="O25"/>
      <c r="P25"/>
      <c r="Q25" s="13">
        <v>54000</v>
      </c>
      <c r="R25" s="31">
        <v>2250</v>
      </c>
      <c r="S25" s="31">
        <v>56250</v>
      </c>
      <c r="T25" s="31"/>
      <c r="U25" s="31">
        <f>U24*13</f>
        <v>46800</v>
      </c>
      <c r="V25" s="31">
        <f>V24*13</f>
        <v>1950</v>
      </c>
      <c r="X25"/>
      <c r="Y25"/>
      <c r="Z25"/>
      <c r="AA25"/>
      <c r="AB25"/>
      <c r="AC25"/>
    </row>
    <row r="26" spans="1:29" s="13" customFormat="1" ht="16.5" customHeight="1" x14ac:dyDescent="0.45">
      <c r="A26" s="257">
        <v>25</v>
      </c>
      <c r="B26" s="257">
        <v>8</v>
      </c>
      <c r="C26" s="267">
        <v>2</v>
      </c>
      <c r="D26" s="268">
        <v>7</v>
      </c>
      <c r="E26" s="267">
        <v>1</v>
      </c>
      <c r="F26" s="125" t="s">
        <v>41</v>
      </c>
      <c r="G26" s="114" t="s">
        <v>14</v>
      </c>
      <c r="H26" s="125" t="s">
        <v>810</v>
      </c>
      <c r="I26" s="274" t="s">
        <v>801</v>
      </c>
      <c r="J26" s="275">
        <v>57600</v>
      </c>
      <c r="K26" s="276"/>
      <c r="L26" s="277">
        <v>2400</v>
      </c>
      <c r="M26" s="273"/>
      <c r="N26"/>
      <c r="O26"/>
      <c r="P26"/>
      <c r="Q26" s="13">
        <f>Q25*13</f>
        <v>702000</v>
      </c>
      <c r="R26" s="13">
        <f t="shared" ref="R26:S26" si="7">R25*13</f>
        <v>29250</v>
      </c>
      <c r="S26" s="13">
        <f t="shared" si="7"/>
        <v>731250</v>
      </c>
      <c r="T26" s="31"/>
      <c r="U26" s="31"/>
      <c r="X26"/>
      <c r="Y26"/>
      <c r="Z26"/>
      <c r="AA26"/>
      <c r="AB26"/>
      <c r="AC26"/>
    </row>
    <row r="27" spans="1:29" s="13" customFormat="1" ht="16.5" customHeight="1" x14ac:dyDescent="0.45">
      <c r="A27" s="257">
        <v>26</v>
      </c>
      <c r="B27" s="257">
        <v>9</v>
      </c>
      <c r="C27" s="267">
        <v>2</v>
      </c>
      <c r="D27" s="268">
        <v>7</v>
      </c>
      <c r="E27" s="267">
        <v>4</v>
      </c>
      <c r="F27" s="125" t="s">
        <v>121</v>
      </c>
      <c r="G27" s="114" t="s">
        <v>14</v>
      </c>
      <c r="H27" s="125" t="s">
        <v>810</v>
      </c>
      <c r="I27" s="274" t="s">
        <v>801</v>
      </c>
      <c r="J27" s="275">
        <v>57600</v>
      </c>
      <c r="K27" s="276"/>
      <c r="L27" s="277">
        <v>2400</v>
      </c>
      <c r="M27" s="273"/>
      <c r="N27"/>
      <c r="O27"/>
      <c r="P27"/>
      <c r="Q27"/>
      <c r="R27"/>
      <c r="S27"/>
      <c r="T27" s="31"/>
      <c r="U27" s="31"/>
      <c r="X27"/>
      <c r="Y27"/>
      <c r="Z27"/>
      <c r="AA27"/>
      <c r="AB27"/>
      <c r="AC27"/>
    </row>
    <row r="28" spans="1:29" s="13" customFormat="1" ht="16.5" customHeight="1" x14ac:dyDescent="0.45">
      <c r="A28" s="257">
        <v>27</v>
      </c>
      <c r="B28" s="257">
        <v>10</v>
      </c>
      <c r="C28" s="267">
        <v>2</v>
      </c>
      <c r="D28" s="268">
        <v>7</v>
      </c>
      <c r="E28" s="267">
        <v>12</v>
      </c>
      <c r="F28" s="125" t="s">
        <v>42</v>
      </c>
      <c r="G28" s="114" t="s">
        <v>14</v>
      </c>
      <c r="H28" s="125" t="s">
        <v>810</v>
      </c>
      <c r="I28" s="274" t="s">
        <v>801</v>
      </c>
      <c r="J28" s="275">
        <v>57600</v>
      </c>
      <c r="K28" s="276"/>
      <c r="L28" s="277">
        <v>2400</v>
      </c>
      <c r="M28" s="273"/>
      <c r="N28"/>
      <c r="O28"/>
      <c r="P28"/>
      <c r="Q28" s="13">
        <v>54000</v>
      </c>
      <c r="R28" s="31">
        <v>2250</v>
      </c>
      <c r="S28" s="31">
        <v>56250</v>
      </c>
      <c r="T28" s="31"/>
      <c r="U28" s="31"/>
      <c r="X28"/>
      <c r="Y28"/>
      <c r="Z28"/>
      <c r="AA28"/>
      <c r="AB28"/>
      <c r="AC28"/>
    </row>
    <row r="29" spans="1:29" s="13" customFormat="1" ht="16.5" customHeight="1" x14ac:dyDescent="0.45">
      <c r="A29" s="257">
        <v>28</v>
      </c>
      <c r="B29" s="257">
        <v>11</v>
      </c>
      <c r="C29" s="267">
        <v>2</v>
      </c>
      <c r="D29" s="268">
        <v>7</v>
      </c>
      <c r="E29" s="267">
        <v>24</v>
      </c>
      <c r="F29" s="125" t="s">
        <v>814</v>
      </c>
      <c r="G29" s="114" t="s">
        <v>14</v>
      </c>
      <c r="H29" s="125" t="s">
        <v>810</v>
      </c>
      <c r="I29" s="274" t="s">
        <v>801</v>
      </c>
      <c r="J29" s="275">
        <v>57600</v>
      </c>
      <c r="K29" s="276"/>
      <c r="L29" s="277">
        <v>2400</v>
      </c>
      <c r="M29" s="273"/>
      <c r="N29"/>
      <c r="O29"/>
      <c r="P29"/>
      <c r="Q29" s="13">
        <f>Q28*13</f>
        <v>702000</v>
      </c>
      <c r="R29" s="13">
        <f t="shared" ref="R29:S29" si="8">R28*13</f>
        <v>29250</v>
      </c>
      <c r="S29" s="13">
        <f t="shared" si="8"/>
        <v>731250</v>
      </c>
      <c r="T29" s="31"/>
      <c r="U29" s="31"/>
      <c r="X29"/>
      <c r="Y29"/>
      <c r="Z29"/>
      <c r="AA29"/>
      <c r="AB29"/>
      <c r="AC29"/>
    </row>
    <row r="30" spans="1:29" s="13" customFormat="1" ht="16.5" customHeight="1" x14ac:dyDescent="0.45">
      <c r="A30" s="257">
        <v>29</v>
      </c>
      <c r="B30" s="257">
        <v>12</v>
      </c>
      <c r="C30" s="267">
        <v>2</v>
      </c>
      <c r="D30" s="268">
        <v>10</v>
      </c>
      <c r="E30" s="267">
        <v>5</v>
      </c>
      <c r="F30" s="125" t="s">
        <v>72</v>
      </c>
      <c r="G30" s="114" t="s">
        <v>14</v>
      </c>
      <c r="H30" s="125" t="s">
        <v>810</v>
      </c>
      <c r="I30" s="269" t="s">
        <v>808</v>
      </c>
      <c r="J30" s="270">
        <v>43200</v>
      </c>
      <c r="K30" s="271"/>
      <c r="L30" s="272">
        <v>1800</v>
      </c>
      <c r="M30" s="273"/>
      <c r="N30"/>
      <c r="O30"/>
      <c r="P30"/>
      <c r="Q30"/>
      <c r="R30"/>
      <c r="S30"/>
      <c r="T30" s="31"/>
      <c r="U30" s="31"/>
      <c r="X30"/>
      <c r="Y30"/>
      <c r="Z30"/>
      <c r="AA30"/>
      <c r="AB30"/>
      <c r="AC30"/>
    </row>
    <row r="31" spans="1:29" s="31" customFormat="1" ht="16.5" customHeight="1" x14ac:dyDescent="0.45">
      <c r="A31" s="257">
        <v>30</v>
      </c>
      <c r="B31" s="257">
        <v>13</v>
      </c>
      <c r="C31" s="267">
        <v>2</v>
      </c>
      <c r="D31" s="268">
        <v>10</v>
      </c>
      <c r="E31" s="267">
        <v>19</v>
      </c>
      <c r="F31" s="125" t="s">
        <v>44</v>
      </c>
      <c r="G31" s="114" t="s">
        <v>14</v>
      </c>
      <c r="H31" s="125" t="s">
        <v>810</v>
      </c>
      <c r="I31" s="274" t="s">
        <v>801</v>
      </c>
      <c r="J31" s="275">
        <v>57600</v>
      </c>
      <c r="K31" s="276"/>
      <c r="L31" s="277">
        <v>2400</v>
      </c>
      <c r="M31" s="273"/>
      <c r="N31"/>
      <c r="O31"/>
      <c r="P31"/>
      <c r="Q31" s="13">
        <f>SUM(Q23,Q27,Q26,Q29)</f>
        <v>2163600</v>
      </c>
      <c r="R31" s="13">
        <f t="shared" ref="R31:S31" si="9">SUM(R23,R27,R26,R29)</f>
        <v>90150</v>
      </c>
      <c r="S31" s="13">
        <f t="shared" si="9"/>
        <v>2253750</v>
      </c>
      <c r="V31" s="13"/>
      <c r="W31" s="13"/>
      <c r="X31"/>
      <c r="Y31"/>
      <c r="Z31"/>
      <c r="AA31"/>
      <c r="AB31"/>
      <c r="AC31"/>
    </row>
    <row r="32" spans="1:29" s="31" customFormat="1" ht="16.5" customHeight="1" x14ac:dyDescent="0.45">
      <c r="A32" s="257">
        <v>31</v>
      </c>
      <c r="B32" s="257">
        <v>14</v>
      </c>
      <c r="C32" s="267">
        <v>2</v>
      </c>
      <c r="D32" s="268">
        <v>11</v>
      </c>
      <c r="E32" s="267">
        <v>15</v>
      </c>
      <c r="F32" s="125" t="s">
        <v>197</v>
      </c>
      <c r="G32" s="114" t="s">
        <v>14</v>
      </c>
      <c r="H32" s="125" t="s">
        <v>810</v>
      </c>
      <c r="I32" s="269" t="s">
        <v>808</v>
      </c>
      <c r="J32" s="270">
        <v>43200</v>
      </c>
      <c r="K32" s="271"/>
      <c r="L32" s="272">
        <v>1800</v>
      </c>
      <c r="M32" s="273"/>
      <c r="N32"/>
      <c r="O32"/>
      <c r="P32"/>
      <c r="Q32" s="13"/>
      <c r="V32" s="13"/>
      <c r="W32" s="13"/>
      <c r="X32"/>
      <c r="Y32"/>
      <c r="Z32"/>
      <c r="AA32"/>
      <c r="AB32"/>
      <c r="AC32"/>
    </row>
    <row r="33" spans="1:29" s="31" customFormat="1" ht="16.5" customHeight="1" x14ac:dyDescent="0.45">
      <c r="A33" s="257">
        <v>32</v>
      </c>
      <c r="B33" s="258">
        <v>1</v>
      </c>
      <c r="C33" s="259">
        <v>2</v>
      </c>
      <c r="D33" s="260">
        <v>1</v>
      </c>
      <c r="E33" s="259">
        <v>5</v>
      </c>
      <c r="F33" s="261" t="s">
        <v>159</v>
      </c>
      <c r="G33" s="178" t="s">
        <v>14</v>
      </c>
      <c r="H33" s="261" t="s">
        <v>815</v>
      </c>
      <c r="I33" s="262" t="s">
        <v>801</v>
      </c>
      <c r="J33" s="263">
        <v>57600</v>
      </c>
      <c r="K33" s="264"/>
      <c r="L33" s="265">
        <v>2400</v>
      </c>
      <c r="M33" s="266">
        <f>SUM(J33:K47)</f>
        <v>795600</v>
      </c>
      <c r="N33"/>
      <c r="O33"/>
      <c r="P33"/>
      <c r="Q33" s="13"/>
      <c r="R33" s="13"/>
      <c r="S33" s="13"/>
      <c r="T33" s="13">
        <f t="shared" ref="T33" si="10">SUM(T30:T32)</f>
        <v>0</v>
      </c>
      <c r="V33" s="13"/>
      <c r="W33" s="13"/>
      <c r="X33"/>
      <c r="Y33"/>
      <c r="Z33"/>
      <c r="AA33"/>
      <c r="AB33"/>
      <c r="AC33"/>
    </row>
    <row r="34" spans="1:29" s="31" customFormat="1" ht="16.5" customHeight="1" x14ac:dyDescent="0.45">
      <c r="A34" s="257">
        <v>33</v>
      </c>
      <c r="B34" s="257">
        <v>2</v>
      </c>
      <c r="C34" s="267">
        <v>2</v>
      </c>
      <c r="D34" s="268">
        <v>2</v>
      </c>
      <c r="E34" s="267">
        <v>3</v>
      </c>
      <c r="F34" s="125" t="s">
        <v>536</v>
      </c>
      <c r="G34" s="114" t="s">
        <v>14</v>
      </c>
      <c r="H34" s="125" t="s">
        <v>815</v>
      </c>
      <c r="I34" s="274" t="s">
        <v>801</v>
      </c>
      <c r="J34" s="275">
        <v>57600</v>
      </c>
      <c r="K34" s="276"/>
      <c r="L34" s="277">
        <v>2400</v>
      </c>
      <c r="M34" s="273"/>
      <c r="N34"/>
      <c r="O34" s="232">
        <f>SUM(J33:K47)</f>
        <v>795600</v>
      </c>
      <c r="P34"/>
      <c r="Q34" s="13">
        <v>57600</v>
      </c>
      <c r="R34" s="31">
        <v>2400</v>
      </c>
      <c r="S34" s="31">
        <v>60000</v>
      </c>
      <c r="V34" s="13"/>
      <c r="W34" s="13"/>
      <c r="X34"/>
      <c r="Y34"/>
      <c r="Z34"/>
      <c r="AA34"/>
      <c r="AB34"/>
      <c r="AC34"/>
    </row>
    <row r="35" spans="1:29" s="31" customFormat="1" ht="16.5" customHeight="1" x14ac:dyDescent="0.45">
      <c r="A35" s="257">
        <v>34</v>
      </c>
      <c r="B35" s="257">
        <v>3</v>
      </c>
      <c r="C35" s="267">
        <v>2</v>
      </c>
      <c r="D35" s="268">
        <v>5</v>
      </c>
      <c r="E35" s="267">
        <v>14</v>
      </c>
      <c r="F35" s="125" t="s">
        <v>398</v>
      </c>
      <c r="G35" s="114" t="s">
        <v>14</v>
      </c>
      <c r="H35" s="125" t="s">
        <v>815</v>
      </c>
      <c r="I35" s="274" t="s">
        <v>801</v>
      </c>
      <c r="J35" s="275">
        <v>57600</v>
      </c>
      <c r="K35" s="276"/>
      <c r="L35" s="277">
        <v>2400</v>
      </c>
      <c r="M35" s="273"/>
      <c r="N35"/>
      <c r="O35" s="232">
        <f>SUM(L33:L47)</f>
        <v>33150</v>
      </c>
      <c r="P35"/>
      <c r="Q35" s="13">
        <f>Q34*15</f>
        <v>864000</v>
      </c>
      <c r="R35" s="13">
        <f t="shared" ref="R35:S35" si="11">R34*15</f>
        <v>36000</v>
      </c>
      <c r="S35" s="13">
        <f t="shared" si="11"/>
        <v>900000</v>
      </c>
      <c r="V35" s="13"/>
      <c r="W35" s="13"/>
      <c r="X35"/>
      <c r="Y35"/>
      <c r="Z35"/>
      <c r="AA35"/>
      <c r="AB35"/>
      <c r="AC35"/>
    </row>
    <row r="36" spans="1:29" s="31" customFormat="1" ht="16.5" customHeight="1" x14ac:dyDescent="0.45">
      <c r="A36" s="257">
        <v>35</v>
      </c>
      <c r="B36" s="257">
        <v>4</v>
      </c>
      <c r="C36" s="267">
        <v>2</v>
      </c>
      <c r="D36" s="268">
        <v>5</v>
      </c>
      <c r="E36" s="267">
        <v>17</v>
      </c>
      <c r="F36" s="125" t="s">
        <v>426</v>
      </c>
      <c r="G36" s="114" t="s">
        <v>14</v>
      </c>
      <c r="H36" s="125" t="s">
        <v>815</v>
      </c>
      <c r="I36" s="274" t="s">
        <v>801</v>
      </c>
      <c r="J36" s="275">
        <v>57600</v>
      </c>
      <c r="K36" s="276"/>
      <c r="L36" s="277">
        <v>2400</v>
      </c>
      <c r="M36" s="273"/>
      <c r="N36"/>
      <c r="O36" s="232">
        <f>SUM(O34:O35)</f>
        <v>828750</v>
      </c>
      <c r="P36"/>
      <c r="Q36">
        <v>-68400</v>
      </c>
      <c r="R36">
        <v>-2850</v>
      </c>
      <c r="S36">
        <v>-71250</v>
      </c>
      <c r="V36" s="13"/>
      <c r="W36" s="13"/>
      <c r="X36"/>
      <c r="Y36"/>
      <c r="Z36"/>
      <c r="AA36"/>
      <c r="AB36"/>
      <c r="AC36"/>
    </row>
    <row r="37" spans="1:29" s="31" customFormat="1" ht="16.5" customHeight="1" x14ac:dyDescent="0.45">
      <c r="A37" s="257">
        <v>36</v>
      </c>
      <c r="B37" s="257">
        <v>5</v>
      </c>
      <c r="C37" s="267">
        <v>2</v>
      </c>
      <c r="D37" s="268">
        <v>9</v>
      </c>
      <c r="E37" s="267">
        <v>2</v>
      </c>
      <c r="F37" s="125" t="s">
        <v>29</v>
      </c>
      <c r="G37" s="114" t="s">
        <v>14</v>
      </c>
      <c r="H37" s="125" t="s">
        <v>815</v>
      </c>
      <c r="I37" s="274" t="s">
        <v>801</v>
      </c>
      <c r="J37" s="275">
        <v>57600</v>
      </c>
      <c r="K37" s="276"/>
      <c r="L37" s="277">
        <v>2400</v>
      </c>
      <c r="M37" s="273"/>
      <c r="N37"/>
      <c r="O37"/>
      <c r="P37"/>
      <c r="Q37" s="13">
        <f>SUM(Q35:Q36)</f>
        <v>795600</v>
      </c>
      <c r="R37" s="13">
        <f t="shared" ref="R37:S37" si="12">SUM(R35:R36)</f>
        <v>33150</v>
      </c>
      <c r="S37" s="13">
        <f t="shared" si="12"/>
        <v>828750</v>
      </c>
      <c r="V37" s="13"/>
      <c r="W37" s="13"/>
      <c r="X37"/>
      <c r="Y37"/>
      <c r="Z37"/>
      <c r="AA37"/>
      <c r="AB37"/>
      <c r="AC37"/>
    </row>
    <row r="38" spans="1:29" s="31" customFormat="1" ht="16.5" customHeight="1" x14ac:dyDescent="0.45">
      <c r="A38" s="257">
        <v>37</v>
      </c>
      <c r="B38" s="257">
        <v>6</v>
      </c>
      <c r="C38" s="267">
        <v>2</v>
      </c>
      <c r="D38" s="268">
        <v>9</v>
      </c>
      <c r="E38" s="267">
        <v>7</v>
      </c>
      <c r="F38" s="125" t="s">
        <v>400</v>
      </c>
      <c r="G38" s="114" t="s">
        <v>14</v>
      </c>
      <c r="H38" s="125" t="s">
        <v>816</v>
      </c>
      <c r="I38" s="274" t="s">
        <v>801</v>
      </c>
      <c r="J38" s="275">
        <v>57600</v>
      </c>
      <c r="K38" s="276"/>
      <c r="L38" s="277">
        <v>2400</v>
      </c>
      <c r="M38" s="273"/>
      <c r="N38"/>
      <c r="O38"/>
      <c r="P38"/>
      <c r="Q38" s="13"/>
      <c r="V38" s="13"/>
      <c r="W38" s="13"/>
      <c r="X38"/>
      <c r="Y38"/>
      <c r="Z38"/>
      <c r="AA38"/>
      <c r="AB38"/>
      <c r="AC38"/>
    </row>
    <row r="39" spans="1:29" s="31" customFormat="1" ht="16.5" customHeight="1" x14ac:dyDescent="0.45">
      <c r="A39" s="257">
        <v>38</v>
      </c>
      <c r="B39" s="257">
        <v>7</v>
      </c>
      <c r="C39" s="267">
        <v>2</v>
      </c>
      <c r="D39" s="268">
        <v>9</v>
      </c>
      <c r="E39" s="267">
        <v>22</v>
      </c>
      <c r="F39" s="125" t="s">
        <v>474</v>
      </c>
      <c r="G39" s="114" t="s">
        <v>14</v>
      </c>
      <c r="H39" s="125" t="s">
        <v>815</v>
      </c>
      <c r="I39" s="274" t="s">
        <v>801</v>
      </c>
      <c r="J39" s="275">
        <v>57600</v>
      </c>
      <c r="K39" s="276"/>
      <c r="L39" s="277">
        <v>2400</v>
      </c>
      <c r="M39" s="273"/>
      <c r="N39"/>
      <c r="O39"/>
      <c r="P39"/>
      <c r="Q39" s="13">
        <v>50400</v>
      </c>
      <c r="R39" s="31">
        <v>2100</v>
      </c>
      <c r="S39" s="31">
        <v>52500</v>
      </c>
      <c r="V39" s="13"/>
      <c r="W39" s="13"/>
      <c r="X39"/>
      <c r="Y39"/>
      <c r="Z39"/>
      <c r="AA39"/>
      <c r="AB39"/>
      <c r="AC39"/>
    </row>
    <row r="40" spans="1:29" s="31" customFormat="1" ht="16.5" customHeight="1" x14ac:dyDescent="0.45">
      <c r="A40" s="257">
        <v>39</v>
      </c>
      <c r="B40" s="257">
        <v>8</v>
      </c>
      <c r="C40" s="267">
        <v>2</v>
      </c>
      <c r="D40" s="268">
        <v>10</v>
      </c>
      <c r="E40" s="267">
        <v>21</v>
      </c>
      <c r="F40" s="125" t="s">
        <v>149</v>
      </c>
      <c r="G40" s="114" t="s">
        <v>14</v>
      </c>
      <c r="H40" s="125" t="s">
        <v>815</v>
      </c>
      <c r="I40" s="274" t="s">
        <v>801</v>
      </c>
      <c r="J40" s="275">
        <v>57600</v>
      </c>
      <c r="K40" s="276"/>
      <c r="L40" s="277">
        <v>2400</v>
      </c>
      <c r="M40" s="273"/>
      <c r="N40"/>
      <c r="O40"/>
      <c r="P40"/>
      <c r="Q40" s="13">
        <f>Q39*15</f>
        <v>756000</v>
      </c>
      <c r="R40" s="13">
        <f t="shared" ref="R40:S40" si="13">R39*15</f>
        <v>31500</v>
      </c>
      <c r="S40" s="13">
        <f t="shared" si="13"/>
        <v>787500</v>
      </c>
      <c r="V40" s="13"/>
      <c r="W40" s="13"/>
      <c r="X40"/>
      <c r="Y40"/>
      <c r="Z40"/>
      <c r="AA40"/>
      <c r="AB40"/>
      <c r="AC40"/>
    </row>
    <row r="41" spans="1:29" s="31" customFormat="1" ht="16.5" customHeight="1" x14ac:dyDescent="0.45">
      <c r="A41" s="257">
        <v>40</v>
      </c>
      <c r="B41" s="257">
        <v>9</v>
      </c>
      <c r="C41" s="267">
        <v>2</v>
      </c>
      <c r="D41" s="268">
        <v>10</v>
      </c>
      <c r="E41" s="267">
        <v>24</v>
      </c>
      <c r="F41" s="125" t="s">
        <v>401</v>
      </c>
      <c r="G41" s="114" t="s">
        <v>14</v>
      </c>
      <c r="H41" s="125" t="s">
        <v>815</v>
      </c>
      <c r="I41" s="269" t="s">
        <v>808</v>
      </c>
      <c r="J41" s="270">
        <v>43200</v>
      </c>
      <c r="K41" s="271"/>
      <c r="L41" s="272">
        <v>1800</v>
      </c>
      <c r="M41" s="273"/>
      <c r="N41"/>
      <c r="O41"/>
      <c r="P41"/>
      <c r="Q41" s="13"/>
      <c r="V41" s="13"/>
      <c r="W41" s="13"/>
      <c r="X41"/>
      <c r="Y41"/>
      <c r="Z41"/>
      <c r="AA41"/>
      <c r="AB41"/>
      <c r="AC41"/>
    </row>
    <row r="42" spans="1:29" s="31" customFormat="1" ht="16.5" customHeight="1" x14ac:dyDescent="0.45">
      <c r="A42" s="257">
        <v>41</v>
      </c>
      <c r="B42" s="257">
        <v>10</v>
      </c>
      <c r="C42" s="267">
        <v>2</v>
      </c>
      <c r="D42" s="268">
        <v>11</v>
      </c>
      <c r="E42" s="267">
        <v>14</v>
      </c>
      <c r="F42" s="125" t="s">
        <v>696</v>
      </c>
      <c r="G42" s="114" t="s">
        <v>14</v>
      </c>
      <c r="H42" s="125" t="s">
        <v>816</v>
      </c>
      <c r="I42" s="274" t="s">
        <v>801</v>
      </c>
      <c r="J42" s="275">
        <v>57600</v>
      </c>
      <c r="K42" s="276"/>
      <c r="L42" s="277">
        <v>2400</v>
      </c>
      <c r="M42" s="273"/>
      <c r="N42"/>
      <c r="O42"/>
      <c r="P42"/>
      <c r="Q42" s="13">
        <v>57600</v>
      </c>
      <c r="R42" s="31">
        <v>2400</v>
      </c>
      <c r="S42" s="31">
        <v>60000</v>
      </c>
      <c r="V42" s="13"/>
      <c r="W42" s="13"/>
      <c r="X42"/>
      <c r="Y42"/>
      <c r="Z42"/>
      <c r="AA42"/>
      <c r="AB42"/>
      <c r="AC42"/>
    </row>
    <row r="43" spans="1:29" s="31" customFormat="1" ht="16.5" customHeight="1" x14ac:dyDescent="0.45">
      <c r="A43" s="257">
        <v>42</v>
      </c>
      <c r="B43" s="257">
        <v>11</v>
      </c>
      <c r="C43" s="267">
        <v>3</v>
      </c>
      <c r="D43" s="268">
        <v>3</v>
      </c>
      <c r="E43" s="267">
        <v>10</v>
      </c>
      <c r="F43" s="125" t="s">
        <v>404</v>
      </c>
      <c r="G43" s="114" t="s">
        <v>14</v>
      </c>
      <c r="H43" s="125" t="s">
        <v>815</v>
      </c>
      <c r="I43" s="269" t="s">
        <v>812</v>
      </c>
      <c r="J43" s="270">
        <v>39600</v>
      </c>
      <c r="K43" s="271"/>
      <c r="L43" s="272">
        <v>1650</v>
      </c>
      <c r="M43" s="273"/>
      <c r="N43"/>
      <c r="O43"/>
      <c r="P43"/>
      <c r="Q43" s="13">
        <f>Q42*15</f>
        <v>864000</v>
      </c>
      <c r="R43" s="13">
        <f t="shared" ref="R43:S43" si="14">R42*15</f>
        <v>36000</v>
      </c>
      <c r="S43" s="13">
        <f t="shared" si="14"/>
        <v>900000</v>
      </c>
      <c r="V43" s="13"/>
      <c r="W43" s="13"/>
      <c r="X43"/>
      <c r="Y43"/>
      <c r="Z43"/>
      <c r="AA43"/>
      <c r="AB43"/>
      <c r="AC43"/>
    </row>
    <row r="44" spans="1:29" s="31" customFormat="1" ht="16.5" customHeight="1" x14ac:dyDescent="0.45">
      <c r="A44" s="257">
        <v>43</v>
      </c>
      <c r="B44" s="257">
        <v>12</v>
      </c>
      <c r="C44" s="267">
        <v>3</v>
      </c>
      <c r="D44" s="268">
        <v>6</v>
      </c>
      <c r="E44" s="267">
        <v>21</v>
      </c>
      <c r="F44" s="125" t="s">
        <v>440</v>
      </c>
      <c r="G44" s="114" t="s">
        <v>14</v>
      </c>
      <c r="H44" s="125" t="s">
        <v>815</v>
      </c>
      <c r="I44" s="274" t="s">
        <v>801</v>
      </c>
      <c r="J44" s="275">
        <v>57600</v>
      </c>
      <c r="K44" s="276"/>
      <c r="L44" s="277">
        <v>2400</v>
      </c>
      <c r="M44" s="273"/>
      <c r="N44"/>
      <c r="O44"/>
      <c r="P44"/>
      <c r="Q44" s="13"/>
      <c r="V44" s="13"/>
      <c r="W44" s="13"/>
      <c r="X44"/>
      <c r="Y44"/>
      <c r="Z44"/>
      <c r="AA44"/>
      <c r="AB44"/>
      <c r="AC44"/>
    </row>
    <row r="45" spans="1:29" s="31" customFormat="1" ht="16.5" customHeight="1" x14ac:dyDescent="0.45">
      <c r="A45" s="257">
        <v>44</v>
      </c>
      <c r="B45" s="257">
        <v>13</v>
      </c>
      <c r="C45" s="267">
        <v>3</v>
      </c>
      <c r="D45" s="268">
        <v>7</v>
      </c>
      <c r="E45" s="267">
        <v>15</v>
      </c>
      <c r="F45" s="125" t="s">
        <v>488</v>
      </c>
      <c r="G45" s="114" t="s">
        <v>14</v>
      </c>
      <c r="H45" s="125" t="s">
        <v>815</v>
      </c>
      <c r="I45" s="269" t="s">
        <v>808</v>
      </c>
      <c r="J45" s="270">
        <v>43200</v>
      </c>
      <c r="K45" s="271"/>
      <c r="L45" s="272">
        <v>1800</v>
      </c>
      <c r="M45" s="273"/>
      <c r="N45"/>
      <c r="O45"/>
      <c r="P45"/>
      <c r="Q45" s="13">
        <f>SUM(Q37,Q40,Q43)</f>
        <v>2415600</v>
      </c>
      <c r="R45" s="13">
        <f>SUM(R37,R40,R43)</f>
        <v>100650</v>
      </c>
      <c r="S45" s="13">
        <f>SUM(S37,S40,S43)</f>
        <v>2516250</v>
      </c>
      <c r="V45" s="13"/>
      <c r="W45" s="13"/>
      <c r="X45"/>
      <c r="Y45"/>
      <c r="Z45"/>
      <c r="AA45"/>
      <c r="AB45"/>
      <c r="AC45"/>
    </row>
    <row r="46" spans="1:29" s="31" customFormat="1" ht="16.5" customHeight="1" x14ac:dyDescent="0.45">
      <c r="A46" s="257">
        <v>45</v>
      </c>
      <c r="B46" s="257">
        <v>14</v>
      </c>
      <c r="C46" s="267">
        <v>3</v>
      </c>
      <c r="D46" s="268">
        <v>7</v>
      </c>
      <c r="E46" s="267">
        <v>22</v>
      </c>
      <c r="F46" s="125" t="s">
        <v>89</v>
      </c>
      <c r="G46" s="114" t="s">
        <v>14</v>
      </c>
      <c r="H46" s="125" t="s">
        <v>815</v>
      </c>
      <c r="I46" s="269" t="s">
        <v>817</v>
      </c>
      <c r="J46" s="270">
        <v>50400</v>
      </c>
      <c r="K46" s="271"/>
      <c r="L46" s="272">
        <v>2100</v>
      </c>
      <c r="M46" s="273"/>
      <c r="N46"/>
      <c r="O46"/>
      <c r="P46"/>
      <c r="Q46" s="13"/>
      <c r="R46" s="13"/>
      <c r="S46" s="13"/>
      <c r="V46" s="13"/>
      <c r="W46" s="13"/>
      <c r="X46"/>
      <c r="Y46"/>
      <c r="Z46"/>
      <c r="AA46"/>
      <c r="AB46"/>
      <c r="AC46"/>
    </row>
    <row r="47" spans="1:29" ht="16.5" customHeight="1" x14ac:dyDescent="0.45">
      <c r="A47" s="257">
        <v>46</v>
      </c>
      <c r="B47" s="257">
        <v>15</v>
      </c>
      <c r="C47" s="267">
        <v>3</v>
      </c>
      <c r="D47" s="268">
        <v>8</v>
      </c>
      <c r="E47" s="267">
        <v>18</v>
      </c>
      <c r="F47" s="125" t="s">
        <v>421</v>
      </c>
      <c r="G47" s="114" t="s">
        <v>14</v>
      </c>
      <c r="H47" s="125" t="s">
        <v>815</v>
      </c>
      <c r="I47" s="269" t="s">
        <v>808</v>
      </c>
      <c r="J47" s="270">
        <v>43200</v>
      </c>
      <c r="K47" s="271"/>
      <c r="L47" s="272">
        <v>1800</v>
      </c>
      <c r="M47" s="273"/>
    </row>
    <row r="48" spans="1:29" ht="16.5" customHeight="1" x14ac:dyDescent="0.45">
      <c r="A48" s="257">
        <v>47</v>
      </c>
      <c r="B48" s="258">
        <v>1</v>
      </c>
      <c r="C48" s="259">
        <v>2</v>
      </c>
      <c r="D48" s="260">
        <v>6</v>
      </c>
      <c r="E48" s="259">
        <v>22</v>
      </c>
      <c r="F48" s="261" t="s">
        <v>165</v>
      </c>
      <c r="G48" s="178" t="s">
        <v>14</v>
      </c>
      <c r="H48" s="261" t="s">
        <v>818</v>
      </c>
      <c r="I48" s="262" t="s">
        <v>801</v>
      </c>
      <c r="J48" s="263">
        <v>57600</v>
      </c>
      <c r="K48" s="264"/>
      <c r="L48" s="265">
        <v>2400</v>
      </c>
      <c r="M48" s="266">
        <f>SUM(J48:K58)</f>
        <v>583200</v>
      </c>
      <c r="Q48" s="13">
        <v>57600</v>
      </c>
      <c r="R48" s="31">
        <v>2400</v>
      </c>
      <c r="S48" s="31">
        <v>60000</v>
      </c>
    </row>
    <row r="49" spans="1:27" ht="16.5" customHeight="1" x14ac:dyDescent="0.45">
      <c r="A49" s="257">
        <v>48</v>
      </c>
      <c r="B49" s="257">
        <v>2</v>
      </c>
      <c r="C49" s="267">
        <v>3</v>
      </c>
      <c r="D49" s="268">
        <v>3</v>
      </c>
      <c r="E49" s="267">
        <v>5</v>
      </c>
      <c r="F49" s="125" t="s">
        <v>403</v>
      </c>
      <c r="G49" s="114" t="s">
        <v>14</v>
      </c>
      <c r="H49" s="125" t="s">
        <v>818</v>
      </c>
      <c r="I49" s="274" t="s">
        <v>801</v>
      </c>
      <c r="J49" s="275">
        <v>57600</v>
      </c>
      <c r="K49" s="276"/>
      <c r="L49" s="277">
        <v>2400</v>
      </c>
      <c r="M49" s="273"/>
      <c r="O49" s="232">
        <f>SUM(J48:K58)</f>
        <v>583200</v>
      </c>
      <c r="Q49" s="13">
        <f>Q48*11</f>
        <v>633600</v>
      </c>
      <c r="R49" s="13">
        <f t="shared" ref="R49:S49" si="15">R48*11</f>
        <v>26400</v>
      </c>
      <c r="S49" s="13">
        <f t="shared" si="15"/>
        <v>660000</v>
      </c>
    </row>
    <row r="50" spans="1:27" ht="16.5" customHeight="1" x14ac:dyDescent="0.45">
      <c r="A50" s="257">
        <v>49</v>
      </c>
      <c r="B50" s="257">
        <v>3</v>
      </c>
      <c r="C50" s="267">
        <v>3</v>
      </c>
      <c r="D50" s="268">
        <v>3</v>
      </c>
      <c r="E50" s="267">
        <v>11</v>
      </c>
      <c r="F50" s="125" t="s">
        <v>137</v>
      </c>
      <c r="G50" s="114" t="s">
        <v>14</v>
      </c>
      <c r="H50" s="125" t="s">
        <v>818</v>
      </c>
      <c r="I50" s="274" t="s">
        <v>801</v>
      </c>
      <c r="J50" s="275">
        <v>57600</v>
      </c>
      <c r="K50" s="276"/>
      <c r="L50" s="277">
        <v>2400</v>
      </c>
      <c r="M50" s="273"/>
      <c r="O50" s="232">
        <f>SUM(L48:L58)</f>
        <v>24300</v>
      </c>
      <c r="Q50" s="13">
        <v>-50400</v>
      </c>
      <c r="R50" s="31">
        <v>-2100</v>
      </c>
      <c r="S50" s="31">
        <v>-51750</v>
      </c>
    </row>
    <row r="51" spans="1:27" ht="16.5" customHeight="1" x14ac:dyDescent="0.45">
      <c r="A51" s="257">
        <v>50</v>
      </c>
      <c r="B51" s="257">
        <v>4</v>
      </c>
      <c r="C51" s="267">
        <v>3</v>
      </c>
      <c r="D51" s="268">
        <v>4</v>
      </c>
      <c r="E51" s="267">
        <v>24</v>
      </c>
      <c r="F51" s="125" t="s">
        <v>381</v>
      </c>
      <c r="G51" s="114" t="s">
        <v>14</v>
      </c>
      <c r="H51" s="125" t="s">
        <v>818</v>
      </c>
      <c r="I51" s="274" t="s">
        <v>801</v>
      </c>
      <c r="J51" s="275">
        <v>54000</v>
      </c>
      <c r="K51" s="276"/>
      <c r="L51" s="277">
        <v>2250</v>
      </c>
      <c r="M51" s="273"/>
      <c r="O51" s="232">
        <f>SUM(O49:O50)</f>
        <v>607500</v>
      </c>
      <c r="Q51" s="13">
        <f>SUM(Q49:Q50)</f>
        <v>583200</v>
      </c>
      <c r="R51" s="13">
        <f t="shared" ref="R51:S51" si="16">SUM(R49:R50)</f>
        <v>24300</v>
      </c>
      <c r="S51" s="13">
        <f t="shared" si="16"/>
        <v>608250</v>
      </c>
    </row>
    <row r="52" spans="1:27" ht="16.5" customHeight="1" x14ac:dyDescent="0.45">
      <c r="A52" s="257">
        <v>51</v>
      </c>
      <c r="B52" s="257">
        <v>5</v>
      </c>
      <c r="C52" s="267">
        <v>3</v>
      </c>
      <c r="D52" s="268">
        <v>6</v>
      </c>
      <c r="E52" s="267">
        <v>6</v>
      </c>
      <c r="F52" s="125" t="s">
        <v>366</v>
      </c>
      <c r="G52" s="114" t="s">
        <v>14</v>
      </c>
      <c r="H52" s="125" t="s">
        <v>818</v>
      </c>
      <c r="I52" s="269" t="s">
        <v>812</v>
      </c>
      <c r="J52" s="270">
        <v>39600</v>
      </c>
      <c r="K52" s="271"/>
      <c r="L52" s="272">
        <v>1650</v>
      </c>
      <c r="M52" s="273"/>
    </row>
    <row r="53" spans="1:27" ht="16.5" customHeight="1" x14ac:dyDescent="0.45">
      <c r="A53" s="257">
        <v>52</v>
      </c>
      <c r="B53" s="257">
        <v>6</v>
      </c>
      <c r="C53" s="267">
        <v>3</v>
      </c>
      <c r="D53" s="268">
        <v>9</v>
      </c>
      <c r="E53" s="267">
        <v>9</v>
      </c>
      <c r="F53" s="125" t="s">
        <v>321</v>
      </c>
      <c r="G53" s="114" t="s">
        <v>14</v>
      </c>
      <c r="H53" s="125" t="s">
        <v>818</v>
      </c>
      <c r="I53" s="274" t="s">
        <v>801</v>
      </c>
      <c r="J53" s="275">
        <v>57600</v>
      </c>
      <c r="K53" s="276"/>
      <c r="L53" s="277">
        <v>2400</v>
      </c>
      <c r="M53" s="273"/>
      <c r="Q53" s="13">
        <v>50400</v>
      </c>
      <c r="R53" s="31">
        <v>2100</v>
      </c>
      <c r="S53" s="31">
        <v>52500</v>
      </c>
    </row>
    <row r="54" spans="1:27" ht="16.5" customHeight="1" x14ac:dyDescent="0.45">
      <c r="A54" s="257">
        <v>53</v>
      </c>
      <c r="B54" s="257">
        <v>7</v>
      </c>
      <c r="C54" s="267">
        <v>4</v>
      </c>
      <c r="D54" s="268">
        <v>2</v>
      </c>
      <c r="E54" s="267">
        <v>14</v>
      </c>
      <c r="F54" s="125" t="s">
        <v>435</v>
      </c>
      <c r="G54" s="114" t="s">
        <v>14</v>
      </c>
      <c r="H54" s="125" t="s">
        <v>818</v>
      </c>
      <c r="I54" s="269" t="s">
        <v>804</v>
      </c>
      <c r="J54" s="270">
        <v>46800</v>
      </c>
      <c r="K54" s="271"/>
      <c r="L54" s="272">
        <v>1950</v>
      </c>
      <c r="M54" s="273"/>
      <c r="Q54" s="13">
        <f>Q53*11</f>
        <v>554400</v>
      </c>
      <c r="R54" s="13">
        <f t="shared" ref="R54:S54" si="17">R53*11</f>
        <v>23100</v>
      </c>
      <c r="S54" s="13">
        <f t="shared" si="17"/>
        <v>577500</v>
      </c>
    </row>
    <row r="55" spans="1:27" ht="16.5" customHeight="1" x14ac:dyDescent="0.45">
      <c r="A55" s="257">
        <v>54</v>
      </c>
      <c r="B55" s="257">
        <v>8</v>
      </c>
      <c r="C55" s="267">
        <v>4</v>
      </c>
      <c r="D55" s="268">
        <v>3</v>
      </c>
      <c r="E55" s="267">
        <v>24</v>
      </c>
      <c r="F55" s="125" t="s">
        <v>584</v>
      </c>
      <c r="G55" s="114" t="s">
        <v>14</v>
      </c>
      <c r="H55" s="125" t="s">
        <v>819</v>
      </c>
      <c r="I55" s="274" t="s">
        <v>801</v>
      </c>
      <c r="J55" s="275">
        <v>57600</v>
      </c>
      <c r="K55" s="276"/>
      <c r="L55" s="277">
        <v>2400</v>
      </c>
      <c r="M55" s="273"/>
    </row>
    <row r="56" spans="1:27" ht="16.5" customHeight="1" x14ac:dyDescent="0.45">
      <c r="A56" s="257">
        <v>55</v>
      </c>
      <c r="B56" s="257">
        <v>9</v>
      </c>
      <c r="C56" s="267">
        <v>4</v>
      </c>
      <c r="D56" s="268">
        <v>5</v>
      </c>
      <c r="E56" s="267">
        <v>15</v>
      </c>
      <c r="F56" s="125" t="s">
        <v>79</v>
      </c>
      <c r="G56" s="114" t="s">
        <v>14</v>
      </c>
      <c r="H56" s="125" t="s">
        <v>818</v>
      </c>
      <c r="I56" s="274" t="s">
        <v>801</v>
      </c>
      <c r="J56" s="275">
        <v>54000</v>
      </c>
      <c r="K56" s="276"/>
      <c r="L56" s="277">
        <v>2250</v>
      </c>
      <c r="M56" s="273"/>
      <c r="Q56" s="13">
        <v>54000</v>
      </c>
      <c r="R56" s="31">
        <v>2250</v>
      </c>
      <c r="S56" s="31">
        <v>56250</v>
      </c>
    </row>
    <row r="57" spans="1:27" ht="16.5" customHeight="1" x14ac:dyDescent="0.45">
      <c r="A57" s="257">
        <v>56</v>
      </c>
      <c r="B57" s="257">
        <v>10</v>
      </c>
      <c r="C57" s="267">
        <v>4</v>
      </c>
      <c r="D57" s="268">
        <v>8</v>
      </c>
      <c r="E57" s="267">
        <v>4</v>
      </c>
      <c r="F57" s="125" t="s">
        <v>820</v>
      </c>
      <c r="G57" s="114" t="s">
        <v>14</v>
      </c>
      <c r="H57" s="125" t="s">
        <v>818</v>
      </c>
      <c r="I57" s="269" t="s">
        <v>808</v>
      </c>
      <c r="J57" s="270">
        <v>43200</v>
      </c>
      <c r="K57" s="271"/>
      <c r="L57" s="272">
        <v>1800</v>
      </c>
      <c r="M57" s="273"/>
      <c r="Q57" s="13">
        <f>Q56*11</f>
        <v>594000</v>
      </c>
      <c r="R57" s="13">
        <f t="shared" ref="R57:S57" si="18">R56*11</f>
        <v>24750</v>
      </c>
      <c r="S57" s="13">
        <f t="shared" si="18"/>
        <v>618750</v>
      </c>
    </row>
    <row r="58" spans="1:27" ht="16.5" customHeight="1" x14ac:dyDescent="0.45">
      <c r="A58" s="257">
        <v>57</v>
      </c>
      <c r="B58" s="280">
        <v>11</v>
      </c>
      <c r="C58" s="281">
        <v>4</v>
      </c>
      <c r="D58" s="282">
        <v>8</v>
      </c>
      <c r="E58" s="281">
        <v>22</v>
      </c>
      <c r="F58" s="283" t="s">
        <v>490</v>
      </c>
      <c r="G58" s="179" t="s">
        <v>14</v>
      </c>
      <c r="H58" s="283" t="s">
        <v>818</v>
      </c>
      <c r="I58" s="284" t="s">
        <v>801</v>
      </c>
      <c r="J58" s="285">
        <v>57600</v>
      </c>
      <c r="K58" s="286"/>
      <c r="L58" s="287">
        <v>2400</v>
      </c>
      <c r="M58" s="288"/>
      <c r="Q58" s="13">
        <f>SUM(Q51,Q54,Q57)</f>
        <v>1731600</v>
      </c>
      <c r="R58" s="13">
        <f t="shared" ref="R58:S58" si="19">SUM(R51,R54,R57)</f>
        <v>72150</v>
      </c>
      <c r="S58" s="13">
        <f t="shared" si="19"/>
        <v>1804500</v>
      </c>
    </row>
    <row r="59" spans="1:27" ht="16.5" customHeight="1" x14ac:dyDescent="0.45">
      <c r="A59" s="257">
        <v>58</v>
      </c>
      <c r="B59" s="257">
        <v>1</v>
      </c>
      <c r="C59" s="267">
        <v>4</v>
      </c>
      <c r="D59" s="268">
        <v>5</v>
      </c>
      <c r="E59" s="267">
        <v>21</v>
      </c>
      <c r="F59" s="125" t="s">
        <v>251</v>
      </c>
      <c r="G59" s="114" t="s">
        <v>14</v>
      </c>
      <c r="H59" s="125" t="s">
        <v>821</v>
      </c>
      <c r="I59" s="274" t="s">
        <v>801</v>
      </c>
      <c r="J59" s="275">
        <v>57600</v>
      </c>
      <c r="K59" s="276"/>
      <c r="L59" s="277">
        <v>2400</v>
      </c>
      <c r="M59" s="273">
        <f>SUM(J59:K64)</f>
        <v>331200</v>
      </c>
    </row>
    <row r="60" spans="1:27" ht="16.5" customHeight="1" x14ac:dyDescent="0.45">
      <c r="A60" s="257">
        <v>59</v>
      </c>
      <c r="B60" s="257">
        <v>2</v>
      </c>
      <c r="C60" s="267">
        <v>4</v>
      </c>
      <c r="D60" s="268">
        <v>8</v>
      </c>
      <c r="E60" s="267">
        <v>14</v>
      </c>
      <c r="F60" s="125" t="s">
        <v>344</v>
      </c>
      <c r="G60" s="114" t="s">
        <v>14</v>
      </c>
      <c r="H60" s="125" t="s">
        <v>821</v>
      </c>
      <c r="I60" s="274" t="s">
        <v>801</v>
      </c>
      <c r="J60" s="275">
        <v>57600</v>
      </c>
      <c r="K60" s="276"/>
      <c r="L60" s="277">
        <v>2400</v>
      </c>
      <c r="M60" s="273"/>
      <c r="O60" s="232">
        <f>SUM(J59:K64)</f>
        <v>331200</v>
      </c>
      <c r="Q60" s="13">
        <v>57600</v>
      </c>
      <c r="R60" s="31">
        <v>2400</v>
      </c>
      <c r="S60" s="31">
        <v>60000</v>
      </c>
      <c r="T60"/>
      <c r="U60" s="13">
        <v>50400</v>
      </c>
      <c r="V60" s="31">
        <v>2100</v>
      </c>
      <c r="W60" s="31">
        <v>52500</v>
      </c>
      <c r="Y60" s="13">
        <v>54000</v>
      </c>
      <c r="Z60" s="31">
        <v>2250</v>
      </c>
      <c r="AA60" s="31">
        <v>56250</v>
      </c>
    </row>
    <row r="61" spans="1:27" ht="16.5" customHeight="1" x14ac:dyDescent="0.45">
      <c r="A61" s="257">
        <v>60</v>
      </c>
      <c r="B61" s="257">
        <v>3</v>
      </c>
      <c r="C61" s="267">
        <v>5</v>
      </c>
      <c r="D61" s="268">
        <v>5</v>
      </c>
      <c r="E61" s="267">
        <v>10</v>
      </c>
      <c r="F61" s="125" t="s">
        <v>589</v>
      </c>
      <c r="G61" s="114" t="s">
        <v>14</v>
      </c>
      <c r="H61" s="125" t="s">
        <v>821</v>
      </c>
      <c r="I61" s="269" t="s">
        <v>808</v>
      </c>
      <c r="J61" s="270">
        <v>43200</v>
      </c>
      <c r="K61" s="271"/>
      <c r="L61" s="272">
        <v>1800</v>
      </c>
      <c r="M61" s="273"/>
      <c r="O61" s="232">
        <f>SUM(L59:L64)</f>
        <v>13800</v>
      </c>
      <c r="Q61" s="232">
        <f>Q60*6</f>
        <v>345600</v>
      </c>
      <c r="R61" s="232">
        <f t="shared" ref="R61:S61" si="20">R60*6</f>
        <v>14400</v>
      </c>
      <c r="S61" s="232">
        <f t="shared" si="20"/>
        <v>360000</v>
      </c>
      <c r="T61"/>
      <c r="U61" s="232">
        <f>U60*6</f>
        <v>302400</v>
      </c>
      <c r="V61" s="232">
        <f t="shared" ref="V61:W61" si="21">V60*6</f>
        <v>12600</v>
      </c>
      <c r="W61" s="232">
        <f t="shared" si="21"/>
        <v>315000</v>
      </c>
      <c r="Y61" s="232">
        <f>Y60*6</f>
        <v>324000</v>
      </c>
      <c r="Z61" s="232">
        <f t="shared" ref="Z61:AA61" si="22">Z60*6</f>
        <v>13500</v>
      </c>
      <c r="AA61" s="232">
        <f t="shared" si="22"/>
        <v>337500</v>
      </c>
    </row>
    <row r="62" spans="1:27" ht="16.5" customHeight="1" x14ac:dyDescent="0.45">
      <c r="A62" s="257">
        <v>61</v>
      </c>
      <c r="B62" s="257">
        <v>4</v>
      </c>
      <c r="C62" s="267">
        <v>5</v>
      </c>
      <c r="D62" s="268">
        <v>5</v>
      </c>
      <c r="E62" s="267">
        <v>23</v>
      </c>
      <c r="F62" s="125" t="s">
        <v>822</v>
      </c>
      <c r="G62" s="114" t="s">
        <v>14</v>
      </c>
      <c r="H62" s="125" t="s">
        <v>823</v>
      </c>
      <c r="I62" s="274" t="s">
        <v>801</v>
      </c>
      <c r="J62" s="275">
        <v>57600</v>
      </c>
      <c r="K62" s="276"/>
      <c r="L62" s="277">
        <v>2400</v>
      </c>
      <c r="M62" s="273"/>
      <c r="O62" s="232">
        <f>SUM(O60:O61)</f>
        <v>345000</v>
      </c>
      <c r="Q62" s="13">
        <v>-14400</v>
      </c>
      <c r="R62" s="31">
        <v>-600</v>
      </c>
      <c r="S62" s="31">
        <v>-15000</v>
      </c>
    </row>
    <row r="63" spans="1:27" ht="16.5" customHeight="1" x14ac:dyDescent="0.45">
      <c r="A63" s="257">
        <v>62</v>
      </c>
      <c r="B63" s="257">
        <v>5</v>
      </c>
      <c r="C63" s="267">
        <v>6</v>
      </c>
      <c r="D63" s="268">
        <v>4</v>
      </c>
      <c r="E63" s="267">
        <v>22</v>
      </c>
      <c r="F63" s="125" t="s">
        <v>824</v>
      </c>
      <c r="G63" s="114" t="s">
        <v>14</v>
      </c>
      <c r="H63" s="125" t="s">
        <v>821</v>
      </c>
      <c r="I63" s="274" t="s">
        <v>801</v>
      </c>
      <c r="J63" s="275">
        <v>57600</v>
      </c>
      <c r="K63" s="276"/>
      <c r="L63" s="277">
        <v>2400</v>
      </c>
      <c r="M63" s="273"/>
      <c r="Q63" s="13">
        <f>SUM(Q61:Q62)</f>
        <v>331200</v>
      </c>
      <c r="R63" s="13">
        <f t="shared" ref="R63:S63" si="23">SUM(R61:R62)</f>
        <v>13800</v>
      </c>
      <c r="S63" s="13">
        <f t="shared" si="23"/>
        <v>345000</v>
      </c>
      <c r="Y63" s="232">
        <f>SUM(Q63,U61,Y61)</f>
        <v>957600</v>
      </c>
      <c r="Z63" s="232">
        <f>SUM(R63,V61,Z61)</f>
        <v>39900</v>
      </c>
      <c r="AA63" s="232">
        <f>SUM(S63,W61,AA61)</f>
        <v>997500</v>
      </c>
    </row>
    <row r="64" spans="1:27" ht="16.5" customHeight="1" x14ac:dyDescent="0.45">
      <c r="A64" s="257">
        <v>63</v>
      </c>
      <c r="B64" s="280">
        <v>6</v>
      </c>
      <c r="C64" s="281">
        <v>6</v>
      </c>
      <c r="D64" s="282">
        <v>7</v>
      </c>
      <c r="E64" s="281">
        <v>10</v>
      </c>
      <c r="F64" s="283" t="s">
        <v>279</v>
      </c>
      <c r="G64" s="179" t="s">
        <v>14</v>
      </c>
      <c r="H64" s="283" t="s">
        <v>821</v>
      </c>
      <c r="I64" s="274" t="s">
        <v>801</v>
      </c>
      <c r="J64" s="275">
        <v>57600</v>
      </c>
      <c r="K64" s="276"/>
      <c r="L64" s="277">
        <v>2400</v>
      </c>
      <c r="M64" s="288"/>
    </row>
    <row r="65" spans="1:29" ht="32.25" customHeight="1" x14ac:dyDescent="0.45">
      <c r="A65" s="289" t="s">
        <v>671</v>
      </c>
      <c r="B65" s="290"/>
      <c r="C65" s="290"/>
      <c r="D65" s="290"/>
      <c r="E65" s="290"/>
      <c r="F65" s="290"/>
      <c r="G65" s="290"/>
      <c r="H65" s="291"/>
      <c r="I65" s="292"/>
      <c r="J65" s="293">
        <f>SUM(J2:J64)</f>
        <v>3337200</v>
      </c>
      <c r="K65" s="293">
        <f>SUM(K2:K64)</f>
        <v>57600</v>
      </c>
      <c r="L65" s="293">
        <f t="shared" ref="L65" si="24">SUM(L2:L64)</f>
        <v>141450</v>
      </c>
      <c r="M65" s="294">
        <f>SUM(M2:M64)</f>
        <v>3394800</v>
      </c>
    </row>
    <row r="66" spans="1:29" ht="32.25" customHeight="1" x14ac:dyDescent="0.45">
      <c r="A66" s="289" t="s">
        <v>672</v>
      </c>
      <c r="B66" s="290"/>
      <c r="C66" s="290"/>
      <c r="D66" s="290"/>
      <c r="E66" s="290"/>
      <c r="F66" s="290"/>
      <c r="G66" s="290"/>
      <c r="H66" s="291"/>
      <c r="I66" s="295"/>
      <c r="J66" s="296">
        <f>SUM(J65:K65)</f>
        <v>3394800</v>
      </c>
      <c r="K66" s="297"/>
      <c r="L66" s="298"/>
      <c r="M66" s="299"/>
      <c r="Q66" s="13">
        <f>SUM(Q17,Q31,Q45,Q58,Y63)</f>
        <v>9921600</v>
      </c>
      <c r="R66" s="13">
        <f t="shared" ref="R66:T66" si="25">SUM(R17,R31,R45,R58,Z63)</f>
        <v>413400</v>
      </c>
      <c r="S66" s="13">
        <f t="shared" si="25"/>
        <v>10335750</v>
      </c>
      <c r="T66" s="13">
        <f t="shared" si="25"/>
        <v>0</v>
      </c>
    </row>
    <row r="67" spans="1:29" ht="21" customHeight="1" x14ac:dyDescent="0.45"/>
    <row r="68" spans="1:29" ht="20.25" customHeight="1" x14ac:dyDescent="0.45">
      <c r="K68" s="300">
        <f>SUM(J66,L65)</f>
        <v>3536250</v>
      </c>
    </row>
    <row r="69" spans="1:29" ht="16.5" customHeight="1" x14ac:dyDescent="0.45"/>
    <row r="70" spans="1:29" ht="16.5" customHeight="1" x14ac:dyDescent="0.45"/>
    <row r="71" spans="1:29" ht="16.5" customHeight="1" x14ac:dyDescent="0.45"/>
    <row r="72" spans="1:29" ht="16.5" customHeight="1" x14ac:dyDescent="0.45"/>
    <row r="73" spans="1:29" ht="16.5" customHeight="1" x14ac:dyDescent="0.45"/>
    <row r="74" spans="1:29" ht="16.5" customHeight="1" x14ac:dyDescent="0.45"/>
    <row r="75" spans="1:29" ht="16.5" customHeight="1" x14ac:dyDescent="0.45"/>
    <row r="76" spans="1:29" ht="16.5" customHeight="1" x14ac:dyDescent="0.45"/>
    <row r="77" spans="1:29" ht="16.5" customHeight="1" x14ac:dyDescent="0.45"/>
    <row r="78" spans="1:29" ht="16.5" customHeight="1" x14ac:dyDescent="0.45"/>
    <row r="79" spans="1:29" s="13" customFormat="1" ht="16.5" customHeight="1" x14ac:dyDescent="0.45">
      <c r="A79" s="246"/>
      <c r="B79" s="246"/>
      <c r="C79" s="246"/>
      <c r="D79" s="246"/>
      <c r="E79" s="246"/>
      <c r="F79" s="246"/>
      <c r="G79" s="246"/>
      <c r="H79" s="246"/>
      <c r="I79" s="246"/>
      <c r="J79" s="246"/>
      <c r="K79" s="246"/>
      <c r="L79" s="246"/>
      <c r="M79" s="246"/>
      <c r="N79"/>
      <c r="O79"/>
      <c r="P79"/>
      <c r="R79" s="31"/>
      <c r="S79" s="31"/>
      <c r="T79" s="31"/>
      <c r="U79" s="31"/>
      <c r="X79"/>
      <c r="Y79"/>
      <c r="Z79"/>
      <c r="AA79"/>
      <c r="AB79"/>
      <c r="AC79"/>
    </row>
    <row r="80" spans="1:29" s="13" customFormat="1" ht="15.75" customHeight="1" x14ac:dyDescent="0.45">
      <c r="A80" s="246"/>
      <c r="B80" s="246"/>
      <c r="C80" s="246"/>
      <c r="D80" s="246"/>
      <c r="E80" s="246"/>
      <c r="F80" s="246"/>
      <c r="G80" s="246"/>
      <c r="H80" s="246"/>
      <c r="I80" s="246"/>
      <c r="J80" s="246"/>
      <c r="K80" s="246"/>
      <c r="L80" s="246"/>
      <c r="M80" s="246"/>
      <c r="N80"/>
      <c r="O80"/>
      <c r="P80"/>
      <c r="R80" s="31"/>
      <c r="S80" s="31"/>
      <c r="T80" s="31"/>
      <c r="U80" s="31"/>
      <c r="X80"/>
      <c r="Y80"/>
      <c r="Z80"/>
      <c r="AA80"/>
      <c r="AB80"/>
      <c r="AC80"/>
    </row>
    <row r="81" spans="1:29" s="13" customFormat="1" ht="15.75" customHeight="1" x14ac:dyDescent="0.45">
      <c r="A81" s="246"/>
      <c r="B81" s="246"/>
      <c r="C81" s="246"/>
      <c r="D81" s="246"/>
      <c r="E81" s="246"/>
      <c r="F81" s="246"/>
      <c r="G81" s="246"/>
      <c r="H81" s="246"/>
      <c r="I81" s="246"/>
      <c r="J81" s="246"/>
      <c r="K81" s="246"/>
      <c r="L81" s="246"/>
      <c r="M81" s="246"/>
      <c r="N81"/>
      <c r="O81"/>
      <c r="P81"/>
      <c r="R81" s="31"/>
      <c r="S81" s="31"/>
      <c r="T81" s="31"/>
      <c r="U81" s="31"/>
      <c r="X81"/>
      <c r="Y81"/>
      <c r="Z81"/>
      <c r="AA81"/>
      <c r="AB81"/>
      <c r="AC81"/>
    </row>
    <row r="82" spans="1:29" s="13" customFormat="1" ht="15.75" customHeight="1" x14ac:dyDescent="0.45">
      <c r="A82" s="246"/>
      <c r="B82" s="246"/>
      <c r="C82" s="246"/>
      <c r="D82" s="246"/>
      <c r="E82" s="246"/>
      <c r="F82" s="246"/>
      <c r="G82" s="246"/>
      <c r="H82" s="246"/>
      <c r="I82" s="246"/>
      <c r="J82" s="246"/>
      <c r="K82" s="246"/>
      <c r="L82" s="246"/>
      <c r="M82" s="246"/>
      <c r="N82"/>
      <c r="O82"/>
      <c r="P82"/>
      <c r="R82" s="31"/>
      <c r="S82" s="31"/>
      <c r="T82" s="31"/>
      <c r="U82" s="31"/>
      <c r="X82"/>
      <c r="Y82"/>
      <c r="Z82"/>
      <c r="AA82"/>
      <c r="AB82"/>
      <c r="AC82"/>
    </row>
    <row r="83" spans="1:29" s="13" customFormat="1" ht="15.75" customHeight="1" x14ac:dyDescent="0.45">
      <c r="A83" s="246"/>
      <c r="B83" s="246"/>
      <c r="C83" s="246"/>
      <c r="D83" s="246"/>
      <c r="E83" s="246"/>
      <c r="F83" s="246"/>
      <c r="G83" s="246"/>
      <c r="H83" s="246"/>
      <c r="I83" s="246"/>
      <c r="J83" s="246"/>
      <c r="K83" s="246"/>
      <c r="L83" s="246"/>
      <c r="M83" s="246"/>
      <c r="N83"/>
      <c r="O83"/>
      <c r="P83"/>
      <c r="R83" s="31"/>
      <c r="S83" s="31"/>
      <c r="T83" s="31"/>
      <c r="U83" s="31"/>
      <c r="X83"/>
      <c r="Y83"/>
      <c r="Z83"/>
      <c r="AA83"/>
      <c r="AB83"/>
      <c r="AC83"/>
    </row>
    <row r="84" spans="1:29" s="13" customFormat="1" ht="15.75" customHeight="1" x14ac:dyDescent="0.45">
      <c r="A84" s="246"/>
      <c r="B84" s="246"/>
      <c r="C84" s="246"/>
      <c r="D84" s="246"/>
      <c r="E84" s="246"/>
      <c r="F84" s="246"/>
      <c r="G84" s="246"/>
      <c r="H84" s="246"/>
      <c r="I84" s="246"/>
      <c r="J84" s="246"/>
      <c r="K84" s="246"/>
      <c r="L84" s="246"/>
      <c r="M84" s="246"/>
      <c r="N84"/>
      <c r="O84"/>
      <c r="P84"/>
      <c r="R84" s="31"/>
      <c r="S84" s="31"/>
      <c r="T84" s="31"/>
      <c r="U84" s="31"/>
      <c r="X84"/>
      <c r="Y84"/>
      <c r="Z84"/>
      <c r="AA84"/>
      <c r="AB84"/>
      <c r="AC84"/>
    </row>
    <row r="85" spans="1:29" s="13" customFormat="1" ht="15.75" customHeight="1" x14ac:dyDescent="0.45">
      <c r="A85" s="246"/>
      <c r="B85" s="246"/>
      <c r="C85" s="246"/>
      <c r="D85" s="246"/>
      <c r="E85" s="246"/>
      <c r="F85" s="246"/>
      <c r="G85" s="246"/>
      <c r="H85" s="246"/>
      <c r="I85" s="246"/>
      <c r="J85" s="246"/>
      <c r="K85" s="246"/>
      <c r="L85" s="246"/>
      <c r="M85" s="246"/>
      <c r="N85"/>
      <c r="O85"/>
      <c r="P85"/>
      <c r="R85" s="31"/>
      <c r="S85" s="31"/>
      <c r="T85" s="31"/>
      <c r="U85" s="31"/>
      <c r="X85"/>
      <c r="Y85"/>
      <c r="Z85"/>
      <c r="AA85"/>
      <c r="AB85"/>
      <c r="AC85"/>
    </row>
    <row r="86" spans="1:29" s="13" customFormat="1" ht="15.75" customHeight="1" x14ac:dyDescent="0.45">
      <c r="A86" s="246"/>
      <c r="B86" s="246"/>
      <c r="C86" s="246"/>
      <c r="D86" s="246"/>
      <c r="E86" s="246"/>
      <c r="F86" s="246"/>
      <c r="G86" s="246"/>
      <c r="H86" s="246"/>
      <c r="I86" s="246"/>
      <c r="J86" s="246"/>
      <c r="K86" s="246"/>
      <c r="L86" s="246"/>
      <c r="M86" s="246"/>
      <c r="N86"/>
      <c r="O86"/>
      <c r="P86"/>
      <c r="R86" s="31"/>
      <c r="S86" s="31"/>
      <c r="T86" s="31"/>
      <c r="U86" s="31"/>
      <c r="X86"/>
      <c r="Y86"/>
      <c r="Z86"/>
      <c r="AA86"/>
      <c r="AB86"/>
      <c r="AC86"/>
    </row>
    <row r="87" spans="1:29" s="13" customFormat="1" ht="15.75" customHeight="1" x14ac:dyDescent="0.45">
      <c r="A87" s="246"/>
      <c r="B87" s="246"/>
      <c r="C87" s="246"/>
      <c r="D87" s="246"/>
      <c r="E87" s="246"/>
      <c r="F87" s="246"/>
      <c r="G87" s="246"/>
      <c r="H87" s="246"/>
      <c r="I87" s="246"/>
      <c r="J87" s="246"/>
      <c r="K87" s="246"/>
      <c r="L87" s="246"/>
      <c r="M87" s="246"/>
      <c r="N87"/>
      <c r="O87"/>
      <c r="P87"/>
      <c r="R87" s="31"/>
      <c r="S87" s="31"/>
      <c r="T87" s="31"/>
      <c r="U87" s="31"/>
      <c r="X87"/>
      <c r="Y87"/>
      <c r="Z87"/>
      <c r="AA87"/>
      <c r="AB87"/>
      <c r="AC87"/>
    </row>
    <row r="88" spans="1:29" s="13" customFormat="1" ht="15.75" customHeight="1" x14ac:dyDescent="0.45">
      <c r="A88" s="246"/>
      <c r="B88" s="246"/>
      <c r="C88" s="246"/>
      <c r="D88" s="246"/>
      <c r="E88" s="246"/>
      <c r="F88" s="246"/>
      <c r="G88" s="246"/>
      <c r="H88" s="246"/>
      <c r="I88" s="246"/>
      <c r="J88" s="246"/>
      <c r="K88" s="246"/>
      <c r="L88" s="246"/>
      <c r="M88" s="246"/>
      <c r="N88"/>
      <c r="O88"/>
      <c r="P88"/>
      <c r="R88" s="31"/>
      <c r="S88" s="31"/>
      <c r="T88" s="31"/>
      <c r="U88" s="31"/>
      <c r="X88"/>
      <c r="Y88"/>
      <c r="Z88"/>
      <c r="AA88"/>
      <c r="AB88"/>
      <c r="AC88"/>
    </row>
    <row r="89" spans="1:29" s="13" customFormat="1" ht="15.75" customHeight="1" x14ac:dyDescent="0.45">
      <c r="A89" s="246"/>
      <c r="B89" s="246"/>
      <c r="C89" s="246"/>
      <c r="D89" s="246"/>
      <c r="E89" s="246"/>
      <c r="F89" s="246"/>
      <c r="G89" s="246"/>
      <c r="H89" s="246"/>
      <c r="I89" s="246"/>
      <c r="J89" s="246"/>
      <c r="K89" s="246"/>
      <c r="L89" s="246"/>
      <c r="M89" s="246"/>
      <c r="N89"/>
      <c r="O89"/>
      <c r="P89"/>
      <c r="R89" s="31"/>
      <c r="S89" s="31"/>
      <c r="T89" s="31"/>
      <c r="U89" s="31"/>
      <c r="X89"/>
      <c r="Y89"/>
      <c r="Z89"/>
      <c r="AA89"/>
      <c r="AB89"/>
      <c r="AC89"/>
    </row>
    <row r="90" spans="1:29" s="13" customFormat="1" ht="15.75" customHeight="1" x14ac:dyDescent="0.45">
      <c r="A90" s="246"/>
      <c r="B90" s="246"/>
      <c r="C90" s="246"/>
      <c r="D90" s="246"/>
      <c r="E90" s="246"/>
      <c r="F90" s="246"/>
      <c r="G90" s="246"/>
      <c r="H90" s="246"/>
      <c r="I90" s="246"/>
      <c r="J90" s="246"/>
      <c r="K90" s="246"/>
      <c r="L90" s="246"/>
      <c r="M90" s="246"/>
      <c r="N90"/>
      <c r="O90"/>
      <c r="P90"/>
      <c r="R90" s="31"/>
      <c r="S90" s="31"/>
      <c r="T90" s="31"/>
      <c r="U90" s="31"/>
      <c r="X90"/>
      <c r="Y90"/>
      <c r="Z90"/>
      <c r="AA90"/>
      <c r="AB90"/>
      <c r="AC90"/>
    </row>
    <row r="91" spans="1:29" s="13" customFormat="1" ht="15.75" customHeight="1" x14ac:dyDescent="0.45">
      <c r="A91" s="246"/>
      <c r="B91" s="246"/>
      <c r="C91" s="246"/>
      <c r="D91" s="246"/>
      <c r="E91" s="246"/>
      <c r="F91" s="246"/>
      <c r="G91" s="246"/>
      <c r="H91" s="246"/>
      <c r="I91" s="246"/>
      <c r="J91" s="246"/>
      <c r="K91" s="246"/>
      <c r="L91" s="246"/>
      <c r="M91" s="246"/>
      <c r="N91"/>
      <c r="O91"/>
      <c r="P91"/>
      <c r="X91"/>
      <c r="Y91"/>
      <c r="Z91"/>
      <c r="AA91"/>
      <c r="AB91"/>
      <c r="AC91"/>
    </row>
    <row r="92" spans="1:29" s="13" customFormat="1" ht="15.75" customHeight="1" x14ac:dyDescent="0.45">
      <c r="A92" s="246"/>
      <c r="B92" s="246"/>
      <c r="C92" s="246"/>
      <c r="D92" s="246"/>
      <c r="E92" s="246"/>
      <c r="F92" s="246"/>
      <c r="G92" s="246"/>
      <c r="H92" s="246"/>
      <c r="I92" s="246"/>
      <c r="J92" s="246"/>
      <c r="K92" s="246"/>
      <c r="L92" s="246"/>
      <c r="M92" s="246"/>
      <c r="N92"/>
      <c r="O92"/>
      <c r="P92"/>
      <c r="X92"/>
      <c r="Y92"/>
      <c r="Z92"/>
      <c r="AA92"/>
      <c r="AB92"/>
      <c r="AC92"/>
    </row>
    <row r="93" spans="1:29" s="13" customFormat="1" ht="15.75" customHeight="1" x14ac:dyDescent="0.45">
      <c r="A93" s="246"/>
      <c r="B93" s="246"/>
      <c r="C93" s="246"/>
      <c r="D93" s="246"/>
      <c r="E93" s="246"/>
      <c r="F93" s="246"/>
      <c r="G93" s="246"/>
      <c r="H93" s="246"/>
      <c r="I93" s="246"/>
      <c r="J93" s="246"/>
      <c r="K93" s="246"/>
      <c r="L93" s="246"/>
      <c r="M93" s="246"/>
      <c r="N93"/>
      <c r="O93"/>
      <c r="P93"/>
      <c r="X93"/>
      <c r="Y93"/>
      <c r="Z93"/>
      <c r="AA93"/>
      <c r="AB93"/>
      <c r="AC93"/>
    </row>
    <row r="94" spans="1:29" s="13" customFormat="1" ht="15.75" customHeight="1" x14ac:dyDescent="0.45">
      <c r="A94" s="246"/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/>
      <c r="O94"/>
      <c r="P94"/>
      <c r="X94"/>
      <c r="Y94"/>
      <c r="Z94"/>
      <c r="AA94"/>
      <c r="AB94"/>
      <c r="AC94"/>
    </row>
    <row r="95" spans="1:29" s="13" customFormat="1" ht="15.75" customHeight="1" x14ac:dyDescent="0.45">
      <c r="A95" s="246"/>
      <c r="B95" s="246"/>
      <c r="C95" s="246"/>
      <c r="D95" s="246"/>
      <c r="E95" s="246"/>
      <c r="F95" s="246"/>
      <c r="G95" s="246"/>
      <c r="H95" s="246"/>
      <c r="I95" s="246"/>
      <c r="J95" s="246"/>
      <c r="K95" s="246"/>
      <c r="L95" s="246"/>
      <c r="M95" s="246"/>
      <c r="N95"/>
      <c r="O95"/>
      <c r="P95"/>
      <c r="X95"/>
      <c r="Y95"/>
      <c r="Z95"/>
      <c r="AA95"/>
      <c r="AB95"/>
      <c r="AC95"/>
    </row>
    <row r="96" spans="1:29" s="13" customFormat="1" ht="15.75" customHeight="1" x14ac:dyDescent="0.45">
      <c r="A96" s="246"/>
      <c r="B96" s="246"/>
      <c r="C96" s="246"/>
      <c r="D96" s="246"/>
      <c r="E96" s="246"/>
      <c r="F96" s="246"/>
      <c r="G96" s="246"/>
      <c r="H96" s="246"/>
      <c r="I96" s="246"/>
      <c r="J96" s="246"/>
      <c r="K96" s="246"/>
      <c r="L96" s="246"/>
      <c r="M96" s="246"/>
      <c r="N96"/>
      <c r="O96"/>
      <c r="P96"/>
      <c r="X96"/>
      <c r="Y96"/>
      <c r="Z96"/>
      <c r="AA96"/>
      <c r="AB96"/>
      <c r="AC96"/>
    </row>
    <row r="97" spans="1:29" s="13" customFormat="1" ht="15.75" customHeight="1" x14ac:dyDescent="0.45">
      <c r="A97" s="246"/>
      <c r="B97" s="246"/>
      <c r="C97" s="246"/>
      <c r="D97" s="246"/>
      <c r="E97" s="246"/>
      <c r="F97" s="246"/>
      <c r="G97" s="246"/>
      <c r="H97" s="246"/>
      <c r="I97" s="246"/>
      <c r="J97" s="246"/>
      <c r="K97" s="246"/>
      <c r="L97" s="246"/>
      <c r="M97" s="246"/>
      <c r="N97"/>
      <c r="O97"/>
      <c r="P97"/>
      <c r="X97"/>
      <c r="Y97"/>
      <c r="Z97"/>
      <c r="AA97"/>
      <c r="AB97"/>
      <c r="AC97"/>
    </row>
    <row r="98" spans="1:29" s="13" customFormat="1" ht="15.75" customHeight="1" x14ac:dyDescent="0.45">
      <c r="A98" s="246"/>
      <c r="B98" s="246"/>
      <c r="C98" s="246"/>
      <c r="D98" s="246"/>
      <c r="E98" s="246"/>
      <c r="F98" s="246"/>
      <c r="G98" s="246"/>
      <c r="H98" s="246"/>
      <c r="I98" s="246"/>
      <c r="J98" s="246"/>
      <c r="K98" s="246"/>
      <c r="L98" s="246"/>
      <c r="M98" s="246"/>
      <c r="N98"/>
      <c r="O98"/>
      <c r="P98"/>
      <c r="X98"/>
      <c r="Y98"/>
      <c r="Z98"/>
      <c r="AA98"/>
      <c r="AB98"/>
      <c r="AC98"/>
    </row>
    <row r="99" spans="1:29" s="13" customFormat="1" ht="15.75" customHeight="1" x14ac:dyDescent="0.45">
      <c r="A99" s="246"/>
      <c r="B99" s="246"/>
      <c r="C99" s="246"/>
      <c r="D99" s="246"/>
      <c r="E99" s="246"/>
      <c r="F99" s="246"/>
      <c r="G99" s="246"/>
      <c r="H99" s="246"/>
      <c r="I99" s="246"/>
      <c r="J99" s="246"/>
      <c r="K99" s="246"/>
      <c r="L99" s="246"/>
      <c r="M99" s="246"/>
      <c r="N99"/>
      <c r="O99"/>
      <c r="P99"/>
      <c r="X99"/>
      <c r="Y99"/>
      <c r="Z99"/>
      <c r="AA99"/>
      <c r="AB99"/>
      <c r="AC99"/>
    </row>
    <row r="100" spans="1:29" s="13" customFormat="1" ht="15.75" customHeight="1" x14ac:dyDescent="0.45">
      <c r="A100" s="246"/>
      <c r="B100" s="246"/>
      <c r="C100" s="246"/>
      <c r="D100" s="246"/>
      <c r="E100" s="246"/>
      <c r="F100" s="246"/>
      <c r="G100" s="246"/>
      <c r="H100" s="246"/>
      <c r="I100" s="246"/>
      <c r="J100" s="246"/>
      <c r="K100" s="246"/>
      <c r="L100" s="246"/>
      <c r="M100" s="246"/>
      <c r="N100"/>
      <c r="O100"/>
      <c r="P100"/>
      <c r="X100"/>
      <c r="Y100"/>
      <c r="Z100"/>
      <c r="AA100"/>
      <c r="AB100"/>
      <c r="AC100"/>
    </row>
    <row r="101" spans="1:29" s="13" customFormat="1" ht="15.75" customHeight="1" x14ac:dyDescent="0.45">
      <c r="A101" s="246"/>
      <c r="B101" s="246"/>
      <c r="C101" s="246"/>
      <c r="D101" s="246"/>
      <c r="E101" s="246"/>
      <c r="F101" s="246"/>
      <c r="G101" s="246"/>
      <c r="H101" s="246"/>
      <c r="I101" s="246"/>
      <c r="J101" s="246"/>
      <c r="K101" s="246"/>
      <c r="L101" s="246"/>
      <c r="M101" s="246"/>
      <c r="N101"/>
      <c r="O101"/>
      <c r="P101"/>
      <c r="X101"/>
      <c r="Y101"/>
      <c r="Z101"/>
      <c r="AA101"/>
      <c r="AB101"/>
      <c r="AC101"/>
    </row>
    <row r="102" spans="1:29" s="13" customFormat="1" ht="15.75" customHeight="1" x14ac:dyDescent="0.45">
      <c r="A102" s="246"/>
      <c r="B102" s="246"/>
      <c r="C102" s="246"/>
      <c r="D102" s="246"/>
      <c r="E102" s="246"/>
      <c r="F102" s="246"/>
      <c r="G102" s="246"/>
      <c r="H102" s="246"/>
      <c r="I102" s="246"/>
      <c r="J102" s="246"/>
      <c r="K102" s="246"/>
      <c r="L102" s="246"/>
      <c r="M102" s="246"/>
      <c r="N102"/>
      <c r="O102"/>
      <c r="P102"/>
      <c r="X102"/>
      <c r="Y102"/>
      <c r="Z102"/>
      <c r="AA102"/>
      <c r="AB102"/>
      <c r="AC102"/>
    </row>
    <row r="103" spans="1:29" s="13" customFormat="1" ht="15.75" customHeight="1" x14ac:dyDescent="0.45">
      <c r="A103" s="246"/>
      <c r="B103" s="246"/>
      <c r="C103" s="246"/>
      <c r="D103" s="246"/>
      <c r="E103" s="246"/>
      <c r="F103" s="246"/>
      <c r="G103" s="246"/>
      <c r="H103" s="246"/>
      <c r="I103" s="246"/>
      <c r="J103" s="246"/>
      <c r="K103" s="246"/>
      <c r="L103" s="246"/>
      <c r="M103" s="246"/>
      <c r="N103"/>
      <c r="O103"/>
      <c r="P103"/>
      <c r="X103"/>
      <c r="Y103"/>
      <c r="Z103"/>
      <c r="AA103"/>
      <c r="AB103"/>
      <c r="AC103"/>
    </row>
    <row r="104" spans="1:29" s="13" customFormat="1" ht="15.75" customHeight="1" x14ac:dyDescent="0.45">
      <c r="A104" s="246"/>
      <c r="B104" s="246"/>
      <c r="C104" s="246"/>
      <c r="D104" s="246"/>
      <c r="E104" s="246"/>
      <c r="F104" s="246"/>
      <c r="G104" s="246"/>
      <c r="H104" s="246"/>
      <c r="I104" s="246"/>
      <c r="J104" s="246"/>
      <c r="K104" s="246"/>
      <c r="L104" s="246"/>
      <c r="M104" s="246"/>
      <c r="N104"/>
      <c r="O104"/>
      <c r="P104"/>
      <c r="X104"/>
      <c r="Y104"/>
      <c r="Z104"/>
      <c r="AA104"/>
      <c r="AB104"/>
      <c r="AC104"/>
    </row>
    <row r="105" spans="1:29" s="13" customFormat="1" ht="15.75" customHeight="1" x14ac:dyDescent="0.45">
      <c r="A105" s="246"/>
      <c r="B105" s="246"/>
      <c r="C105" s="246"/>
      <c r="D105" s="246"/>
      <c r="E105" s="246"/>
      <c r="F105" s="246"/>
      <c r="G105" s="246"/>
      <c r="H105" s="246"/>
      <c r="I105" s="246"/>
      <c r="J105" s="246"/>
      <c r="K105" s="246"/>
      <c r="L105" s="246"/>
      <c r="M105" s="246"/>
      <c r="N105"/>
      <c r="O105"/>
      <c r="P105"/>
      <c r="X105"/>
      <c r="Y105"/>
      <c r="Z105"/>
      <c r="AA105"/>
      <c r="AB105"/>
      <c r="AC105"/>
    </row>
    <row r="106" spans="1:29" s="13" customFormat="1" ht="15.75" customHeight="1" x14ac:dyDescent="0.45">
      <c r="A106" s="246"/>
      <c r="B106" s="246"/>
      <c r="C106" s="246"/>
      <c r="D106" s="246"/>
      <c r="E106" s="246"/>
      <c r="F106" s="246"/>
      <c r="G106" s="246"/>
      <c r="H106" s="246"/>
      <c r="I106" s="246"/>
      <c r="J106" s="246"/>
      <c r="K106" s="246"/>
      <c r="L106" s="246"/>
      <c r="M106" s="246"/>
      <c r="N106"/>
      <c r="O106"/>
      <c r="P106"/>
      <c r="X106"/>
      <c r="Y106"/>
      <c r="Z106"/>
      <c r="AA106"/>
      <c r="AB106"/>
      <c r="AC106"/>
    </row>
    <row r="107" spans="1:29" s="13" customFormat="1" ht="15.75" customHeight="1" x14ac:dyDescent="0.45">
      <c r="A107" s="246"/>
      <c r="B107" s="246"/>
      <c r="C107" s="246"/>
      <c r="D107" s="246"/>
      <c r="E107" s="246"/>
      <c r="F107" s="246"/>
      <c r="G107" s="246"/>
      <c r="H107" s="246"/>
      <c r="I107" s="246"/>
      <c r="J107" s="246"/>
      <c r="K107" s="246"/>
      <c r="L107" s="246"/>
      <c r="M107" s="246"/>
      <c r="N107"/>
      <c r="O107"/>
      <c r="P107"/>
      <c r="X107"/>
      <c r="Y107"/>
      <c r="Z107"/>
      <c r="AA107"/>
      <c r="AB107"/>
      <c r="AC107"/>
    </row>
    <row r="108" spans="1:29" s="13" customFormat="1" ht="15.75" customHeight="1" x14ac:dyDescent="0.45">
      <c r="A108" s="246"/>
      <c r="B108" s="246"/>
      <c r="C108" s="246"/>
      <c r="D108" s="246"/>
      <c r="E108" s="246"/>
      <c r="F108" s="246"/>
      <c r="G108" s="246"/>
      <c r="H108" s="246"/>
      <c r="I108" s="246"/>
      <c r="J108" s="246"/>
      <c r="K108" s="246"/>
      <c r="L108" s="246"/>
      <c r="M108" s="246"/>
      <c r="N108"/>
      <c r="O108"/>
      <c r="P108"/>
      <c r="X108"/>
      <c r="Y108"/>
      <c r="Z108"/>
      <c r="AA108"/>
      <c r="AB108"/>
      <c r="AC108"/>
    </row>
    <row r="109" spans="1:29" s="13" customFormat="1" ht="15.75" customHeight="1" x14ac:dyDescent="0.45">
      <c r="A109" s="246"/>
      <c r="B109" s="246"/>
      <c r="C109" s="246"/>
      <c r="D109" s="246"/>
      <c r="E109" s="246"/>
      <c r="F109" s="246"/>
      <c r="G109" s="246"/>
      <c r="H109" s="246"/>
      <c r="I109" s="246"/>
      <c r="J109" s="246"/>
      <c r="K109" s="246"/>
      <c r="L109" s="246"/>
      <c r="M109" s="246"/>
      <c r="N109"/>
      <c r="O109"/>
      <c r="P109"/>
      <c r="X109"/>
      <c r="Y109"/>
      <c r="Z109"/>
      <c r="AA109"/>
      <c r="AB109"/>
      <c r="AC109"/>
    </row>
    <row r="110" spans="1:29" s="13" customFormat="1" ht="15.75" customHeight="1" x14ac:dyDescent="0.45">
      <c r="A110" s="246"/>
      <c r="B110" s="246"/>
      <c r="C110" s="246"/>
      <c r="D110" s="246"/>
      <c r="E110" s="246"/>
      <c r="F110" s="246"/>
      <c r="G110" s="246"/>
      <c r="H110" s="246"/>
      <c r="I110" s="246"/>
      <c r="J110" s="246"/>
      <c r="K110" s="246"/>
      <c r="L110" s="246"/>
      <c r="M110" s="246"/>
      <c r="N110"/>
      <c r="O110"/>
      <c r="P110"/>
      <c r="X110"/>
      <c r="Y110"/>
      <c r="Z110"/>
      <c r="AA110"/>
      <c r="AB110"/>
      <c r="AC110"/>
    </row>
    <row r="111" spans="1:29" s="13" customFormat="1" ht="15.75" customHeight="1" x14ac:dyDescent="0.45">
      <c r="A111" s="246"/>
      <c r="B111" s="246"/>
      <c r="C111" s="246"/>
      <c r="D111" s="246"/>
      <c r="E111" s="246"/>
      <c r="F111" s="246"/>
      <c r="G111" s="246"/>
      <c r="H111" s="246"/>
      <c r="I111" s="246"/>
      <c r="J111" s="246"/>
      <c r="K111" s="246"/>
      <c r="L111" s="246"/>
      <c r="M111" s="246"/>
      <c r="N111"/>
      <c r="O111"/>
      <c r="P111"/>
      <c r="X111"/>
      <c r="Y111"/>
      <c r="Z111"/>
      <c r="AA111"/>
      <c r="AB111"/>
      <c r="AC111"/>
    </row>
    <row r="112" spans="1:29" s="13" customFormat="1" ht="15.75" customHeight="1" x14ac:dyDescent="0.45">
      <c r="A112" s="246"/>
      <c r="B112" s="246"/>
      <c r="C112" s="246"/>
      <c r="D112" s="246"/>
      <c r="E112" s="246"/>
      <c r="F112" s="246"/>
      <c r="G112" s="246"/>
      <c r="H112" s="246"/>
      <c r="I112" s="246"/>
      <c r="J112" s="246"/>
      <c r="K112" s="246"/>
      <c r="L112" s="246"/>
      <c r="M112" s="246"/>
      <c r="N112"/>
      <c r="O112"/>
      <c r="P112"/>
      <c r="X112"/>
      <c r="Y112"/>
      <c r="Z112"/>
      <c r="AA112"/>
      <c r="AB112"/>
      <c r="AC112"/>
    </row>
    <row r="113" spans="1:29" s="13" customFormat="1" ht="15.75" customHeight="1" x14ac:dyDescent="0.45">
      <c r="A113" s="246"/>
      <c r="B113" s="246"/>
      <c r="C113" s="246"/>
      <c r="D113" s="246"/>
      <c r="E113" s="246"/>
      <c r="F113" s="246"/>
      <c r="G113" s="246"/>
      <c r="H113" s="246"/>
      <c r="I113" s="246"/>
      <c r="J113" s="246"/>
      <c r="K113" s="246"/>
      <c r="L113" s="246"/>
      <c r="M113" s="246"/>
      <c r="N113"/>
      <c r="O113"/>
      <c r="P113"/>
      <c r="X113"/>
      <c r="Y113"/>
      <c r="Z113"/>
      <c r="AA113"/>
      <c r="AB113"/>
      <c r="AC113"/>
    </row>
    <row r="114" spans="1:29" s="13" customFormat="1" ht="15.75" customHeight="1" x14ac:dyDescent="0.45">
      <c r="A114" s="246"/>
      <c r="B114" s="246"/>
      <c r="C114" s="246"/>
      <c r="D114" s="246"/>
      <c r="E114" s="246"/>
      <c r="F114" s="246"/>
      <c r="G114" s="246"/>
      <c r="H114" s="246"/>
      <c r="I114" s="246"/>
      <c r="J114" s="246"/>
      <c r="K114" s="246"/>
      <c r="L114" s="246"/>
      <c r="M114" s="246"/>
      <c r="N114"/>
      <c r="O114"/>
      <c r="P114"/>
      <c r="X114"/>
      <c r="Y114"/>
      <c r="Z114"/>
      <c r="AA114"/>
      <c r="AB114"/>
      <c r="AC114"/>
    </row>
    <row r="115" spans="1:29" s="13" customFormat="1" ht="15.75" customHeight="1" x14ac:dyDescent="0.45">
      <c r="A115" s="246"/>
      <c r="B115" s="246"/>
      <c r="C115" s="246"/>
      <c r="D115" s="246"/>
      <c r="E115" s="246"/>
      <c r="F115" s="246"/>
      <c r="G115" s="246"/>
      <c r="H115" s="246"/>
      <c r="I115" s="246"/>
      <c r="J115" s="246"/>
      <c r="K115" s="246"/>
      <c r="L115" s="246"/>
      <c r="M115" s="246"/>
      <c r="N115"/>
      <c r="O115"/>
      <c r="P115"/>
      <c r="X115"/>
      <c r="Y115"/>
      <c r="Z115"/>
      <c r="AA115"/>
      <c r="AB115"/>
      <c r="AC115"/>
    </row>
    <row r="116" spans="1:29" s="13" customFormat="1" ht="15.75" customHeight="1" x14ac:dyDescent="0.45">
      <c r="A116" s="246"/>
      <c r="B116" s="246"/>
      <c r="C116" s="246"/>
      <c r="D116" s="246"/>
      <c r="E116" s="246"/>
      <c r="F116" s="246"/>
      <c r="G116" s="246"/>
      <c r="H116" s="246"/>
      <c r="I116" s="246"/>
      <c r="J116" s="246"/>
      <c r="K116" s="246"/>
      <c r="L116" s="246"/>
      <c r="M116" s="246"/>
      <c r="N116"/>
      <c r="O116"/>
      <c r="P116"/>
      <c r="X116"/>
      <c r="Y116"/>
      <c r="Z116"/>
      <c r="AA116"/>
      <c r="AB116"/>
      <c r="AC116"/>
    </row>
    <row r="117" spans="1:29" s="13" customFormat="1" ht="15.75" customHeight="1" x14ac:dyDescent="0.45">
      <c r="A117" s="246"/>
      <c r="B117" s="246"/>
      <c r="C117" s="246"/>
      <c r="D117" s="246"/>
      <c r="E117" s="246"/>
      <c r="F117" s="246"/>
      <c r="G117" s="246"/>
      <c r="H117" s="246"/>
      <c r="I117" s="246"/>
      <c r="J117" s="246"/>
      <c r="K117" s="246"/>
      <c r="L117" s="246"/>
      <c r="M117" s="246"/>
      <c r="N117"/>
      <c r="O117"/>
      <c r="P117"/>
      <c r="X117"/>
      <c r="Y117"/>
      <c r="Z117"/>
      <c r="AA117"/>
      <c r="AB117"/>
      <c r="AC117"/>
    </row>
    <row r="118" spans="1:29" s="13" customFormat="1" ht="15.75" customHeight="1" x14ac:dyDescent="0.45">
      <c r="A118" s="246"/>
      <c r="B118" s="246"/>
      <c r="C118" s="246"/>
      <c r="D118" s="246"/>
      <c r="E118" s="246"/>
      <c r="F118" s="246"/>
      <c r="G118" s="246"/>
      <c r="H118" s="246"/>
      <c r="I118" s="246"/>
      <c r="J118" s="246"/>
      <c r="K118" s="246"/>
      <c r="L118" s="246"/>
      <c r="M118" s="246"/>
      <c r="N118"/>
      <c r="O118"/>
      <c r="P118"/>
      <c r="X118"/>
      <c r="Y118"/>
      <c r="Z118"/>
      <c r="AA118"/>
      <c r="AB118"/>
      <c r="AC118"/>
    </row>
    <row r="119" spans="1:29" s="13" customFormat="1" ht="15.75" customHeight="1" x14ac:dyDescent="0.45">
      <c r="A119" s="246"/>
      <c r="B119" s="246"/>
      <c r="C119" s="246"/>
      <c r="D119" s="246"/>
      <c r="E119" s="246"/>
      <c r="F119" s="246"/>
      <c r="G119" s="246"/>
      <c r="H119" s="246"/>
      <c r="I119" s="246"/>
      <c r="J119" s="246"/>
      <c r="K119" s="246"/>
      <c r="L119" s="246"/>
      <c r="M119" s="246"/>
      <c r="N119"/>
      <c r="O119"/>
      <c r="P119"/>
      <c r="X119"/>
      <c r="Y119"/>
      <c r="Z119"/>
      <c r="AA119"/>
      <c r="AB119"/>
      <c r="AC119"/>
    </row>
    <row r="120" spans="1:29" s="13" customFormat="1" ht="15.75" customHeight="1" x14ac:dyDescent="0.45">
      <c r="A120" s="246"/>
      <c r="B120" s="246"/>
      <c r="C120" s="246"/>
      <c r="D120" s="246"/>
      <c r="E120" s="246"/>
      <c r="F120" s="246"/>
      <c r="G120" s="246"/>
      <c r="H120" s="246"/>
      <c r="I120" s="246"/>
      <c r="J120" s="246"/>
      <c r="K120" s="246"/>
      <c r="L120" s="246"/>
      <c r="M120" s="246"/>
      <c r="N120"/>
      <c r="O120"/>
      <c r="P120"/>
      <c r="X120"/>
      <c r="Y120"/>
      <c r="Z120"/>
      <c r="AA120"/>
      <c r="AB120"/>
      <c r="AC120"/>
    </row>
    <row r="121" spans="1:29" s="13" customFormat="1" ht="15.75" customHeight="1" x14ac:dyDescent="0.45">
      <c r="A121" s="246"/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/>
      <c r="O121"/>
      <c r="P121"/>
      <c r="X121"/>
      <c r="Y121"/>
      <c r="Z121"/>
      <c r="AA121"/>
      <c r="AB121"/>
      <c r="AC121"/>
    </row>
    <row r="122" spans="1:29" s="13" customFormat="1" ht="15.75" customHeight="1" x14ac:dyDescent="0.45">
      <c r="A122" s="246"/>
      <c r="B122" s="246"/>
      <c r="C122" s="246"/>
      <c r="D122" s="246"/>
      <c r="E122" s="246"/>
      <c r="F122" s="246"/>
      <c r="G122" s="246"/>
      <c r="H122" s="246"/>
      <c r="I122" s="246"/>
      <c r="J122" s="246"/>
      <c r="K122" s="246"/>
      <c r="L122" s="246"/>
      <c r="M122" s="246"/>
      <c r="N122"/>
      <c r="O122"/>
      <c r="P122"/>
      <c r="X122"/>
      <c r="Y122"/>
      <c r="Z122"/>
      <c r="AA122"/>
      <c r="AB122"/>
      <c r="AC122"/>
    </row>
    <row r="123" spans="1:29" s="13" customFormat="1" ht="15.75" customHeight="1" x14ac:dyDescent="0.45">
      <c r="A123" s="246"/>
      <c r="B123" s="246"/>
      <c r="C123" s="246"/>
      <c r="D123" s="246"/>
      <c r="E123" s="246"/>
      <c r="F123" s="246"/>
      <c r="G123" s="246"/>
      <c r="H123" s="246"/>
      <c r="I123" s="246"/>
      <c r="J123" s="246"/>
      <c r="K123" s="246"/>
      <c r="L123" s="246"/>
      <c r="M123" s="246"/>
      <c r="N123"/>
      <c r="O123"/>
      <c r="P123"/>
      <c r="X123"/>
      <c r="Y123"/>
      <c r="Z123"/>
      <c r="AA123"/>
      <c r="AB123"/>
      <c r="AC123"/>
    </row>
    <row r="124" spans="1:29" s="13" customFormat="1" ht="15.75" customHeight="1" x14ac:dyDescent="0.45">
      <c r="A124" s="246"/>
      <c r="B124" s="246"/>
      <c r="C124" s="246"/>
      <c r="D124" s="246"/>
      <c r="E124" s="246"/>
      <c r="F124" s="246"/>
      <c r="G124" s="246"/>
      <c r="H124" s="246"/>
      <c r="I124" s="246"/>
      <c r="J124" s="246"/>
      <c r="K124" s="246"/>
      <c r="L124" s="246"/>
      <c r="M124" s="246"/>
      <c r="N124"/>
      <c r="O124"/>
      <c r="P124"/>
      <c r="X124"/>
      <c r="Y124"/>
      <c r="Z124"/>
      <c r="AA124"/>
      <c r="AB124"/>
      <c r="AC124"/>
    </row>
    <row r="125" spans="1:29" s="13" customFormat="1" ht="15.75" customHeight="1" x14ac:dyDescent="0.45">
      <c r="A125" s="246"/>
      <c r="B125" s="246"/>
      <c r="C125" s="246"/>
      <c r="D125" s="246"/>
      <c r="E125" s="246"/>
      <c r="F125" s="246"/>
      <c r="G125" s="246"/>
      <c r="H125" s="246"/>
      <c r="I125" s="246"/>
      <c r="J125" s="246"/>
      <c r="K125" s="246"/>
      <c r="L125" s="246"/>
      <c r="M125" s="246"/>
      <c r="N125"/>
      <c r="O125"/>
      <c r="P125"/>
      <c r="X125"/>
      <c r="Y125"/>
      <c r="Z125"/>
      <c r="AA125"/>
      <c r="AB125"/>
      <c r="AC125"/>
    </row>
    <row r="126" spans="1:29" s="13" customFormat="1" ht="15.75" customHeight="1" x14ac:dyDescent="0.45">
      <c r="A126" s="246"/>
      <c r="B126" s="246"/>
      <c r="C126" s="246"/>
      <c r="D126" s="246"/>
      <c r="E126" s="246"/>
      <c r="F126" s="246"/>
      <c r="G126" s="246"/>
      <c r="H126" s="246"/>
      <c r="I126" s="246"/>
      <c r="J126" s="246"/>
      <c r="K126" s="246"/>
      <c r="L126" s="246"/>
      <c r="M126" s="246"/>
      <c r="N126"/>
      <c r="O126"/>
      <c r="P126"/>
      <c r="X126"/>
      <c r="Y126"/>
      <c r="Z126"/>
      <c r="AA126"/>
      <c r="AB126"/>
      <c r="AC126"/>
    </row>
    <row r="127" spans="1:29" s="13" customFormat="1" ht="15.75" customHeight="1" x14ac:dyDescent="0.45">
      <c r="A127" s="246"/>
      <c r="B127" s="246"/>
      <c r="C127" s="246"/>
      <c r="D127" s="246"/>
      <c r="E127" s="246"/>
      <c r="F127" s="246"/>
      <c r="G127" s="246"/>
      <c r="H127" s="246"/>
      <c r="I127" s="246"/>
      <c r="J127" s="246"/>
      <c r="K127" s="246"/>
      <c r="L127" s="246"/>
      <c r="M127" s="246"/>
      <c r="N127"/>
      <c r="O127"/>
      <c r="P127"/>
      <c r="X127"/>
      <c r="Y127"/>
      <c r="Z127"/>
      <c r="AA127"/>
      <c r="AB127"/>
      <c r="AC127"/>
    </row>
    <row r="128" spans="1:29" s="13" customFormat="1" ht="15.75" customHeight="1" x14ac:dyDescent="0.45">
      <c r="A128" s="246"/>
      <c r="B128" s="246"/>
      <c r="C128" s="246"/>
      <c r="D128" s="246"/>
      <c r="E128" s="246"/>
      <c r="F128" s="246"/>
      <c r="G128" s="246"/>
      <c r="H128" s="246"/>
      <c r="I128" s="246"/>
      <c r="J128" s="246"/>
      <c r="K128" s="246"/>
      <c r="L128" s="246"/>
      <c r="M128" s="246"/>
      <c r="N128"/>
      <c r="O128"/>
      <c r="P128"/>
      <c r="X128"/>
      <c r="Y128"/>
      <c r="Z128"/>
      <c r="AA128"/>
      <c r="AB128"/>
      <c r="AC128"/>
    </row>
    <row r="129" spans="1:29" s="13" customFormat="1" ht="15.75" customHeight="1" x14ac:dyDescent="0.45">
      <c r="A129" s="246"/>
      <c r="B129" s="246"/>
      <c r="C129" s="246"/>
      <c r="D129" s="246"/>
      <c r="E129" s="246"/>
      <c r="F129" s="246"/>
      <c r="G129" s="246"/>
      <c r="H129" s="246"/>
      <c r="I129" s="246"/>
      <c r="J129" s="246"/>
      <c r="K129" s="246"/>
      <c r="L129" s="246"/>
      <c r="M129" s="246"/>
      <c r="N129"/>
      <c r="O129"/>
      <c r="P129"/>
      <c r="X129"/>
      <c r="Y129"/>
      <c r="Z129"/>
      <c r="AA129"/>
      <c r="AB129"/>
      <c r="AC129"/>
    </row>
    <row r="130" spans="1:29" s="13" customFormat="1" ht="15.75" customHeight="1" x14ac:dyDescent="0.45">
      <c r="A130" s="246"/>
      <c r="B130" s="246"/>
      <c r="C130" s="246"/>
      <c r="D130" s="246"/>
      <c r="E130" s="246"/>
      <c r="F130" s="246"/>
      <c r="G130" s="246"/>
      <c r="H130" s="246"/>
      <c r="I130" s="246"/>
      <c r="J130" s="246"/>
      <c r="K130" s="246"/>
      <c r="L130" s="246"/>
      <c r="M130" s="246"/>
      <c r="N130"/>
      <c r="O130"/>
      <c r="P130"/>
      <c r="X130"/>
      <c r="Y130"/>
      <c r="Z130"/>
      <c r="AA130"/>
      <c r="AB130"/>
      <c r="AC130"/>
    </row>
    <row r="131" spans="1:29" s="13" customFormat="1" ht="15.75" customHeight="1" x14ac:dyDescent="0.45">
      <c r="A131" s="246"/>
      <c r="B131" s="246"/>
      <c r="C131" s="246"/>
      <c r="D131" s="246"/>
      <c r="E131" s="246"/>
      <c r="F131" s="246"/>
      <c r="G131" s="246"/>
      <c r="H131" s="246"/>
      <c r="I131" s="246"/>
      <c r="J131" s="246"/>
      <c r="K131" s="246"/>
      <c r="L131" s="246"/>
      <c r="M131" s="246"/>
      <c r="N131"/>
      <c r="O131"/>
      <c r="P131"/>
      <c r="X131"/>
      <c r="Y131"/>
      <c r="Z131"/>
      <c r="AA131"/>
      <c r="AB131"/>
      <c r="AC131"/>
    </row>
    <row r="132" spans="1:29" s="13" customFormat="1" ht="15.75" customHeight="1" x14ac:dyDescent="0.45">
      <c r="A132" s="246"/>
      <c r="B132" s="246"/>
      <c r="C132" s="246"/>
      <c r="D132" s="246"/>
      <c r="E132" s="246"/>
      <c r="F132" s="246"/>
      <c r="G132" s="246"/>
      <c r="H132" s="246"/>
      <c r="I132" s="246"/>
      <c r="J132" s="246"/>
      <c r="K132" s="246"/>
      <c r="L132" s="246"/>
      <c r="M132" s="246"/>
      <c r="N132"/>
      <c r="O132"/>
      <c r="P132"/>
      <c r="X132"/>
      <c r="Y132"/>
      <c r="Z132"/>
      <c r="AA132"/>
      <c r="AB132"/>
      <c r="AC132"/>
    </row>
    <row r="133" spans="1:29" s="13" customFormat="1" ht="15.75" customHeight="1" x14ac:dyDescent="0.45">
      <c r="A133" s="246"/>
      <c r="B133" s="246"/>
      <c r="C133" s="246"/>
      <c r="D133" s="246"/>
      <c r="E133" s="246"/>
      <c r="F133" s="246"/>
      <c r="G133" s="246"/>
      <c r="H133" s="246"/>
      <c r="I133" s="246"/>
      <c r="J133" s="246"/>
      <c r="K133" s="246"/>
      <c r="L133" s="246"/>
      <c r="M133" s="246"/>
      <c r="N133"/>
      <c r="O133"/>
      <c r="P133"/>
      <c r="X133"/>
      <c r="Y133"/>
      <c r="Z133"/>
      <c r="AA133"/>
      <c r="AB133"/>
      <c r="AC133"/>
    </row>
    <row r="134" spans="1:29" s="13" customFormat="1" ht="15.75" customHeight="1" x14ac:dyDescent="0.45">
      <c r="A134" s="246"/>
      <c r="B134" s="246"/>
      <c r="C134" s="246"/>
      <c r="D134" s="246"/>
      <c r="E134" s="246"/>
      <c r="F134" s="246"/>
      <c r="G134" s="246"/>
      <c r="H134" s="246"/>
      <c r="I134" s="246"/>
      <c r="J134" s="246"/>
      <c r="K134" s="246"/>
      <c r="L134" s="246"/>
      <c r="M134" s="246"/>
      <c r="N134"/>
      <c r="O134"/>
      <c r="P134"/>
      <c r="X134"/>
      <c r="Y134"/>
      <c r="Z134"/>
      <c r="AA134"/>
      <c r="AB134"/>
      <c r="AC134"/>
    </row>
    <row r="135" spans="1:29" s="13" customFormat="1" ht="15.75" customHeight="1" x14ac:dyDescent="0.45">
      <c r="A135" s="246"/>
      <c r="B135" s="246"/>
      <c r="C135" s="246"/>
      <c r="D135" s="246"/>
      <c r="E135" s="246"/>
      <c r="F135" s="246"/>
      <c r="G135" s="246"/>
      <c r="H135" s="246"/>
      <c r="I135" s="246"/>
      <c r="J135" s="246"/>
      <c r="K135" s="246"/>
      <c r="L135" s="246"/>
      <c r="M135" s="246"/>
      <c r="N135"/>
      <c r="O135"/>
      <c r="P135"/>
      <c r="X135"/>
      <c r="Y135"/>
      <c r="Z135"/>
      <c r="AA135"/>
      <c r="AB135"/>
      <c r="AC135"/>
    </row>
    <row r="136" spans="1:29" s="13" customFormat="1" ht="15.75" customHeight="1" x14ac:dyDescent="0.45">
      <c r="A136" s="246"/>
      <c r="B136" s="246"/>
      <c r="C136" s="246"/>
      <c r="D136" s="246"/>
      <c r="E136" s="246"/>
      <c r="F136" s="246"/>
      <c r="G136" s="246"/>
      <c r="H136" s="246"/>
      <c r="I136" s="246"/>
      <c r="J136" s="246"/>
      <c r="K136" s="246"/>
      <c r="L136" s="246"/>
      <c r="M136" s="246"/>
      <c r="N136"/>
      <c r="O136"/>
      <c r="P136"/>
      <c r="X136"/>
      <c r="Y136"/>
      <c r="Z136"/>
      <c r="AA136"/>
      <c r="AB136"/>
      <c r="AC136"/>
    </row>
    <row r="137" spans="1:29" s="13" customFormat="1" ht="15.75" customHeight="1" x14ac:dyDescent="0.45">
      <c r="A137" s="246"/>
      <c r="B137" s="246"/>
      <c r="C137" s="246"/>
      <c r="D137" s="246"/>
      <c r="E137" s="246"/>
      <c r="F137" s="246"/>
      <c r="G137" s="246"/>
      <c r="H137" s="246"/>
      <c r="I137" s="246"/>
      <c r="J137" s="246"/>
      <c r="K137" s="246"/>
      <c r="L137" s="246"/>
      <c r="M137" s="246"/>
      <c r="N137"/>
      <c r="O137"/>
      <c r="P137"/>
      <c r="X137"/>
      <c r="Y137"/>
      <c r="Z137"/>
      <c r="AA137"/>
      <c r="AB137"/>
      <c r="AC137"/>
    </row>
    <row r="138" spans="1:29" s="13" customFormat="1" ht="15.75" customHeight="1" x14ac:dyDescent="0.45">
      <c r="A138" s="246"/>
      <c r="B138" s="246"/>
      <c r="C138" s="246"/>
      <c r="D138" s="246"/>
      <c r="E138" s="246"/>
      <c r="F138" s="246"/>
      <c r="G138" s="246"/>
      <c r="H138" s="246"/>
      <c r="I138" s="246"/>
      <c r="J138" s="246"/>
      <c r="K138" s="246"/>
      <c r="L138" s="246"/>
      <c r="M138" s="246"/>
      <c r="N138"/>
      <c r="O138"/>
      <c r="P138"/>
      <c r="X138"/>
      <c r="Y138"/>
      <c r="Z138"/>
      <c r="AA138"/>
      <c r="AB138"/>
      <c r="AC138"/>
    </row>
    <row r="139" spans="1:29" s="13" customFormat="1" ht="15.75" customHeight="1" x14ac:dyDescent="0.45">
      <c r="A139" s="246"/>
      <c r="B139" s="246"/>
      <c r="C139" s="246"/>
      <c r="D139" s="246"/>
      <c r="E139" s="246"/>
      <c r="F139" s="246"/>
      <c r="G139" s="246"/>
      <c r="H139" s="246"/>
      <c r="I139" s="246"/>
      <c r="J139" s="246"/>
      <c r="K139" s="246"/>
      <c r="L139" s="246"/>
      <c r="M139" s="246"/>
      <c r="N139"/>
      <c r="O139"/>
      <c r="P139"/>
      <c r="R139" s="31"/>
      <c r="S139" s="31"/>
      <c r="T139" s="31"/>
      <c r="U139" s="31"/>
      <c r="X139"/>
      <c r="Y139"/>
      <c r="Z139"/>
      <c r="AA139"/>
      <c r="AB139"/>
      <c r="AC139"/>
    </row>
    <row r="140" spans="1:29" s="13" customFormat="1" ht="15.75" customHeight="1" x14ac:dyDescent="0.45">
      <c r="A140" s="246"/>
      <c r="B140" s="246"/>
      <c r="C140" s="246"/>
      <c r="D140" s="246"/>
      <c r="E140" s="246"/>
      <c r="F140" s="246"/>
      <c r="G140" s="246"/>
      <c r="H140" s="246"/>
      <c r="I140" s="246"/>
      <c r="J140" s="246"/>
      <c r="K140" s="246"/>
      <c r="L140" s="246"/>
      <c r="M140" s="246"/>
      <c r="N140"/>
      <c r="O140"/>
      <c r="P140"/>
      <c r="R140" s="31"/>
      <c r="S140" s="31"/>
      <c r="T140" s="31"/>
      <c r="U140" s="31"/>
      <c r="X140"/>
      <c r="Y140"/>
      <c r="Z140"/>
      <c r="AA140"/>
      <c r="AB140"/>
      <c r="AC140"/>
    </row>
    <row r="141" spans="1:29" s="13" customFormat="1" ht="15.75" customHeight="1" x14ac:dyDescent="0.45">
      <c r="A141" s="246"/>
      <c r="B141" s="246"/>
      <c r="C141" s="246"/>
      <c r="D141" s="246"/>
      <c r="E141" s="246"/>
      <c r="F141" s="246"/>
      <c r="G141" s="246"/>
      <c r="H141" s="246"/>
      <c r="I141" s="246"/>
      <c r="J141" s="246"/>
      <c r="K141" s="246"/>
      <c r="L141" s="246"/>
      <c r="M141" s="246"/>
      <c r="N141"/>
      <c r="O141"/>
      <c r="P141"/>
      <c r="R141" s="31"/>
      <c r="S141" s="31"/>
      <c r="T141" s="31"/>
      <c r="U141" s="31"/>
      <c r="X141"/>
      <c r="Y141"/>
      <c r="Z141"/>
      <c r="AA141"/>
      <c r="AB141"/>
      <c r="AC141"/>
    </row>
    <row r="142" spans="1:29" s="13" customFormat="1" x14ac:dyDescent="0.45">
      <c r="A142" s="246"/>
      <c r="B142" s="246"/>
      <c r="C142" s="246"/>
      <c r="D142" s="246"/>
      <c r="E142" s="246"/>
      <c r="F142" s="246"/>
      <c r="G142" s="246"/>
      <c r="H142" s="246"/>
      <c r="I142" s="246"/>
      <c r="J142" s="246"/>
      <c r="K142" s="246"/>
      <c r="L142" s="246"/>
      <c r="M142" s="246"/>
      <c r="N142"/>
      <c r="O142"/>
      <c r="P142"/>
      <c r="X142"/>
      <c r="Y142"/>
      <c r="Z142"/>
      <c r="AA142"/>
      <c r="AB142"/>
      <c r="AC142"/>
    </row>
    <row r="143" spans="1:29" s="13" customFormat="1" x14ac:dyDescent="0.45">
      <c r="A143" s="246"/>
      <c r="B143" s="246"/>
      <c r="C143" s="246"/>
      <c r="D143" s="246"/>
      <c r="E143" s="246"/>
      <c r="F143" s="246"/>
      <c r="G143" s="246"/>
      <c r="H143" s="246"/>
      <c r="I143" s="246"/>
      <c r="J143" s="246"/>
      <c r="K143" s="246"/>
      <c r="L143" s="246"/>
      <c r="M143" s="246"/>
      <c r="N143"/>
      <c r="O143"/>
      <c r="P143"/>
      <c r="X143"/>
      <c r="Y143"/>
      <c r="Z143"/>
      <c r="AA143"/>
      <c r="AB143"/>
      <c r="AC143"/>
    </row>
    <row r="144" spans="1:29" s="13" customFormat="1" x14ac:dyDescent="0.45">
      <c r="A144" s="246"/>
      <c r="B144" s="246"/>
      <c r="C144" s="246"/>
      <c r="D144" s="246"/>
      <c r="E144" s="246"/>
      <c r="F144" s="246"/>
      <c r="G144" s="246"/>
      <c r="H144" s="246"/>
      <c r="I144" s="246"/>
      <c r="J144" s="246"/>
      <c r="K144" s="246"/>
      <c r="L144" s="246"/>
      <c r="M144" s="246"/>
      <c r="N144"/>
      <c r="O144"/>
      <c r="P144"/>
      <c r="X144"/>
      <c r="Y144"/>
      <c r="Z144"/>
      <c r="AA144"/>
      <c r="AB144"/>
      <c r="AC144"/>
    </row>
    <row r="145" spans="1:29" s="13" customFormat="1" x14ac:dyDescent="0.45">
      <c r="A145" s="246"/>
      <c r="B145" s="246"/>
      <c r="C145" s="246"/>
      <c r="D145" s="246"/>
      <c r="E145" s="246"/>
      <c r="F145" s="246"/>
      <c r="G145" s="246"/>
      <c r="H145" s="246"/>
      <c r="I145" s="246"/>
      <c r="J145" s="246"/>
      <c r="K145" s="246"/>
      <c r="L145" s="246"/>
      <c r="M145" s="246"/>
      <c r="N145"/>
      <c r="O145"/>
      <c r="P145"/>
      <c r="X145"/>
      <c r="Y145"/>
      <c r="Z145"/>
      <c r="AA145"/>
      <c r="AB145"/>
      <c r="AC145"/>
    </row>
    <row r="146" spans="1:29" s="13" customFormat="1" x14ac:dyDescent="0.45">
      <c r="A146" s="246"/>
      <c r="B146" s="246"/>
      <c r="C146" s="246"/>
      <c r="D146" s="246"/>
      <c r="E146" s="246"/>
      <c r="F146" s="246"/>
      <c r="G146" s="246"/>
      <c r="H146" s="246"/>
      <c r="I146" s="246"/>
      <c r="J146" s="246"/>
      <c r="K146" s="246"/>
      <c r="L146" s="246"/>
      <c r="M146" s="246"/>
      <c r="N146"/>
      <c r="O146"/>
      <c r="P146"/>
      <c r="X146"/>
      <c r="Y146"/>
      <c r="Z146"/>
      <c r="AA146"/>
      <c r="AB146"/>
      <c r="AC146"/>
    </row>
    <row r="147" spans="1:29" s="13" customFormat="1" x14ac:dyDescent="0.45">
      <c r="A147" s="246"/>
      <c r="B147" s="246"/>
      <c r="C147" s="246"/>
      <c r="D147" s="246"/>
      <c r="E147" s="246"/>
      <c r="F147" s="246"/>
      <c r="G147" s="246"/>
      <c r="H147" s="246"/>
      <c r="I147" s="246"/>
      <c r="J147" s="246"/>
      <c r="K147" s="246"/>
      <c r="L147" s="246"/>
      <c r="M147" s="246"/>
      <c r="N147"/>
      <c r="O147"/>
      <c r="P147"/>
      <c r="X147"/>
      <c r="Y147"/>
      <c r="Z147"/>
      <c r="AA147"/>
      <c r="AB147"/>
      <c r="AC147"/>
    </row>
    <row r="148" spans="1:29" s="13" customFormat="1" x14ac:dyDescent="0.45">
      <c r="A148" s="246"/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/>
      <c r="O148"/>
      <c r="P148"/>
      <c r="X148"/>
      <c r="Y148"/>
      <c r="Z148"/>
      <c r="AA148"/>
      <c r="AB148"/>
      <c r="AC148"/>
    </row>
    <row r="149" spans="1:29" s="13" customFormat="1" x14ac:dyDescent="0.45">
      <c r="A149" s="246"/>
      <c r="B149" s="246"/>
      <c r="C149" s="246"/>
      <c r="D149" s="246"/>
      <c r="E149" s="246"/>
      <c r="F149" s="246"/>
      <c r="G149" s="246"/>
      <c r="H149" s="246"/>
      <c r="I149" s="246"/>
      <c r="J149" s="246"/>
      <c r="K149" s="246"/>
      <c r="L149" s="246"/>
      <c r="M149" s="246"/>
      <c r="N149"/>
      <c r="O149"/>
      <c r="P149"/>
      <c r="X149"/>
      <c r="Y149"/>
      <c r="Z149"/>
      <c r="AA149"/>
      <c r="AB149"/>
      <c r="AC149"/>
    </row>
    <row r="150" spans="1:29" s="13" customFormat="1" x14ac:dyDescent="0.45">
      <c r="A150" s="246"/>
      <c r="B150" s="246"/>
      <c r="C150" s="246"/>
      <c r="D150" s="246"/>
      <c r="E150" s="246"/>
      <c r="F150" s="246"/>
      <c r="G150" s="246"/>
      <c r="H150" s="246"/>
      <c r="I150" s="246"/>
      <c r="J150" s="246"/>
      <c r="K150" s="246"/>
      <c r="L150" s="246"/>
      <c r="M150" s="246"/>
      <c r="N150"/>
      <c r="O150"/>
      <c r="P150"/>
      <c r="X150"/>
      <c r="Y150"/>
      <c r="Z150"/>
      <c r="AA150"/>
      <c r="AB150"/>
      <c r="AC150"/>
    </row>
    <row r="151" spans="1:29" s="13" customFormat="1" x14ac:dyDescent="0.45">
      <c r="A151" s="246"/>
      <c r="B151" s="246"/>
      <c r="C151" s="246"/>
      <c r="D151" s="246"/>
      <c r="E151" s="246"/>
      <c r="F151" s="246"/>
      <c r="G151" s="246"/>
      <c r="H151" s="246"/>
      <c r="I151" s="246"/>
      <c r="J151" s="246"/>
      <c r="K151" s="246"/>
      <c r="L151" s="246"/>
      <c r="M151" s="246"/>
      <c r="N151"/>
      <c r="O151"/>
      <c r="P151"/>
      <c r="X151"/>
      <c r="Y151"/>
      <c r="Z151"/>
      <c r="AA151"/>
      <c r="AB151"/>
      <c r="AC151"/>
    </row>
    <row r="152" spans="1:29" s="13" customFormat="1" x14ac:dyDescent="0.45">
      <c r="A152" s="246"/>
      <c r="B152" s="246"/>
      <c r="C152" s="246"/>
      <c r="D152" s="246"/>
      <c r="E152" s="246"/>
      <c r="F152" s="246"/>
      <c r="G152" s="246"/>
      <c r="H152" s="246"/>
      <c r="I152" s="246"/>
      <c r="J152" s="246"/>
      <c r="K152" s="246"/>
      <c r="L152" s="246"/>
      <c r="M152" s="246"/>
      <c r="N152"/>
      <c r="O152"/>
      <c r="P152"/>
      <c r="X152"/>
      <c r="Y152"/>
      <c r="Z152"/>
      <c r="AA152"/>
      <c r="AB152"/>
      <c r="AC152"/>
    </row>
    <row r="153" spans="1:29" s="13" customFormat="1" x14ac:dyDescent="0.45">
      <c r="A153" s="246"/>
      <c r="B153" s="246"/>
      <c r="C153" s="246"/>
      <c r="D153" s="246"/>
      <c r="E153" s="246"/>
      <c r="F153" s="246"/>
      <c r="G153" s="246"/>
      <c r="H153" s="246"/>
      <c r="I153" s="246"/>
      <c r="J153" s="246"/>
      <c r="K153" s="246"/>
      <c r="L153" s="246"/>
      <c r="M153" s="246"/>
      <c r="N153"/>
      <c r="O153"/>
      <c r="P153"/>
      <c r="X153"/>
      <c r="Y153"/>
      <c r="Z153"/>
      <c r="AA153"/>
      <c r="AB153"/>
      <c r="AC153"/>
    </row>
    <row r="154" spans="1:29" s="13" customFormat="1" x14ac:dyDescent="0.45">
      <c r="A154" s="246"/>
      <c r="B154" s="246"/>
      <c r="C154" s="246"/>
      <c r="D154" s="246"/>
      <c r="E154" s="246"/>
      <c r="F154" s="246"/>
      <c r="G154" s="246"/>
      <c r="H154" s="246"/>
      <c r="I154" s="246"/>
      <c r="J154" s="246"/>
      <c r="K154" s="246"/>
      <c r="L154" s="246"/>
      <c r="M154" s="246"/>
      <c r="N154"/>
      <c r="O154"/>
      <c r="P154"/>
      <c r="X154"/>
      <c r="Y154"/>
      <c r="Z154"/>
      <c r="AA154"/>
      <c r="AB154"/>
      <c r="AC154"/>
    </row>
    <row r="155" spans="1:29" s="13" customFormat="1" x14ac:dyDescent="0.45">
      <c r="A155" s="246"/>
      <c r="B155" s="246"/>
      <c r="C155" s="246"/>
      <c r="D155" s="246"/>
      <c r="E155" s="246"/>
      <c r="F155" s="246"/>
      <c r="G155" s="246"/>
      <c r="H155" s="246"/>
      <c r="I155" s="246"/>
      <c r="J155" s="246"/>
      <c r="K155" s="246"/>
      <c r="L155" s="246"/>
      <c r="M155" s="246"/>
      <c r="N155"/>
      <c r="O155"/>
      <c r="P155"/>
      <c r="X155"/>
      <c r="Y155"/>
      <c r="Z155"/>
      <c r="AA155"/>
      <c r="AB155"/>
      <c r="AC155"/>
    </row>
    <row r="156" spans="1:29" s="13" customFormat="1" x14ac:dyDescent="0.45">
      <c r="A156" s="246"/>
      <c r="B156" s="246"/>
      <c r="C156" s="246"/>
      <c r="D156" s="246"/>
      <c r="E156" s="246"/>
      <c r="F156" s="246"/>
      <c r="G156" s="246"/>
      <c r="H156" s="246"/>
      <c r="I156" s="246"/>
      <c r="J156" s="246"/>
      <c r="K156" s="246"/>
      <c r="L156" s="246"/>
      <c r="M156" s="246"/>
      <c r="N156"/>
      <c r="O156"/>
      <c r="P156"/>
      <c r="X156"/>
      <c r="Y156"/>
      <c r="Z156"/>
      <c r="AA156"/>
      <c r="AB156"/>
      <c r="AC156"/>
    </row>
    <row r="157" spans="1:29" s="13" customFormat="1" x14ac:dyDescent="0.45">
      <c r="A157" s="246"/>
      <c r="B157" s="246"/>
      <c r="C157" s="246"/>
      <c r="D157" s="246"/>
      <c r="E157" s="246"/>
      <c r="F157" s="246"/>
      <c r="G157" s="246"/>
      <c r="H157" s="246"/>
      <c r="I157" s="246"/>
      <c r="J157" s="246"/>
      <c r="K157" s="246"/>
      <c r="L157" s="246"/>
      <c r="M157" s="246"/>
      <c r="N157"/>
      <c r="O157"/>
      <c r="P157"/>
      <c r="U157" s="31"/>
      <c r="X157"/>
      <c r="Y157"/>
      <c r="Z157"/>
      <c r="AA157"/>
      <c r="AB157"/>
      <c r="AC157"/>
    </row>
  </sheetData>
  <mergeCells count="9">
    <mergeCell ref="M2:M18"/>
    <mergeCell ref="M19:M32"/>
    <mergeCell ref="M33:M47"/>
    <mergeCell ref="M48:M58"/>
    <mergeCell ref="M59:M64"/>
    <mergeCell ref="A65:H65"/>
    <mergeCell ref="M65:M66"/>
    <mergeCell ref="A66:H66"/>
    <mergeCell ref="J66:K66"/>
  </mergeCells>
  <phoneticPr fontId="1" type="noConversion"/>
  <conditionalFormatting sqref="G1">
    <cfRule type="cellIs" dxfId="1" priority="1" operator="equal">
      <formula>"유상"</formula>
    </cfRule>
  </conditionalFormatting>
  <dataValidations count="2">
    <dataValidation type="list" allowBlank="1" showInputMessage="1" showErrorMessage="1" sqref="G2:G64" xr:uid="{0BA52858-B278-4A07-8E5E-B19DCB9FB776}">
      <formula1>"유상, 자유수"</formula1>
    </dataValidation>
    <dataValidation type="list" allowBlank="1" showInputMessage="1" showErrorMessage="1" sqref="G1" xr:uid="{8F9EAEA2-039B-44BA-A263-1FA04D04FD57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44D11-066C-4D2C-B018-45C232BF9CEA}">
  <sheetPr codeName="Sheet6"/>
  <dimension ref="A1:AA152"/>
  <sheetViews>
    <sheetView zoomScale="70" zoomScaleNormal="70" workbookViewId="0">
      <selection activeCell="G5" sqref="G5"/>
    </sheetView>
  </sheetViews>
  <sheetFormatPr defaultRowHeight="25.5" x14ac:dyDescent="0.45"/>
  <cols>
    <col min="1" max="1" width="6.08203125" customWidth="1"/>
    <col min="2" max="2" width="5.5" customWidth="1"/>
    <col min="3" max="5" width="6.75" customWidth="1"/>
    <col min="6" max="6" width="10.58203125" customWidth="1"/>
    <col min="7" max="7" width="11.25" customWidth="1"/>
    <col min="8" max="8" width="36.25" customWidth="1"/>
    <col min="9" max="9" width="13.5" customWidth="1"/>
    <col min="10" max="11" width="16.75" customWidth="1"/>
    <col min="12" max="12" width="16.08203125" customWidth="1"/>
    <col min="13" max="13" width="17.58203125" customWidth="1"/>
    <col min="14" max="14" width="2.83203125" customWidth="1"/>
    <col min="15" max="15" width="15.75" customWidth="1"/>
    <col min="16" max="16" width="1.25" customWidth="1"/>
    <col min="17" max="17" width="11.75" style="310" customWidth="1"/>
    <col min="18" max="18" width="10.83203125" style="311" customWidth="1"/>
    <col min="19" max="19" width="12.33203125" style="311" bestFit="1" customWidth="1"/>
    <col min="20" max="20" width="3" style="312" customWidth="1"/>
    <col min="21" max="21" width="12.83203125" style="312" customWidth="1"/>
    <col min="22" max="22" width="12" bestFit="1" customWidth="1"/>
    <col min="23" max="23" width="13" customWidth="1"/>
    <col min="24" max="24" width="3.75" customWidth="1"/>
    <col min="25" max="25" width="11.25" customWidth="1"/>
    <col min="26" max="26" width="10.25" customWidth="1"/>
    <col min="27" max="27" width="9.83203125" customWidth="1"/>
    <col min="28" max="28" width="11.08203125" customWidth="1"/>
  </cols>
  <sheetData>
    <row r="1" spans="1:20" ht="40.5" customHeight="1" x14ac:dyDescent="0.45">
      <c r="A1" s="301" t="s">
        <v>0</v>
      </c>
      <c r="B1" s="302" t="s">
        <v>792</v>
      </c>
      <c r="C1" s="303" t="s">
        <v>2</v>
      </c>
      <c r="D1" s="304" t="s">
        <v>793</v>
      </c>
      <c r="E1" s="303" t="s">
        <v>4</v>
      </c>
      <c r="F1" s="305" t="s">
        <v>5</v>
      </c>
      <c r="G1" s="306" t="s">
        <v>6</v>
      </c>
      <c r="H1" s="307" t="s">
        <v>794</v>
      </c>
      <c r="I1" s="308" t="s">
        <v>795</v>
      </c>
      <c r="J1" s="8" t="s">
        <v>796</v>
      </c>
      <c r="K1" s="308" t="s">
        <v>797</v>
      </c>
      <c r="L1" s="8" t="s">
        <v>798</v>
      </c>
      <c r="M1" s="309" t="s">
        <v>799</v>
      </c>
    </row>
    <row r="2" spans="1:20" ht="16.5" customHeight="1" x14ac:dyDescent="0.45">
      <c r="A2" s="258">
        <v>1</v>
      </c>
      <c r="B2" s="313">
        <v>1</v>
      </c>
      <c r="C2" s="87">
        <v>1</v>
      </c>
      <c r="D2" s="56">
        <v>2</v>
      </c>
      <c r="E2" s="87">
        <v>13</v>
      </c>
      <c r="F2" s="40" t="s">
        <v>101</v>
      </c>
      <c r="G2" s="41" t="s">
        <v>14</v>
      </c>
      <c r="H2" s="39" t="s">
        <v>825</v>
      </c>
      <c r="I2" s="314" t="s">
        <v>801</v>
      </c>
      <c r="J2" s="276">
        <v>57600</v>
      </c>
      <c r="K2" s="275"/>
      <c r="L2" s="277">
        <v>2400</v>
      </c>
      <c r="M2" s="315">
        <f>SUM(J2:K18)</f>
        <v>900000</v>
      </c>
      <c r="Q2" s="310">
        <v>57600</v>
      </c>
      <c r="R2" s="311">
        <v>2400</v>
      </c>
      <c r="S2" s="311">
        <v>60000</v>
      </c>
    </row>
    <row r="3" spans="1:20" ht="16.5" customHeight="1" x14ac:dyDescent="0.45">
      <c r="A3" s="257">
        <v>2</v>
      </c>
      <c r="B3" s="316">
        <v>2</v>
      </c>
      <c r="C3" s="89">
        <v>1</v>
      </c>
      <c r="D3" s="58">
        <v>3</v>
      </c>
      <c r="E3" s="89">
        <v>1</v>
      </c>
      <c r="F3" s="19" t="s">
        <v>528</v>
      </c>
      <c r="G3" s="20" t="s">
        <v>14</v>
      </c>
      <c r="H3" s="18" t="s">
        <v>825</v>
      </c>
      <c r="I3" s="314" t="s">
        <v>801</v>
      </c>
      <c r="J3" s="276">
        <v>57600</v>
      </c>
      <c r="K3" s="275"/>
      <c r="L3" s="277">
        <v>2400</v>
      </c>
      <c r="M3" s="317"/>
      <c r="O3" s="318">
        <f>SUM(J2:K18)</f>
        <v>900000</v>
      </c>
      <c r="P3" s="232"/>
      <c r="Q3" s="310">
        <f>Q2*16</f>
        <v>921600</v>
      </c>
      <c r="R3" s="310">
        <f t="shared" ref="R3:S3" si="0">R2*16</f>
        <v>38400</v>
      </c>
      <c r="S3" s="310">
        <f t="shared" si="0"/>
        <v>960000</v>
      </c>
    </row>
    <row r="4" spans="1:20" ht="16.5" customHeight="1" x14ac:dyDescent="0.45">
      <c r="A4" s="257">
        <v>3</v>
      </c>
      <c r="B4" s="316">
        <v>3</v>
      </c>
      <c r="C4" s="89">
        <v>1</v>
      </c>
      <c r="D4" s="58">
        <v>3</v>
      </c>
      <c r="E4" s="89">
        <v>12</v>
      </c>
      <c r="F4" s="19" t="s">
        <v>200</v>
      </c>
      <c r="G4" s="20" t="s">
        <v>14</v>
      </c>
      <c r="H4" s="18" t="s">
        <v>826</v>
      </c>
      <c r="I4" s="314" t="s">
        <v>801</v>
      </c>
      <c r="J4" s="276">
        <v>57600</v>
      </c>
      <c r="K4" s="275"/>
      <c r="L4" s="277">
        <v>2400</v>
      </c>
      <c r="M4" s="317"/>
      <c r="O4" s="318">
        <f>SUM(L2:L18)</f>
        <v>37500</v>
      </c>
      <c r="P4" s="232"/>
      <c r="Q4" s="319">
        <v>43200</v>
      </c>
      <c r="R4" s="319">
        <v>1800</v>
      </c>
      <c r="S4" s="319">
        <v>45000</v>
      </c>
    </row>
    <row r="5" spans="1:20" ht="16.5" customHeight="1" x14ac:dyDescent="0.45">
      <c r="A5" s="257">
        <v>4</v>
      </c>
      <c r="B5" s="316">
        <v>4</v>
      </c>
      <c r="C5" s="18">
        <v>1</v>
      </c>
      <c r="D5" s="20">
        <v>3</v>
      </c>
      <c r="E5" s="18">
        <v>20</v>
      </c>
      <c r="F5" s="19" t="s">
        <v>533</v>
      </c>
      <c r="G5" s="20" t="s">
        <v>14</v>
      </c>
      <c r="H5" s="18" t="s">
        <v>825</v>
      </c>
      <c r="I5" s="320" t="s">
        <v>545</v>
      </c>
      <c r="J5" s="271">
        <v>28800</v>
      </c>
      <c r="K5" s="270"/>
      <c r="L5" s="272">
        <v>1200</v>
      </c>
      <c r="M5" s="317"/>
      <c r="O5" s="318">
        <f>SUM(O3:O4)</f>
        <v>937500</v>
      </c>
      <c r="P5" s="232"/>
      <c r="Q5" s="310">
        <v>-64800</v>
      </c>
      <c r="R5" s="311">
        <v>-2700</v>
      </c>
      <c r="S5" s="311">
        <v>-67500</v>
      </c>
    </row>
    <row r="6" spans="1:20" ht="16.5" customHeight="1" x14ac:dyDescent="0.45">
      <c r="A6" s="257">
        <v>5</v>
      </c>
      <c r="B6" s="316">
        <v>5</v>
      </c>
      <c r="C6" s="89">
        <v>1</v>
      </c>
      <c r="D6" s="58">
        <v>5</v>
      </c>
      <c r="E6" s="89">
        <v>10</v>
      </c>
      <c r="F6" s="19" t="s">
        <v>202</v>
      </c>
      <c r="G6" s="20" t="s">
        <v>14</v>
      </c>
      <c r="H6" s="18" t="s">
        <v>825</v>
      </c>
      <c r="I6" s="314" t="s">
        <v>801</v>
      </c>
      <c r="J6" s="276">
        <v>57600</v>
      </c>
      <c r="K6" s="275"/>
      <c r="L6" s="277">
        <v>2400</v>
      </c>
      <c r="M6" s="317"/>
      <c r="Q6" s="321">
        <f>SUM(Q3:Q5)</f>
        <v>900000</v>
      </c>
      <c r="R6" s="321">
        <f t="shared" ref="R6:T6" si="1">SUM(R3:R5)</f>
        <v>37500</v>
      </c>
      <c r="S6" s="321">
        <f t="shared" si="1"/>
        <v>937500</v>
      </c>
      <c r="T6" s="13">
        <f t="shared" si="1"/>
        <v>0</v>
      </c>
    </row>
    <row r="7" spans="1:20" ht="16.5" customHeight="1" x14ac:dyDescent="0.45">
      <c r="A7" s="257">
        <v>6</v>
      </c>
      <c r="B7" s="316">
        <v>6</v>
      </c>
      <c r="C7" s="89">
        <v>1</v>
      </c>
      <c r="D7" s="58">
        <v>6</v>
      </c>
      <c r="E7" s="89">
        <v>1</v>
      </c>
      <c r="F7" s="19" t="s">
        <v>104</v>
      </c>
      <c r="G7" s="20" t="s">
        <v>14</v>
      </c>
      <c r="H7" s="18" t="s">
        <v>825</v>
      </c>
      <c r="I7" s="314" t="s">
        <v>801</v>
      </c>
      <c r="J7" s="276">
        <v>57600</v>
      </c>
      <c r="K7" s="275"/>
      <c r="L7" s="277">
        <v>2400</v>
      </c>
      <c r="M7" s="317"/>
      <c r="Q7" s="319"/>
      <c r="R7" s="319"/>
      <c r="S7" s="319"/>
      <c r="T7" s="322"/>
    </row>
    <row r="8" spans="1:20" ht="16.5" customHeight="1" x14ac:dyDescent="0.45">
      <c r="A8" s="257">
        <v>7</v>
      </c>
      <c r="B8" s="316">
        <v>7</v>
      </c>
      <c r="C8" s="89">
        <v>1</v>
      </c>
      <c r="D8" s="58">
        <v>6</v>
      </c>
      <c r="E8" s="89">
        <v>14</v>
      </c>
      <c r="F8" s="19" t="s">
        <v>699</v>
      </c>
      <c r="G8" s="20" t="s">
        <v>14</v>
      </c>
      <c r="H8" s="18" t="s">
        <v>825</v>
      </c>
      <c r="I8" s="314" t="s">
        <v>801</v>
      </c>
      <c r="J8" s="276">
        <v>57600</v>
      </c>
      <c r="K8" s="275"/>
      <c r="L8" s="277">
        <v>2400</v>
      </c>
      <c r="M8" s="317"/>
      <c r="Q8" s="310">
        <v>54000</v>
      </c>
      <c r="R8" s="311">
        <v>2250</v>
      </c>
      <c r="S8" s="311">
        <v>56250</v>
      </c>
      <c r="T8" s="31"/>
    </row>
    <row r="9" spans="1:20" ht="16.5" customHeight="1" x14ac:dyDescent="0.45">
      <c r="A9" s="257">
        <v>8</v>
      </c>
      <c r="B9" s="316">
        <v>8</v>
      </c>
      <c r="C9" s="89">
        <v>1</v>
      </c>
      <c r="D9" s="58">
        <v>7</v>
      </c>
      <c r="E9" s="89">
        <v>3</v>
      </c>
      <c r="F9" s="19" t="s">
        <v>827</v>
      </c>
      <c r="G9" s="20" t="s">
        <v>14</v>
      </c>
      <c r="H9" s="18" t="s">
        <v>825</v>
      </c>
      <c r="I9" s="320" t="s">
        <v>808</v>
      </c>
      <c r="J9" s="271">
        <v>43200</v>
      </c>
      <c r="K9" s="270"/>
      <c r="L9" s="272">
        <v>1800</v>
      </c>
      <c r="M9" s="317"/>
      <c r="Q9" s="321">
        <f>Q8*16</f>
        <v>864000</v>
      </c>
      <c r="R9" s="321">
        <f t="shared" ref="R9:S9" si="2">R8*16</f>
        <v>36000</v>
      </c>
      <c r="S9" s="321">
        <f t="shared" si="2"/>
        <v>900000</v>
      </c>
    </row>
    <row r="10" spans="1:20" ht="16.5" customHeight="1" x14ac:dyDescent="0.45">
      <c r="A10" s="257">
        <v>9</v>
      </c>
      <c r="B10" s="316">
        <v>9</v>
      </c>
      <c r="C10" s="89">
        <v>1</v>
      </c>
      <c r="D10" s="58">
        <v>7</v>
      </c>
      <c r="E10" s="89">
        <v>7</v>
      </c>
      <c r="F10" s="19" t="s">
        <v>828</v>
      </c>
      <c r="G10" s="20" t="s">
        <v>14</v>
      </c>
      <c r="H10" s="18" t="s">
        <v>825</v>
      </c>
      <c r="I10" s="314" t="s">
        <v>801</v>
      </c>
      <c r="J10" s="276">
        <v>57600</v>
      </c>
      <c r="K10" s="275"/>
      <c r="L10" s="277">
        <v>2400</v>
      </c>
      <c r="M10" s="317"/>
      <c r="Q10" s="319"/>
      <c r="R10" s="319"/>
      <c r="S10" s="319"/>
    </row>
    <row r="11" spans="1:20" ht="16.5" customHeight="1" x14ac:dyDescent="0.45">
      <c r="A11" s="257">
        <v>10</v>
      </c>
      <c r="B11" s="316">
        <v>10</v>
      </c>
      <c r="C11" s="89">
        <v>1</v>
      </c>
      <c r="D11" s="58">
        <v>8</v>
      </c>
      <c r="E11" s="89">
        <v>5</v>
      </c>
      <c r="F11" s="19" t="s">
        <v>112</v>
      </c>
      <c r="G11" s="20" t="s">
        <v>14</v>
      </c>
      <c r="H11" s="18" t="s">
        <v>825</v>
      </c>
      <c r="I11" s="314" t="s">
        <v>801</v>
      </c>
      <c r="J11" s="276">
        <v>57600</v>
      </c>
      <c r="K11" s="275"/>
      <c r="L11" s="277">
        <v>2400</v>
      </c>
      <c r="M11" s="317"/>
      <c r="Q11" s="319"/>
      <c r="R11" s="319"/>
      <c r="S11" s="319"/>
    </row>
    <row r="12" spans="1:20" ht="16.5" customHeight="1" x14ac:dyDescent="0.45">
      <c r="A12" s="257">
        <v>11</v>
      </c>
      <c r="B12" s="316">
        <v>11</v>
      </c>
      <c r="C12" s="89">
        <v>1</v>
      </c>
      <c r="D12" s="58">
        <v>10</v>
      </c>
      <c r="E12" s="89">
        <v>1</v>
      </c>
      <c r="F12" s="19" t="s">
        <v>534</v>
      </c>
      <c r="G12" s="20" t="s">
        <v>14</v>
      </c>
      <c r="H12" s="18" t="s">
        <v>825</v>
      </c>
      <c r="I12" s="314" t="s">
        <v>801</v>
      </c>
      <c r="J12" s="276">
        <v>57600</v>
      </c>
      <c r="K12" s="275"/>
      <c r="L12" s="277">
        <v>2400</v>
      </c>
      <c r="M12" s="317"/>
      <c r="Q12" s="321"/>
      <c r="R12" s="321"/>
      <c r="S12" s="321"/>
    </row>
    <row r="13" spans="1:20" ht="16.5" customHeight="1" x14ac:dyDescent="0.45">
      <c r="A13" s="257">
        <v>12</v>
      </c>
      <c r="B13" s="316">
        <v>12</v>
      </c>
      <c r="C13" s="89">
        <v>1</v>
      </c>
      <c r="D13" s="58">
        <v>10</v>
      </c>
      <c r="E13" s="89">
        <v>16</v>
      </c>
      <c r="F13" s="19" t="s">
        <v>111</v>
      </c>
      <c r="G13" s="20" t="s">
        <v>14</v>
      </c>
      <c r="H13" s="18" t="s">
        <v>825</v>
      </c>
      <c r="I13" s="320" t="s">
        <v>808</v>
      </c>
      <c r="J13" s="271">
        <v>43200</v>
      </c>
      <c r="K13" s="270"/>
      <c r="L13" s="272">
        <v>1800</v>
      </c>
      <c r="M13" s="317"/>
      <c r="Q13" s="310">
        <v>54000</v>
      </c>
      <c r="R13" s="311">
        <v>2250</v>
      </c>
      <c r="S13" s="311">
        <v>56250</v>
      </c>
    </row>
    <row r="14" spans="1:20" ht="16.5" customHeight="1" x14ac:dyDescent="0.45">
      <c r="A14" s="257">
        <v>13</v>
      </c>
      <c r="B14" s="316">
        <v>13</v>
      </c>
      <c r="C14" s="89">
        <v>1</v>
      </c>
      <c r="D14" s="58">
        <v>10</v>
      </c>
      <c r="E14" s="89">
        <v>22</v>
      </c>
      <c r="F14" s="19" t="s">
        <v>829</v>
      </c>
      <c r="G14" s="20" t="s">
        <v>14</v>
      </c>
      <c r="H14" s="18" t="s">
        <v>825</v>
      </c>
      <c r="I14" s="314" t="s">
        <v>801</v>
      </c>
      <c r="J14" s="276">
        <v>57600</v>
      </c>
      <c r="K14" s="275"/>
      <c r="L14" s="277">
        <v>2400</v>
      </c>
      <c r="M14" s="317"/>
      <c r="Q14" s="321">
        <f>Q13*16</f>
        <v>864000</v>
      </c>
      <c r="R14" s="321">
        <f t="shared" ref="R14:S14" si="3">R13*16</f>
        <v>36000</v>
      </c>
      <c r="S14" s="321">
        <f t="shared" si="3"/>
        <v>900000</v>
      </c>
    </row>
    <row r="15" spans="1:20" ht="16.5" customHeight="1" x14ac:dyDescent="0.45">
      <c r="A15" s="257">
        <v>14</v>
      </c>
      <c r="B15" s="316">
        <v>14</v>
      </c>
      <c r="C15" s="89">
        <v>1</v>
      </c>
      <c r="D15" s="58">
        <v>11</v>
      </c>
      <c r="E15" s="89">
        <v>9</v>
      </c>
      <c r="F15" s="19" t="s">
        <v>830</v>
      </c>
      <c r="G15" s="20" t="s">
        <v>14</v>
      </c>
      <c r="H15" s="18" t="s">
        <v>825</v>
      </c>
      <c r="I15" s="314" t="s">
        <v>801</v>
      </c>
      <c r="J15" s="276">
        <v>57600</v>
      </c>
      <c r="K15" s="275"/>
      <c r="L15" s="277">
        <v>2400</v>
      </c>
      <c r="M15" s="317"/>
      <c r="R15" s="310"/>
      <c r="S15" s="310"/>
    </row>
    <row r="16" spans="1:20" ht="16.5" customHeight="1" x14ac:dyDescent="0.45">
      <c r="A16" s="257">
        <v>15</v>
      </c>
      <c r="B16" s="316">
        <v>15</v>
      </c>
      <c r="C16" s="89">
        <v>2</v>
      </c>
      <c r="D16" s="58">
        <v>1</v>
      </c>
      <c r="E16" s="89">
        <v>22</v>
      </c>
      <c r="F16" s="19" t="s">
        <v>693</v>
      </c>
      <c r="G16" s="20" t="s">
        <v>14</v>
      </c>
      <c r="H16" s="18" t="s">
        <v>825</v>
      </c>
      <c r="I16" s="314" t="s">
        <v>801</v>
      </c>
      <c r="J16" s="276">
        <v>57600</v>
      </c>
      <c r="K16" s="275"/>
      <c r="L16" s="277">
        <v>2400</v>
      </c>
      <c r="M16" s="317"/>
      <c r="Q16" s="323">
        <f>SUM(Q6,Q9,Q14)</f>
        <v>2628000</v>
      </c>
      <c r="R16" s="323">
        <f t="shared" ref="R16:T16" si="4">SUM(R6,R9,R14)</f>
        <v>109500</v>
      </c>
      <c r="S16" s="323">
        <f t="shared" si="4"/>
        <v>2737500</v>
      </c>
      <c r="T16" s="12">
        <f t="shared" si="4"/>
        <v>0</v>
      </c>
    </row>
    <row r="17" spans="1:20" ht="16.5" customHeight="1" x14ac:dyDescent="0.45">
      <c r="A17" s="257">
        <v>16</v>
      </c>
      <c r="B17" s="316">
        <v>16</v>
      </c>
      <c r="C17" s="89">
        <v>2</v>
      </c>
      <c r="D17" s="58">
        <v>6</v>
      </c>
      <c r="E17" s="89">
        <v>3</v>
      </c>
      <c r="F17" s="19" t="s">
        <v>548</v>
      </c>
      <c r="G17" s="20" t="s">
        <v>14</v>
      </c>
      <c r="H17" s="18" t="s">
        <v>825</v>
      </c>
      <c r="I17" s="320" t="s">
        <v>831</v>
      </c>
      <c r="J17" s="271">
        <v>36000</v>
      </c>
      <c r="K17" s="270"/>
      <c r="L17" s="272">
        <v>1500</v>
      </c>
      <c r="M17" s="317"/>
      <c r="Q17" s="319"/>
      <c r="R17" s="319"/>
      <c r="S17" s="319"/>
    </row>
    <row r="18" spans="1:20" ht="16.5" customHeight="1" x14ac:dyDescent="0.45">
      <c r="A18" s="257">
        <v>17</v>
      </c>
      <c r="B18" s="316">
        <v>17</v>
      </c>
      <c r="C18" s="89">
        <v>2</v>
      </c>
      <c r="D18" s="58">
        <v>9</v>
      </c>
      <c r="E18" s="89">
        <v>21</v>
      </c>
      <c r="F18" s="57" t="s">
        <v>71</v>
      </c>
      <c r="G18" s="58" t="s">
        <v>14</v>
      </c>
      <c r="H18" s="89" t="s">
        <v>825</v>
      </c>
      <c r="I18" s="314" t="s">
        <v>801</v>
      </c>
      <c r="J18" s="276">
        <v>57600</v>
      </c>
      <c r="K18" s="275"/>
      <c r="L18" s="277">
        <v>2400</v>
      </c>
      <c r="M18" s="317"/>
      <c r="Q18" s="319"/>
      <c r="R18" s="319"/>
      <c r="S18" s="319"/>
      <c r="T18" s="12">
        <f t="shared" ref="T18" si="5">T17*30</f>
        <v>0</v>
      </c>
    </row>
    <row r="19" spans="1:20" ht="16.5" customHeight="1" x14ac:dyDescent="0.45">
      <c r="A19" s="257">
        <v>18</v>
      </c>
      <c r="B19" s="313">
        <v>1</v>
      </c>
      <c r="C19" s="39">
        <v>1</v>
      </c>
      <c r="D19" s="41">
        <v>1</v>
      </c>
      <c r="E19" s="39">
        <v>3</v>
      </c>
      <c r="F19" s="40" t="s">
        <v>689</v>
      </c>
      <c r="G19" s="41" t="s">
        <v>14</v>
      </c>
      <c r="H19" s="39" t="s">
        <v>832</v>
      </c>
      <c r="I19" s="324" t="s">
        <v>801</v>
      </c>
      <c r="J19" s="264">
        <v>57600</v>
      </c>
      <c r="K19" s="263"/>
      <c r="L19" s="265">
        <v>2400</v>
      </c>
      <c r="M19" s="315">
        <f>SUM(J19:K34)</f>
        <v>867600</v>
      </c>
      <c r="O19" s="318">
        <f>SUM(J19:K34)</f>
        <v>867600</v>
      </c>
      <c r="Q19" s="310">
        <v>57600</v>
      </c>
      <c r="R19" s="311">
        <v>2400</v>
      </c>
      <c r="S19" s="311">
        <v>60000</v>
      </c>
    </row>
    <row r="20" spans="1:20" ht="16.5" customHeight="1" x14ac:dyDescent="0.45">
      <c r="A20" s="257">
        <v>19</v>
      </c>
      <c r="B20" s="316">
        <v>2</v>
      </c>
      <c r="C20" s="18">
        <v>1</v>
      </c>
      <c r="D20" s="20">
        <v>1</v>
      </c>
      <c r="E20" s="18">
        <v>4</v>
      </c>
      <c r="F20" s="19" t="s">
        <v>691</v>
      </c>
      <c r="G20" s="20" t="s">
        <v>14</v>
      </c>
      <c r="H20" s="18" t="s">
        <v>832</v>
      </c>
      <c r="I20" s="320" t="s">
        <v>808</v>
      </c>
      <c r="J20" s="271">
        <v>43200</v>
      </c>
      <c r="K20" s="270"/>
      <c r="L20" s="272">
        <v>1800</v>
      </c>
      <c r="M20" s="317"/>
      <c r="O20" s="318">
        <f>SUM(L19:L34)</f>
        <v>36150</v>
      </c>
      <c r="Q20" s="310">
        <f>Q19*16</f>
        <v>921600</v>
      </c>
      <c r="R20" s="310">
        <f t="shared" ref="R20:S20" si="6">R19*16</f>
        <v>38400</v>
      </c>
      <c r="S20" s="310">
        <f t="shared" si="6"/>
        <v>960000</v>
      </c>
    </row>
    <row r="21" spans="1:20" ht="16.5" customHeight="1" x14ac:dyDescent="0.45">
      <c r="A21" s="257">
        <v>20</v>
      </c>
      <c r="B21" s="316">
        <v>3</v>
      </c>
      <c r="C21" s="18">
        <v>1</v>
      </c>
      <c r="D21" s="20">
        <v>1</v>
      </c>
      <c r="E21" s="18">
        <v>7</v>
      </c>
      <c r="F21" s="19" t="s">
        <v>198</v>
      </c>
      <c r="G21" s="20" t="s">
        <v>14</v>
      </c>
      <c r="H21" s="18" t="s">
        <v>832</v>
      </c>
      <c r="I21" s="314" t="s">
        <v>801</v>
      </c>
      <c r="J21" s="276">
        <v>57600</v>
      </c>
      <c r="K21" s="275"/>
      <c r="L21" s="277">
        <v>2400</v>
      </c>
      <c r="M21" s="317"/>
      <c r="O21" s="318">
        <f>SUM(O19:O20)</f>
        <v>903750</v>
      </c>
      <c r="Q21" s="310">
        <v>-54000</v>
      </c>
      <c r="R21" s="311">
        <v>-2250</v>
      </c>
      <c r="S21" s="311">
        <v>-56250</v>
      </c>
    </row>
    <row r="22" spans="1:20" ht="16.5" customHeight="1" x14ac:dyDescent="0.45">
      <c r="A22" s="257">
        <v>21</v>
      </c>
      <c r="B22" s="316">
        <v>4</v>
      </c>
      <c r="C22" s="18">
        <v>1</v>
      </c>
      <c r="D22" s="20">
        <v>2</v>
      </c>
      <c r="E22" s="18">
        <v>1</v>
      </c>
      <c r="F22" s="19" t="s">
        <v>676</v>
      </c>
      <c r="G22" s="20" t="s">
        <v>14</v>
      </c>
      <c r="H22" s="18" t="s">
        <v>832</v>
      </c>
      <c r="I22" s="320" t="s">
        <v>817</v>
      </c>
      <c r="J22" s="271">
        <v>50400</v>
      </c>
      <c r="K22" s="270"/>
      <c r="L22" s="272">
        <v>2100</v>
      </c>
      <c r="M22" s="317"/>
      <c r="Q22" s="325">
        <f>SUM(Q20:Q21)</f>
        <v>867600</v>
      </c>
      <c r="R22" s="325">
        <f t="shared" ref="R22:S22" si="7">SUM(R20:R21)</f>
        <v>36150</v>
      </c>
      <c r="S22" s="325">
        <f t="shared" si="7"/>
        <v>903750</v>
      </c>
    </row>
    <row r="23" spans="1:20" ht="16.5" customHeight="1" x14ac:dyDescent="0.45">
      <c r="A23" s="257">
        <v>22</v>
      </c>
      <c r="B23" s="316">
        <v>5</v>
      </c>
      <c r="C23" s="18">
        <v>1</v>
      </c>
      <c r="D23" s="20">
        <v>2</v>
      </c>
      <c r="E23" s="18">
        <v>3</v>
      </c>
      <c r="F23" s="19" t="s">
        <v>662</v>
      </c>
      <c r="G23" s="20" t="s">
        <v>14</v>
      </c>
      <c r="H23" s="18" t="s">
        <v>832</v>
      </c>
      <c r="I23" s="314" t="s">
        <v>801</v>
      </c>
      <c r="J23" s="276">
        <v>57600</v>
      </c>
      <c r="K23" s="275"/>
      <c r="L23" s="277">
        <v>2400</v>
      </c>
      <c r="M23" s="317"/>
      <c r="Q23" s="319"/>
      <c r="R23" s="319"/>
      <c r="S23" s="319"/>
    </row>
    <row r="24" spans="1:20" ht="16.5" customHeight="1" x14ac:dyDescent="0.45">
      <c r="A24" s="257">
        <v>23</v>
      </c>
      <c r="B24" s="316">
        <v>6</v>
      </c>
      <c r="C24" s="18">
        <v>1</v>
      </c>
      <c r="D24" s="20">
        <v>3</v>
      </c>
      <c r="E24" s="18">
        <v>10</v>
      </c>
      <c r="F24" s="19" t="s">
        <v>169</v>
      </c>
      <c r="G24" s="20" t="s">
        <v>14</v>
      </c>
      <c r="H24" s="18" t="s">
        <v>832</v>
      </c>
      <c r="I24" s="320" t="s">
        <v>817</v>
      </c>
      <c r="J24" s="271">
        <v>50400</v>
      </c>
      <c r="K24" s="270"/>
      <c r="L24" s="272">
        <v>2100</v>
      </c>
      <c r="M24" s="317"/>
      <c r="Q24" s="310">
        <v>54000</v>
      </c>
      <c r="R24" s="311">
        <v>2250</v>
      </c>
      <c r="S24" s="311">
        <v>56250</v>
      </c>
    </row>
    <row r="25" spans="1:20" ht="16.5" customHeight="1" x14ac:dyDescent="0.45">
      <c r="A25" s="257">
        <v>24</v>
      </c>
      <c r="B25" s="316">
        <v>7</v>
      </c>
      <c r="C25" s="18">
        <v>1</v>
      </c>
      <c r="D25" s="20">
        <v>4</v>
      </c>
      <c r="E25" s="18">
        <v>6</v>
      </c>
      <c r="F25" s="19" t="s">
        <v>226</v>
      </c>
      <c r="G25" s="20" t="s">
        <v>14</v>
      </c>
      <c r="H25" s="18" t="s">
        <v>833</v>
      </c>
      <c r="I25" s="314" t="s">
        <v>801</v>
      </c>
      <c r="J25" s="276">
        <v>57600</v>
      </c>
      <c r="K25" s="275"/>
      <c r="L25" s="277">
        <v>2400</v>
      </c>
      <c r="M25" s="317"/>
      <c r="Q25" s="310">
        <f>Q24*16</f>
        <v>864000</v>
      </c>
      <c r="R25" s="310">
        <f t="shared" ref="R25:S25" si="8">R24*16</f>
        <v>36000</v>
      </c>
      <c r="S25" s="310">
        <f t="shared" si="8"/>
        <v>900000</v>
      </c>
    </row>
    <row r="26" spans="1:20" ht="16.5" customHeight="1" x14ac:dyDescent="0.45">
      <c r="A26" s="257">
        <v>25</v>
      </c>
      <c r="B26" s="316">
        <v>8</v>
      </c>
      <c r="C26" s="18">
        <v>1</v>
      </c>
      <c r="D26" s="20">
        <v>6</v>
      </c>
      <c r="E26" s="18">
        <v>5</v>
      </c>
      <c r="F26" s="19" t="s">
        <v>593</v>
      </c>
      <c r="G26" s="20" t="s">
        <v>14</v>
      </c>
      <c r="H26" s="18" t="s">
        <v>832</v>
      </c>
      <c r="I26" s="314" t="s">
        <v>801</v>
      </c>
      <c r="J26" s="276">
        <v>57600</v>
      </c>
      <c r="K26" s="275"/>
      <c r="L26" s="277">
        <v>2400</v>
      </c>
      <c r="M26" s="317"/>
    </row>
    <row r="27" spans="1:20" ht="16.5" customHeight="1" x14ac:dyDescent="0.45">
      <c r="A27" s="257">
        <v>26</v>
      </c>
      <c r="B27" s="316">
        <v>9</v>
      </c>
      <c r="C27" s="18">
        <v>1</v>
      </c>
      <c r="D27" s="20">
        <v>6</v>
      </c>
      <c r="E27" s="18">
        <v>13</v>
      </c>
      <c r="F27" s="19" t="s">
        <v>621</v>
      </c>
      <c r="G27" s="20" t="s">
        <v>14</v>
      </c>
      <c r="H27" s="18" t="s">
        <v>832</v>
      </c>
      <c r="I27" s="314" t="s">
        <v>801</v>
      </c>
      <c r="J27" s="276">
        <v>57600</v>
      </c>
      <c r="K27" s="275"/>
      <c r="L27" s="277">
        <v>2400</v>
      </c>
      <c r="M27" s="317"/>
      <c r="Q27" s="310">
        <v>54000</v>
      </c>
      <c r="R27" s="311">
        <v>2250</v>
      </c>
      <c r="S27" s="311">
        <v>56250</v>
      </c>
    </row>
    <row r="28" spans="1:20" ht="16.5" customHeight="1" x14ac:dyDescent="0.45">
      <c r="A28" s="257">
        <v>27</v>
      </c>
      <c r="B28" s="316">
        <v>10</v>
      </c>
      <c r="C28" s="18">
        <v>1</v>
      </c>
      <c r="D28" s="20">
        <v>7</v>
      </c>
      <c r="E28" s="18">
        <v>10</v>
      </c>
      <c r="F28" s="19" t="s">
        <v>606</v>
      </c>
      <c r="G28" s="20" t="s">
        <v>14</v>
      </c>
      <c r="H28" s="18" t="s">
        <v>832</v>
      </c>
      <c r="I28" s="314" t="s">
        <v>801</v>
      </c>
      <c r="J28" s="276">
        <v>57600</v>
      </c>
      <c r="K28" s="275"/>
      <c r="L28" s="277">
        <v>2400</v>
      </c>
      <c r="M28" s="317"/>
      <c r="Q28" s="310">
        <f>Q27*16</f>
        <v>864000</v>
      </c>
      <c r="R28" s="310">
        <f t="shared" ref="R28:S28" si="9">R27*16</f>
        <v>36000</v>
      </c>
      <c r="S28" s="310">
        <f t="shared" si="9"/>
        <v>900000</v>
      </c>
    </row>
    <row r="29" spans="1:20" ht="16.5" customHeight="1" x14ac:dyDescent="0.45">
      <c r="A29" s="257">
        <v>28</v>
      </c>
      <c r="B29" s="316">
        <v>11</v>
      </c>
      <c r="C29" s="18">
        <v>1</v>
      </c>
      <c r="D29" s="20">
        <v>8</v>
      </c>
      <c r="E29" s="18">
        <v>13</v>
      </c>
      <c r="F29" s="19" t="s">
        <v>834</v>
      </c>
      <c r="G29" s="20" t="s">
        <v>14</v>
      </c>
      <c r="H29" s="18" t="s">
        <v>832</v>
      </c>
      <c r="I29" s="320" t="s">
        <v>804</v>
      </c>
      <c r="J29" s="271">
        <v>46800</v>
      </c>
      <c r="K29" s="270"/>
      <c r="L29" s="272">
        <v>1950</v>
      </c>
      <c r="M29" s="317"/>
      <c r="Q29"/>
      <c r="R29"/>
      <c r="S29"/>
    </row>
    <row r="30" spans="1:20" ht="16.5" customHeight="1" x14ac:dyDescent="0.45">
      <c r="A30" s="257">
        <v>29</v>
      </c>
      <c r="B30" s="316">
        <v>12</v>
      </c>
      <c r="C30" s="18">
        <v>1</v>
      </c>
      <c r="D30" s="20">
        <v>8</v>
      </c>
      <c r="E30" s="18">
        <v>21</v>
      </c>
      <c r="F30" s="19" t="s">
        <v>622</v>
      </c>
      <c r="G30" s="20" t="s">
        <v>14</v>
      </c>
      <c r="H30" s="18" t="s">
        <v>832</v>
      </c>
      <c r="I30" s="314" t="s">
        <v>801</v>
      </c>
      <c r="J30" s="276">
        <v>57600</v>
      </c>
      <c r="K30" s="275"/>
      <c r="L30" s="277">
        <v>2400</v>
      </c>
      <c r="M30" s="317"/>
      <c r="Q30" s="326">
        <f>SUM(Q22,Q25,Q28)</f>
        <v>2595600</v>
      </c>
      <c r="R30" s="326">
        <f t="shared" ref="R30:S30" si="10">SUM(R22,R25,R28)</f>
        <v>108150</v>
      </c>
      <c r="S30" s="326">
        <f t="shared" si="10"/>
        <v>2703750</v>
      </c>
    </row>
    <row r="31" spans="1:20" ht="16.5" customHeight="1" x14ac:dyDescent="0.45">
      <c r="A31" s="257">
        <v>30</v>
      </c>
      <c r="B31" s="316">
        <v>13</v>
      </c>
      <c r="C31" s="18">
        <v>1</v>
      </c>
      <c r="D31" s="20">
        <v>10</v>
      </c>
      <c r="E31" s="18">
        <v>12</v>
      </c>
      <c r="F31" s="19" t="s">
        <v>207</v>
      </c>
      <c r="G31" s="20" t="s">
        <v>14</v>
      </c>
      <c r="H31" s="18" t="s">
        <v>832</v>
      </c>
      <c r="I31" s="320" t="s">
        <v>835</v>
      </c>
      <c r="J31" s="271">
        <v>54000</v>
      </c>
      <c r="K31" s="270"/>
      <c r="L31" s="272">
        <v>2250</v>
      </c>
      <c r="M31" s="317"/>
      <c r="Q31"/>
      <c r="R31"/>
      <c r="S31"/>
    </row>
    <row r="32" spans="1:20" ht="16.5" customHeight="1" x14ac:dyDescent="0.45">
      <c r="A32" s="257">
        <v>31</v>
      </c>
      <c r="B32" s="316">
        <v>14</v>
      </c>
      <c r="C32" s="18">
        <v>2</v>
      </c>
      <c r="D32" s="20">
        <v>2</v>
      </c>
      <c r="E32" s="18">
        <v>20</v>
      </c>
      <c r="F32" s="19" t="s">
        <v>209</v>
      </c>
      <c r="G32" s="20" t="s">
        <v>14</v>
      </c>
      <c r="H32" s="18" t="s">
        <v>832</v>
      </c>
      <c r="I32" s="320" t="s">
        <v>835</v>
      </c>
      <c r="J32" s="271">
        <v>54000</v>
      </c>
      <c r="K32" s="270"/>
      <c r="L32" s="272">
        <v>2250</v>
      </c>
      <c r="M32" s="317"/>
      <c r="Q32"/>
      <c r="R32"/>
      <c r="S32"/>
    </row>
    <row r="33" spans="1:27" ht="16.5" customHeight="1" x14ac:dyDescent="0.45">
      <c r="A33" s="257">
        <v>32</v>
      </c>
      <c r="B33" s="316">
        <v>15</v>
      </c>
      <c r="C33" s="18">
        <v>2</v>
      </c>
      <c r="D33" s="20">
        <v>5</v>
      </c>
      <c r="E33" s="18">
        <v>21</v>
      </c>
      <c r="F33" s="19" t="s">
        <v>577</v>
      </c>
      <c r="G33" s="20" t="s">
        <v>14</v>
      </c>
      <c r="H33" s="18" t="s">
        <v>832</v>
      </c>
      <c r="I33" s="314" t="s">
        <v>801</v>
      </c>
      <c r="J33" s="276">
        <v>57600</v>
      </c>
      <c r="K33" s="275"/>
      <c r="L33" s="277">
        <v>2400</v>
      </c>
      <c r="M33" s="317"/>
    </row>
    <row r="34" spans="1:27" ht="16.5" customHeight="1" x14ac:dyDescent="0.45">
      <c r="A34" s="257">
        <v>33</v>
      </c>
      <c r="B34" s="316">
        <v>16</v>
      </c>
      <c r="C34" s="18">
        <v>2</v>
      </c>
      <c r="D34" s="20">
        <v>9</v>
      </c>
      <c r="E34" s="18">
        <v>15</v>
      </c>
      <c r="F34" s="19" t="s">
        <v>380</v>
      </c>
      <c r="G34" s="20" t="s">
        <v>14</v>
      </c>
      <c r="H34" s="18" t="s">
        <v>832</v>
      </c>
      <c r="I34" s="320" t="s">
        <v>817</v>
      </c>
      <c r="J34" s="271">
        <v>50400</v>
      </c>
      <c r="K34" s="270"/>
      <c r="L34" s="272">
        <v>2100</v>
      </c>
      <c r="M34" s="317"/>
    </row>
    <row r="35" spans="1:27" ht="16.5" customHeight="1" x14ac:dyDescent="0.45">
      <c r="A35" s="257">
        <v>34</v>
      </c>
      <c r="B35" s="313">
        <v>1</v>
      </c>
      <c r="C35" s="87">
        <v>1</v>
      </c>
      <c r="D35" s="56">
        <v>3</v>
      </c>
      <c r="E35" s="87">
        <v>9</v>
      </c>
      <c r="F35" s="55" t="s">
        <v>639</v>
      </c>
      <c r="G35" s="56" t="s">
        <v>14</v>
      </c>
      <c r="H35" s="87" t="s">
        <v>836</v>
      </c>
      <c r="I35" s="327" t="s">
        <v>835</v>
      </c>
      <c r="J35" s="328">
        <v>54000</v>
      </c>
      <c r="K35" s="329"/>
      <c r="L35" s="330">
        <v>2250</v>
      </c>
      <c r="M35" s="315">
        <f>SUM(J35:K39)</f>
        <v>255600</v>
      </c>
      <c r="O35" s="318">
        <f>SUM(J35:K39)</f>
        <v>255600</v>
      </c>
      <c r="Q35" s="310">
        <v>57600</v>
      </c>
      <c r="R35" s="311">
        <v>2400</v>
      </c>
      <c r="S35" s="311">
        <v>60000</v>
      </c>
      <c r="T35"/>
      <c r="U35">
        <v>50400</v>
      </c>
      <c r="V35">
        <v>2100</v>
      </c>
      <c r="W35">
        <v>52500</v>
      </c>
      <c r="Y35">
        <v>54000</v>
      </c>
      <c r="Z35">
        <v>2250</v>
      </c>
      <c r="AA35">
        <v>56250</v>
      </c>
    </row>
    <row r="36" spans="1:27" ht="16.5" customHeight="1" x14ac:dyDescent="0.45">
      <c r="A36" s="257">
        <v>35</v>
      </c>
      <c r="B36" s="316">
        <v>2</v>
      </c>
      <c r="C36" s="89">
        <v>1</v>
      </c>
      <c r="D36" s="58">
        <v>3</v>
      </c>
      <c r="E36" s="89">
        <v>18</v>
      </c>
      <c r="F36" s="57" t="s">
        <v>837</v>
      </c>
      <c r="G36" s="58" t="s">
        <v>14</v>
      </c>
      <c r="H36" s="89" t="s">
        <v>836</v>
      </c>
      <c r="I36" s="314" t="s">
        <v>801</v>
      </c>
      <c r="J36" s="276">
        <v>57600</v>
      </c>
      <c r="K36" s="275"/>
      <c r="L36" s="277">
        <v>2400</v>
      </c>
      <c r="M36" s="317"/>
      <c r="O36" s="318">
        <f>SUM(L35:L39)</f>
        <v>10650</v>
      </c>
      <c r="Q36" s="232">
        <f>Q35*5</f>
        <v>288000</v>
      </c>
      <c r="R36" s="232">
        <f t="shared" ref="R36:S36" si="11">R35*5</f>
        <v>12000</v>
      </c>
      <c r="S36" s="232">
        <f t="shared" si="11"/>
        <v>300000</v>
      </c>
      <c r="T36"/>
      <c r="U36" s="232">
        <f>U35*5</f>
        <v>252000</v>
      </c>
      <c r="V36" s="232">
        <f t="shared" ref="V36:W36" si="12">V35*5</f>
        <v>10500</v>
      </c>
      <c r="W36" s="232">
        <f t="shared" si="12"/>
        <v>262500</v>
      </c>
      <c r="Y36" s="232">
        <f>Y35*5</f>
        <v>270000</v>
      </c>
      <c r="Z36" s="232">
        <f t="shared" ref="Z36:AA36" si="13">Z35*5</f>
        <v>11250</v>
      </c>
      <c r="AA36" s="232">
        <f t="shared" si="13"/>
        <v>281250</v>
      </c>
    </row>
    <row r="37" spans="1:27" ht="16.5" customHeight="1" x14ac:dyDescent="0.45">
      <c r="A37" s="257">
        <v>36</v>
      </c>
      <c r="B37" s="316">
        <v>3</v>
      </c>
      <c r="C37" s="89">
        <v>1</v>
      </c>
      <c r="D37" s="58">
        <v>5</v>
      </c>
      <c r="E37" s="89">
        <v>2</v>
      </c>
      <c r="F37" s="57" t="s">
        <v>838</v>
      </c>
      <c r="G37" s="58" t="s">
        <v>14</v>
      </c>
      <c r="H37" s="89" t="s">
        <v>839</v>
      </c>
      <c r="I37" s="320" t="s">
        <v>808</v>
      </c>
      <c r="J37" s="271">
        <v>43200</v>
      </c>
      <c r="K37" s="270"/>
      <c r="L37" s="272">
        <v>1800</v>
      </c>
      <c r="M37" s="317"/>
      <c r="O37" s="318">
        <f>SUM(O35:O36)</f>
        <v>266250</v>
      </c>
      <c r="Q37" s="310">
        <v>-32400</v>
      </c>
      <c r="R37" s="311">
        <v>-1350</v>
      </c>
      <c r="S37" s="311">
        <v>-33750</v>
      </c>
    </row>
    <row r="38" spans="1:27" ht="16.5" customHeight="1" x14ac:dyDescent="0.45">
      <c r="A38" s="257">
        <v>37</v>
      </c>
      <c r="B38" s="316">
        <v>4</v>
      </c>
      <c r="C38" s="89">
        <v>1</v>
      </c>
      <c r="D38" s="58">
        <v>11</v>
      </c>
      <c r="E38" s="89">
        <v>12</v>
      </c>
      <c r="F38" s="57" t="s">
        <v>67</v>
      </c>
      <c r="G38" s="58" t="s">
        <v>14</v>
      </c>
      <c r="H38" s="89" t="s">
        <v>836</v>
      </c>
      <c r="I38" s="320" t="s">
        <v>808</v>
      </c>
      <c r="J38" s="271">
        <v>43200</v>
      </c>
      <c r="K38" s="270"/>
      <c r="L38" s="272">
        <v>1800</v>
      </c>
      <c r="M38" s="317"/>
      <c r="Q38" s="232">
        <f>SUM(Q36:Q37)</f>
        <v>255600</v>
      </c>
      <c r="R38" s="232">
        <f t="shared" ref="R38:T38" si="14">SUM(R36:R37)</f>
        <v>10650</v>
      </c>
      <c r="S38" s="232">
        <f t="shared" si="14"/>
        <v>266250</v>
      </c>
      <c r="T38" s="232">
        <f t="shared" si="14"/>
        <v>0</v>
      </c>
    </row>
    <row r="39" spans="1:27" ht="16.5" customHeight="1" x14ac:dyDescent="0.45">
      <c r="A39" s="257">
        <v>38</v>
      </c>
      <c r="B39" s="331">
        <v>5</v>
      </c>
      <c r="C39" s="163">
        <v>2</v>
      </c>
      <c r="D39" s="66">
        <v>5</v>
      </c>
      <c r="E39" s="163">
        <v>19</v>
      </c>
      <c r="F39" s="65" t="s">
        <v>840</v>
      </c>
      <c r="G39" s="66" t="s">
        <v>14</v>
      </c>
      <c r="H39" s="163" t="s">
        <v>836</v>
      </c>
      <c r="I39" s="332" t="s">
        <v>801</v>
      </c>
      <c r="J39" s="286">
        <v>57600</v>
      </c>
      <c r="K39" s="285"/>
      <c r="L39" s="287">
        <v>2400</v>
      </c>
      <c r="M39" s="333"/>
      <c r="Q39" s="326">
        <f>SUM(Q38,U36,Y36)</f>
        <v>777600</v>
      </c>
      <c r="R39" s="326">
        <f>SUM(R38,V36,Z36)</f>
        <v>32400</v>
      </c>
      <c r="S39" s="326">
        <f>SUM(S38,W36,AA36)</f>
        <v>810000</v>
      </c>
    </row>
    <row r="40" spans="1:27" ht="16.5" customHeight="1" x14ac:dyDescent="0.45">
      <c r="A40" s="257">
        <v>39</v>
      </c>
      <c r="B40" s="316">
        <v>1</v>
      </c>
      <c r="C40" s="89">
        <v>2</v>
      </c>
      <c r="D40" s="58">
        <v>2</v>
      </c>
      <c r="E40" s="89">
        <v>10</v>
      </c>
      <c r="F40" s="57" t="s">
        <v>298</v>
      </c>
      <c r="G40" s="58" t="s">
        <v>14</v>
      </c>
      <c r="H40" s="89" t="s">
        <v>841</v>
      </c>
      <c r="I40" s="314" t="s">
        <v>801</v>
      </c>
      <c r="J40" s="276">
        <v>57600</v>
      </c>
      <c r="K40" s="275"/>
      <c r="L40" s="277">
        <v>2400</v>
      </c>
      <c r="M40" s="317">
        <f>SUM(I40:K53)</f>
        <v>770400</v>
      </c>
      <c r="Q40"/>
      <c r="R40"/>
      <c r="S40"/>
    </row>
    <row r="41" spans="1:27" ht="16.5" customHeight="1" x14ac:dyDescent="0.45">
      <c r="A41" s="257">
        <v>40</v>
      </c>
      <c r="B41" s="316">
        <v>2</v>
      </c>
      <c r="C41" s="89">
        <v>2</v>
      </c>
      <c r="D41" s="58">
        <v>5</v>
      </c>
      <c r="E41" s="89">
        <v>2</v>
      </c>
      <c r="F41" s="57" t="s">
        <v>147</v>
      </c>
      <c r="G41" s="58" t="s">
        <v>14</v>
      </c>
      <c r="H41" s="89" t="s">
        <v>841</v>
      </c>
      <c r="I41" s="320" t="s">
        <v>808</v>
      </c>
      <c r="J41" s="271">
        <v>43200</v>
      </c>
      <c r="K41" s="270"/>
      <c r="L41" s="272">
        <v>1800</v>
      </c>
      <c r="M41" s="317"/>
      <c r="Q41" s="310">
        <v>57600</v>
      </c>
      <c r="R41" s="311">
        <v>2400</v>
      </c>
      <c r="S41" s="311">
        <v>60000</v>
      </c>
    </row>
    <row r="42" spans="1:27" ht="16.5" customHeight="1" x14ac:dyDescent="0.45">
      <c r="A42" s="257">
        <v>41</v>
      </c>
      <c r="B42" s="316">
        <v>3</v>
      </c>
      <c r="C42" s="89">
        <v>2</v>
      </c>
      <c r="D42" s="58">
        <v>5</v>
      </c>
      <c r="E42" s="89">
        <v>22</v>
      </c>
      <c r="F42" s="57" t="s">
        <v>162</v>
      </c>
      <c r="G42" s="58" t="s">
        <v>14</v>
      </c>
      <c r="H42" s="89" t="s">
        <v>841</v>
      </c>
      <c r="I42" s="314" t="s">
        <v>801</v>
      </c>
      <c r="J42" s="276">
        <v>57600</v>
      </c>
      <c r="K42" s="275"/>
      <c r="L42" s="277">
        <v>2400</v>
      </c>
      <c r="M42" s="317"/>
      <c r="O42" s="318">
        <f>SUM(J40:K53)</f>
        <v>770400</v>
      </c>
      <c r="Q42" s="232">
        <f>Q41*14</f>
        <v>806400</v>
      </c>
      <c r="R42" s="232">
        <f t="shared" ref="R42:S42" si="15">R41*14</f>
        <v>33600</v>
      </c>
      <c r="S42" s="232">
        <f t="shared" si="15"/>
        <v>840000</v>
      </c>
    </row>
    <row r="43" spans="1:27" ht="16.5" customHeight="1" x14ac:dyDescent="0.45">
      <c r="A43" s="257">
        <v>42</v>
      </c>
      <c r="B43" s="316">
        <v>4</v>
      </c>
      <c r="C43" s="89">
        <v>2</v>
      </c>
      <c r="D43" s="58">
        <v>8</v>
      </c>
      <c r="E43" s="89">
        <v>9</v>
      </c>
      <c r="F43" s="57" t="s">
        <v>473</v>
      </c>
      <c r="G43" s="58" t="s">
        <v>14</v>
      </c>
      <c r="H43" s="89" t="s">
        <v>841</v>
      </c>
      <c r="I43" s="320" t="s">
        <v>817</v>
      </c>
      <c r="J43" s="271">
        <v>50400</v>
      </c>
      <c r="K43" s="270"/>
      <c r="L43" s="272">
        <v>2100</v>
      </c>
      <c r="M43" s="317"/>
      <c r="O43" s="318">
        <f>SUM(L40:L53)</f>
        <v>32100</v>
      </c>
      <c r="Q43">
        <v>-36000</v>
      </c>
      <c r="R43">
        <v>-1500</v>
      </c>
      <c r="S43">
        <v>-37500</v>
      </c>
    </row>
    <row r="44" spans="1:27" ht="16.5" customHeight="1" x14ac:dyDescent="0.45">
      <c r="A44" s="257">
        <v>43</v>
      </c>
      <c r="B44" s="316">
        <v>5</v>
      </c>
      <c r="C44" s="89">
        <v>2</v>
      </c>
      <c r="D44" s="58">
        <v>9</v>
      </c>
      <c r="E44" s="89">
        <v>12</v>
      </c>
      <c r="F44" s="57" t="s">
        <v>379</v>
      </c>
      <c r="G44" s="58" t="s">
        <v>14</v>
      </c>
      <c r="H44" s="89" t="s">
        <v>841</v>
      </c>
      <c r="I44" s="320" t="s">
        <v>835</v>
      </c>
      <c r="J44" s="271">
        <v>54000</v>
      </c>
      <c r="K44" s="270"/>
      <c r="L44" s="272">
        <v>2250</v>
      </c>
      <c r="M44" s="317"/>
      <c r="O44" s="318">
        <f>SUM(O42:O43)</f>
        <v>802500</v>
      </c>
      <c r="Q44" s="232">
        <f>SUM(Q42:Q43)</f>
        <v>770400</v>
      </c>
      <c r="R44" s="232">
        <f t="shared" ref="R44:S44" si="16">SUM(R42:R43)</f>
        <v>32100</v>
      </c>
      <c r="S44" s="232">
        <f t="shared" si="16"/>
        <v>802500</v>
      </c>
    </row>
    <row r="45" spans="1:27" ht="16.5" customHeight="1" x14ac:dyDescent="0.45">
      <c r="A45" s="257">
        <v>44</v>
      </c>
      <c r="B45" s="316">
        <v>6</v>
      </c>
      <c r="C45" s="89">
        <v>2</v>
      </c>
      <c r="D45" s="58">
        <v>9</v>
      </c>
      <c r="E45" s="89">
        <v>14</v>
      </c>
      <c r="F45" s="57" t="s">
        <v>702</v>
      </c>
      <c r="G45" s="58" t="s">
        <v>14</v>
      </c>
      <c r="H45" s="89" t="s">
        <v>842</v>
      </c>
      <c r="I45" s="314" t="s">
        <v>801</v>
      </c>
      <c r="J45" s="276">
        <v>57600</v>
      </c>
      <c r="K45" s="275"/>
      <c r="L45" s="277">
        <v>2400</v>
      </c>
      <c r="M45" s="317"/>
      <c r="Q45"/>
      <c r="R45"/>
      <c r="S45"/>
    </row>
    <row r="46" spans="1:27" ht="16.5" customHeight="1" x14ac:dyDescent="0.45">
      <c r="A46" s="257">
        <v>45</v>
      </c>
      <c r="B46" s="316">
        <v>7</v>
      </c>
      <c r="C46" s="89">
        <v>2</v>
      </c>
      <c r="D46" s="58">
        <v>10</v>
      </c>
      <c r="E46" s="89">
        <v>23</v>
      </c>
      <c r="F46" s="57" t="s">
        <v>438</v>
      </c>
      <c r="G46" s="58" t="s">
        <v>14</v>
      </c>
      <c r="H46" s="89" t="s">
        <v>841</v>
      </c>
      <c r="I46" s="320" t="s">
        <v>804</v>
      </c>
      <c r="J46" s="271">
        <v>46800</v>
      </c>
      <c r="K46" s="270"/>
      <c r="L46" s="272">
        <v>1950</v>
      </c>
      <c r="M46" s="317"/>
      <c r="Q46">
        <v>50400</v>
      </c>
      <c r="R46">
        <v>2100</v>
      </c>
      <c r="S46">
        <v>52500</v>
      </c>
    </row>
    <row r="47" spans="1:27" ht="16.5" customHeight="1" x14ac:dyDescent="0.45">
      <c r="A47" s="257">
        <v>46</v>
      </c>
      <c r="B47" s="316">
        <v>8</v>
      </c>
      <c r="C47" s="89">
        <v>3</v>
      </c>
      <c r="D47" s="58">
        <v>1</v>
      </c>
      <c r="E47" s="89">
        <v>10</v>
      </c>
      <c r="F47" s="57" t="s">
        <v>843</v>
      </c>
      <c r="G47" s="58" t="s">
        <v>14</v>
      </c>
      <c r="H47" s="89" t="s">
        <v>841</v>
      </c>
      <c r="I47" s="314" t="s">
        <v>801</v>
      </c>
      <c r="J47" s="276">
        <v>57600</v>
      </c>
      <c r="K47" s="275"/>
      <c r="L47" s="277">
        <v>2400</v>
      </c>
      <c r="M47" s="317"/>
      <c r="Q47" s="232">
        <f>Q46*14</f>
        <v>705600</v>
      </c>
      <c r="R47" s="232">
        <f t="shared" ref="R47:S47" si="17">R46*14</f>
        <v>29400</v>
      </c>
      <c r="S47" s="232">
        <f t="shared" si="17"/>
        <v>735000</v>
      </c>
    </row>
    <row r="48" spans="1:27" ht="16.5" customHeight="1" x14ac:dyDescent="0.45">
      <c r="A48" s="257">
        <v>47</v>
      </c>
      <c r="B48" s="316">
        <v>9</v>
      </c>
      <c r="C48" s="89">
        <v>3</v>
      </c>
      <c r="D48" s="58">
        <v>1</v>
      </c>
      <c r="E48" s="89">
        <v>24</v>
      </c>
      <c r="F48" s="57" t="s">
        <v>419</v>
      </c>
      <c r="G48" s="58" t="s">
        <v>14</v>
      </c>
      <c r="H48" s="89" t="s">
        <v>841</v>
      </c>
      <c r="I48" s="314" t="s">
        <v>801</v>
      </c>
      <c r="J48" s="276">
        <v>57600</v>
      </c>
      <c r="K48" s="275"/>
      <c r="L48" s="277">
        <v>2400</v>
      </c>
      <c r="M48" s="317"/>
      <c r="Q48"/>
      <c r="R48"/>
      <c r="S48"/>
    </row>
    <row r="49" spans="1:27" ht="16.5" customHeight="1" x14ac:dyDescent="0.45">
      <c r="A49" s="257">
        <v>48</v>
      </c>
      <c r="B49" s="316">
        <v>10</v>
      </c>
      <c r="C49" s="89">
        <v>3</v>
      </c>
      <c r="D49" s="58">
        <v>3</v>
      </c>
      <c r="E49" s="89">
        <v>13</v>
      </c>
      <c r="F49" s="57" t="s">
        <v>86</v>
      </c>
      <c r="G49" s="58" t="s">
        <v>14</v>
      </c>
      <c r="H49" s="89" t="s">
        <v>841</v>
      </c>
      <c r="I49" s="314" t="s">
        <v>801</v>
      </c>
      <c r="J49" s="276">
        <v>57600</v>
      </c>
      <c r="K49" s="275"/>
      <c r="L49" s="277">
        <v>2400</v>
      </c>
      <c r="M49" s="317"/>
      <c r="Q49">
        <v>57600</v>
      </c>
      <c r="R49">
        <v>2400</v>
      </c>
      <c r="S49">
        <v>60000</v>
      </c>
    </row>
    <row r="50" spans="1:27" ht="16.5" customHeight="1" x14ac:dyDescent="0.45">
      <c r="A50" s="257">
        <v>49</v>
      </c>
      <c r="B50" s="316">
        <v>11</v>
      </c>
      <c r="C50" s="89">
        <v>3</v>
      </c>
      <c r="D50" s="58">
        <v>7</v>
      </c>
      <c r="E50" s="89">
        <v>18</v>
      </c>
      <c r="F50" s="57" t="s">
        <v>463</v>
      </c>
      <c r="G50" s="58" t="s">
        <v>14</v>
      </c>
      <c r="H50" s="89" t="s">
        <v>841</v>
      </c>
      <c r="I50" s="314" t="s">
        <v>801</v>
      </c>
      <c r="J50" s="276">
        <v>57600</v>
      </c>
      <c r="K50" s="275"/>
      <c r="L50" s="277">
        <v>2400</v>
      </c>
      <c r="M50" s="317"/>
      <c r="Q50" s="232">
        <f>Q49*14</f>
        <v>806400</v>
      </c>
      <c r="R50" s="232">
        <f t="shared" ref="R50:S50" si="18">R49*14</f>
        <v>33600</v>
      </c>
      <c r="S50" s="232">
        <f t="shared" si="18"/>
        <v>840000</v>
      </c>
    </row>
    <row r="51" spans="1:27" ht="16.5" customHeight="1" x14ac:dyDescent="0.45">
      <c r="A51" s="257">
        <v>50</v>
      </c>
      <c r="B51" s="316">
        <v>12</v>
      </c>
      <c r="C51" s="89">
        <v>3</v>
      </c>
      <c r="D51" s="58">
        <v>8</v>
      </c>
      <c r="E51" s="89">
        <v>17</v>
      </c>
      <c r="F51" s="57" t="s">
        <v>432</v>
      </c>
      <c r="G51" s="58" t="s">
        <v>14</v>
      </c>
      <c r="H51" s="89" t="s">
        <v>841</v>
      </c>
      <c r="I51" s="314" t="s">
        <v>801</v>
      </c>
      <c r="J51" s="276">
        <v>57600</v>
      </c>
      <c r="K51" s="275"/>
      <c r="L51" s="277">
        <v>2400</v>
      </c>
      <c r="M51" s="317"/>
      <c r="Q51"/>
      <c r="R51"/>
      <c r="S51"/>
    </row>
    <row r="52" spans="1:27" ht="16.5" customHeight="1" x14ac:dyDescent="0.45">
      <c r="A52" s="257">
        <v>51</v>
      </c>
      <c r="B52" s="316">
        <v>13</v>
      </c>
      <c r="C52" s="89">
        <v>3</v>
      </c>
      <c r="D52" s="58">
        <v>9</v>
      </c>
      <c r="E52" s="89">
        <v>8</v>
      </c>
      <c r="F52" s="57" t="s">
        <v>90</v>
      </c>
      <c r="G52" s="58" t="s">
        <v>14</v>
      </c>
      <c r="H52" s="89" t="s">
        <v>841</v>
      </c>
      <c r="I52" s="314" t="s">
        <v>801</v>
      </c>
      <c r="J52" s="276">
        <v>57600</v>
      </c>
      <c r="K52" s="275"/>
      <c r="L52" s="277">
        <v>2400</v>
      </c>
      <c r="M52" s="317"/>
      <c r="Q52" s="326">
        <f>SUM(Q44,Q47,Q50)</f>
        <v>2282400</v>
      </c>
      <c r="R52" s="326">
        <f t="shared" ref="R52:S52" si="19">SUM(R44,R47,R50)</f>
        <v>95100</v>
      </c>
      <c r="S52" s="326">
        <f t="shared" si="19"/>
        <v>2377500</v>
      </c>
    </row>
    <row r="53" spans="1:27" ht="16.5" customHeight="1" x14ac:dyDescent="0.45">
      <c r="A53" s="257">
        <v>52</v>
      </c>
      <c r="B53" s="316">
        <v>14</v>
      </c>
      <c r="C53" s="89">
        <v>3</v>
      </c>
      <c r="D53" s="58">
        <v>9</v>
      </c>
      <c r="E53" s="89">
        <v>21</v>
      </c>
      <c r="F53" s="57" t="s">
        <v>48</v>
      </c>
      <c r="G53" s="58" t="s">
        <v>14</v>
      </c>
      <c r="H53" s="89" t="s">
        <v>841</v>
      </c>
      <c r="I53" s="314" t="s">
        <v>801</v>
      </c>
      <c r="J53" s="276">
        <v>57600</v>
      </c>
      <c r="K53" s="275"/>
      <c r="L53" s="277">
        <v>2400</v>
      </c>
      <c r="M53" s="317"/>
      <c r="Q53"/>
      <c r="R53"/>
      <c r="S53"/>
    </row>
    <row r="54" spans="1:27" ht="16.5" customHeight="1" x14ac:dyDescent="0.45">
      <c r="A54" s="257">
        <v>53</v>
      </c>
      <c r="B54" s="313">
        <v>1</v>
      </c>
      <c r="C54" s="87">
        <v>4</v>
      </c>
      <c r="D54" s="56">
        <v>3</v>
      </c>
      <c r="E54" s="87">
        <v>13</v>
      </c>
      <c r="F54" s="55" t="s">
        <v>78</v>
      </c>
      <c r="G54" s="56" t="s">
        <v>14</v>
      </c>
      <c r="H54" s="87" t="s">
        <v>844</v>
      </c>
      <c r="I54" s="324" t="s">
        <v>801</v>
      </c>
      <c r="J54" s="264">
        <v>57600</v>
      </c>
      <c r="K54" s="263"/>
      <c r="L54" s="265">
        <v>2400</v>
      </c>
      <c r="M54" s="315">
        <f>SUM(J54:K58)</f>
        <v>277200</v>
      </c>
      <c r="O54" s="318">
        <f>SUM(J54:K58)</f>
        <v>277200</v>
      </c>
      <c r="Q54" s="310">
        <v>57600</v>
      </c>
      <c r="R54" s="311">
        <v>2400</v>
      </c>
      <c r="S54" s="311">
        <v>60000</v>
      </c>
      <c r="T54"/>
      <c r="U54">
        <v>50400</v>
      </c>
      <c r="V54">
        <v>2100</v>
      </c>
      <c r="W54">
        <v>52500</v>
      </c>
      <c r="Y54">
        <v>54000</v>
      </c>
      <c r="Z54">
        <v>2250</v>
      </c>
      <c r="AA54">
        <v>56250</v>
      </c>
    </row>
    <row r="55" spans="1:27" ht="16.5" customHeight="1" x14ac:dyDescent="0.45">
      <c r="A55" s="257">
        <v>54</v>
      </c>
      <c r="B55" s="316">
        <v>2</v>
      </c>
      <c r="C55" s="89">
        <v>5</v>
      </c>
      <c r="D55" s="58">
        <v>5</v>
      </c>
      <c r="E55" s="89">
        <v>12</v>
      </c>
      <c r="F55" s="57" t="s">
        <v>256</v>
      </c>
      <c r="G55" s="58" t="s">
        <v>14</v>
      </c>
      <c r="H55" s="89" t="s">
        <v>844</v>
      </c>
      <c r="I55" s="320" t="s">
        <v>835</v>
      </c>
      <c r="J55" s="271">
        <v>54000</v>
      </c>
      <c r="K55" s="270"/>
      <c r="L55" s="272">
        <v>2250</v>
      </c>
      <c r="M55" s="317"/>
      <c r="O55" s="318">
        <f>SUM(L54:L58)</f>
        <v>11550</v>
      </c>
      <c r="Q55" s="232">
        <f>Q54*5</f>
        <v>288000</v>
      </c>
      <c r="R55" s="232">
        <f t="shared" ref="R55:T55" si="20">R54*5</f>
        <v>12000</v>
      </c>
      <c r="S55" s="232">
        <f t="shared" si="20"/>
        <v>300000</v>
      </c>
      <c r="T55" s="232">
        <f t="shared" si="20"/>
        <v>0</v>
      </c>
      <c r="U55" s="232">
        <f>U54*4</f>
        <v>201600</v>
      </c>
      <c r="V55" s="232">
        <f t="shared" ref="V55:AA55" si="21">V54*4</f>
        <v>8400</v>
      </c>
      <c r="W55" s="232">
        <f t="shared" si="21"/>
        <v>210000</v>
      </c>
      <c r="X55" s="232">
        <f t="shared" si="21"/>
        <v>0</v>
      </c>
      <c r="Y55" s="232">
        <f t="shared" si="21"/>
        <v>216000</v>
      </c>
      <c r="Z55" s="232">
        <f t="shared" si="21"/>
        <v>9000</v>
      </c>
      <c r="AA55" s="232">
        <f t="shared" si="21"/>
        <v>225000</v>
      </c>
    </row>
    <row r="56" spans="1:27" ht="16.5" customHeight="1" x14ac:dyDescent="0.45">
      <c r="A56" s="257">
        <v>55</v>
      </c>
      <c r="B56" s="316">
        <v>3</v>
      </c>
      <c r="C56" s="89">
        <v>5</v>
      </c>
      <c r="D56" s="58">
        <v>5</v>
      </c>
      <c r="E56" s="89">
        <v>14</v>
      </c>
      <c r="F56" s="57" t="s">
        <v>257</v>
      </c>
      <c r="G56" s="58" t="s">
        <v>14</v>
      </c>
      <c r="H56" s="89" t="s">
        <v>845</v>
      </c>
      <c r="I56" s="314" t="s">
        <v>801</v>
      </c>
      <c r="J56" s="276">
        <v>57600</v>
      </c>
      <c r="K56" s="275"/>
      <c r="L56" s="277">
        <v>2400</v>
      </c>
      <c r="M56" s="317"/>
      <c r="O56" s="318">
        <f>SUM(O54:O55)</f>
        <v>288750</v>
      </c>
      <c r="Q56">
        <v>-10800</v>
      </c>
      <c r="R56">
        <v>-450</v>
      </c>
      <c r="S56">
        <v>-11250</v>
      </c>
    </row>
    <row r="57" spans="1:27" ht="16.5" customHeight="1" x14ac:dyDescent="0.45">
      <c r="A57" s="257">
        <v>56</v>
      </c>
      <c r="B57" s="316">
        <v>4</v>
      </c>
      <c r="C57" s="89">
        <v>5</v>
      </c>
      <c r="D57" s="58">
        <v>6</v>
      </c>
      <c r="E57" s="89">
        <v>19</v>
      </c>
      <c r="F57" s="57" t="s">
        <v>600</v>
      </c>
      <c r="G57" s="58" t="s">
        <v>14</v>
      </c>
      <c r="H57" s="89" t="s">
        <v>844</v>
      </c>
      <c r="I57" s="314" t="s">
        <v>801</v>
      </c>
      <c r="J57" s="276">
        <v>57600</v>
      </c>
      <c r="K57" s="275"/>
      <c r="L57" s="277">
        <v>2400</v>
      </c>
      <c r="M57" s="317"/>
      <c r="O57" s="334"/>
      <c r="Q57" s="232">
        <f>SUM(Q55:Q56)</f>
        <v>277200</v>
      </c>
      <c r="R57" s="232">
        <f t="shared" ref="R57:S57" si="22">SUM(R55:R56)</f>
        <v>11550</v>
      </c>
      <c r="S57" s="232">
        <f t="shared" si="22"/>
        <v>288750</v>
      </c>
    </row>
    <row r="58" spans="1:27" ht="16.5" customHeight="1" x14ac:dyDescent="0.45">
      <c r="A58" s="280">
        <v>57</v>
      </c>
      <c r="B58" s="331">
        <v>5</v>
      </c>
      <c r="C58" s="163">
        <v>6</v>
      </c>
      <c r="D58" s="66">
        <v>6</v>
      </c>
      <c r="E58" s="163">
        <v>5</v>
      </c>
      <c r="F58" s="65" t="s">
        <v>98</v>
      </c>
      <c r="G58" s="66" t="s">
        <v>14</v>
      </c>
      <c r="H58" s="163" t="s">
        <v>844</v>
      </c>
      <c r="I58" s="335" t="s">
        <v>817</v>
      </c>
      <c r="J58" s="336">
        <v>50400</v>
      </c>
      <c r="K58" s="337"/>
      <c r="L58" s="338">
        <v>2100</v>
      </c>
      <c r="M58" s="333"/>
      <c r="Q58"/>
      <c r="R58"/>
      <c r="S58"/>
    </row>
    <row r="59" spans="1:27" ht="33.75" customHeight="1" x14ac:dyDescent="0.45">
      <c r="A59" s="339" t="s">
        <v>846</v>
      </c>
      <c r="B59" s="340"/>
      <c r="C59" s="340"/>
      <c r="D59" s="340"/>
      <c r="E59" s="340"/>
      <c r="F59" s="340"/>
      <c r="G59" s="340"/>
      <c r="H59" s="341"/>
      <c r="I59" s="342"/>
      <c r="J59" s="343">
        <f>SUM(J2:J58)</f>
        <v>3070800</v>
      </c>
      <c r="K59" s="343">
        <f>SUM(K2:K58)</f>
        <v>0</v>
      </c>
      <c r="L59" s="343">
        <f>SUM(L2:L58)</f>
        <v>127950</v>
      </c>
      <c r="M59" s="344">
        <f>SUM(M2:M58)</f>
        <v>3070800</v>
      </c>
      <c r="Q59" s="323">
        <f>SUM(Q57,U55,Y55)</f>
        <v>694800</v>
      </c>
      <c r="R59" s="323">
        <f t="shared" ref="R59:S59" si="23">SUM(R57,V55,Z55)</f>
        <v>28950</v>
      </c>
      <c r="S59" s="323">
        <f t="shared" si="23"/>
        <v>723750</v>
      </c>
    </row>
    <row r="60" spans="1:27" ht="32.25" customHeight="1" x14ac:dyDescent="0.45">
      <c r="A60" s="345" t="s">
        <v>847</v>
      </c>
      <c r="B60" s="346"/>
      <c r="C60" s="346"/>
      <c r="D60" s="346"/>
      <c r="E60" s="346"/>
      <c r="F60" s="346"/>
      <c r="G60" s="346"/>
      <c r="H60" s="347"/>
      <c r="I60" s="348"/>
      <c r="J60" s="349">
        <f>SUM(J2:K58)</f>
        <v>3070800</v>
      </c>
      <c r="K60" s="349"/>
      <c r="L60" s="298"/>
      <c r="M60" s="350"/>
    </row>
    <row r="61" spans="1:27" ht="32.25" customHeight="1" x14ac:dyDescent="0.45">
      <c r="A61" s="351"/>
      <c r="Q61" s="352">
        <f>SUM(Q16,Q30,Q39,Q52,Q59)</f>
        <v>8978400</v>
      </c>
      <c r="R61" s="352">
        <f>SUM(R16,R30,R39,R52,R59)</f>
        <v>374100</v>
      </c>
      <c r="S61" s="352">
        <f>SUM(S16,S30,S39,S52,S59)</f>
        <v>9352500</v>
      </c>
      <c r="U61"/>
    </row>
    <row r="62" spans="1:27" ht="21" customHeight="1" x14ac:dyDescent="0.45">
      <c r="A62" s="351"/>
      <c r="K62" s="353">
        <f>SUM(J60,L59)</f>
        <v>3198750</v>
      </c>
    </row>
    <row r="63" spans="1:27" ht="20.25" customHeight="1" x14ac:dyDescent="0.45"/>
    <row r="64" spans="1:27" ht="16.5" customHeight="1" x14ac:dyDescent="0.45"/>
    <row r="65" ht="16.5" customHeight="1" x14ac:dyDescent="0.45"/>
    <row r="66" ht="16.5" customHeight="1" x14ac:dyDescent="0.45"/>
    <row r="67" ht="16.5" customHeight="1" x14ac:dyDescent="0.45"/>
    <row r="68" ht="16.5" customHeight="1" x14ac:dyDescent="0.45"/>
    <row r="69" ht="16.5" customHeight="1" x14ac:dyDescent="0.45"/>
    <row r="70" ht="16.5" customHeight="1" x14ac:dyDescent="0.45"/>
    <row r="71" ht="16.5" customHeight="1" x14ac:dyDescent="0.45"/>
    <row r="72" ht="16.5" customHeight="1" x14ac:dyDescent="0.45"/>
    <row r="73" ht="16.5" customHeight="1" x14ac:dyDescent="0.45"/>
    <row r="74" ht="16.5" customHeight="1" x14ac:dyDescent="0.45"/>
    <row r="75" ht="15.75" customHeight="1" x14ac:dyDescent="0.45"/>
    <row r="76" ht="15.75" customHeight="1" x14ac:dyDescent="0.45"/>
    <row r="77" ht="15.75" customHeight="1" x14ac:dyDescent="0.45"/>
    <row r="78" ht="15.75" customHeight="1" x14ac:dyDescent="0.45"/>
    <row r="79" ht="15.75" customHeight="1" x14ac:dyDescent="0.45"/>
    <row r="80" ht="15.75" customHeight="1" x14ac:dyDescent="0.45"/>
    <row r="81" spans="18:21" ht="15.75" customHeight="1" x14ac:dyDescent="0.45"/>
    <row r="82" spans="18:21" ht="15.75" customHeight="1" x14ac:dyDescent="0.45"/>
    <row r="83" spans="18:21" ht="15.75" customHeight="1" x14ac:dyDescent="0.45"/>
    <row r="84" spans="18:21" ht="15.75" customHeight="1" x14ac:dyDescent="0.45"/>
    <row r="85" spans="18:21" ht="15.75" customHeight="1" x14ac:dyDescent="0.45"/>
    <row r="86" spans="18:21" ht="17" x14ac:dyDescent="0.45">
      <c r="R86" s="310"/>
      <c r="S86" s="310"/>
      <c r="T86"/>
      <c r="U86"/>
    </row>
    <row r="87" spans="18:21" ht="17" x14ac:dyDescent="0.45">
      <c r="R87" s="310"/>
      <c r="S87" s="310"/>
      <c r="T87"/>
      <c r="U87"/>
    </row>
    <row r="88" spans="18:21" ht="17" x14ac:dyDescent="0.45">
      <c r="R88" s="310"/>
      <c r="S88" s="310"/>
      <c r="T88"/>
      <c r="U88"/>
    </row>
    <row r="89" spans="18:21" ht="17" x14ac:dyDescent="0.45">
      <c r="R89" s="310"/>
      <c r="S89" s="310"/>
      <c r="T89"/>
      <c r="U89"/>
    </row>
    <row r="90" spans="18:21" ht="17" x14ac:dyDescent="0.45">
      <c r="R90" s="310"/>
      <c r="S90" s="310"/>
      <c r="T90"/>
      <c r="U90"/>
    </row>
    <row r="91" spans="18:21" ht="17" x14ac:dyDescent="0.45">
      <c r="R91" s="310"/>
      <c r="S91" s="310"/>
      <c r="T91"/>
      <c r="U91"/>
    </row>
    <row r="92" spans="18:21" ht="17" x14ac:dyDescent="0.45">
      <c r="R92" s="310"/>
      <c r="S92" s="310"/>
      <c r="T92"/>
      <c r="U92"/>
    </row>
    <row r="93" spans="18:21" ht="17" x14ac:dyDescent="0.45">
      <c r="R93" s="310"/>
      <c r="S93" s="310"/>
      <c r="T93"/>
      <c r="U93"/>
    </row>
    <row r="94" spans="18:21" ht="17" x14ac:dyDescent="0.45">
      <c r="R94" s="310"/>
      <c r="S94" s="310"/>
      <c r="T94"/>
      <c r="U94"/>
    </row>
    <row r="95" spans="18:21" ht="17" x14ac:dyDescent="0.45">
      <c r="R95" s="310"/>
      <c r="S95" s="310"/>
      <c r="T95"/>
      <c r="U95"/>
    </row>
    <row r="96" spans="18:21" ht="17" x14ac:dyDescent="0.45">
      <c r="R96" s="310"/>
      <c r="S96" s="310"/>
      <c r="T96"/>
      <c r="U96"/>
    </row>
    <row r="97" spans="18:21" ht="17" x14ac:dyDescent="0.45">
      <c r="R97" s="310"/>
      <c r="S97" s="310"/>
      <c r="T97"/>
      <c r="U97"/>
    </row>
    <row r="98" spans="18:21" ht="17" x14ac:dyDescent="0.45">
      <c r="R98" s="310"/>
      <c r="S98" s="310"/>
      <c r="T98"/>
      <c r="U98"/>
    </row>
    <row r="99" spans="18:21" ht="17" x14ac:dyDescent="0.45">
      <c r="R99" s="310"/>
      <c r="S99" s="310"/>
      <c r="T99"/>
      <c r="U99"/>
    </row>
    <row r="100" spans="18:21" ht="17" x14ac:dyDescent="0.45">
      <c r="R100" s="310"/>
      <c r="S100" s="310"/>
      <c r="T100"/>
      <c r="U100"/>
    </row>
    <row r="101" spans="18:21" ht="17" x14ac:dyDescent="0.45">
      <c r="R101" s="310"/>
      <c r="S101" s="310"/>
      <c r="T101"/>
      <c r="U101"/>
    </row>
    <row r="102" spans="18:21" ht="17" x14ac:dyDescent="0.45">
      <c r="R102" s="310"/>
      <c r="S102" s="310"/>
      <c r="T102"/>
      <c r="U102"/>
    </row>
    <row r="103" spans="18:21" ht="17" x14ac:dyDescent="0.45">
      <c r="R103" s="310"/>
      <c r="S103" s="310"/>
      <c r="T103"/>
      <c r="U103"/>
    </row>
    <row r="104" spans="18:21" ht="17" x14ac:dyDescent="0.45">
      <c r="R104" s="310"/>
      <c r="S104" s="310"/>
      <c r="T104"/>
      <c r="U104"/>
    </row>
    <row r="105" spans="18:21" ht="17" x14ac:dyDescent="0.45">
      <c r="R105" s="310"/>
      <c r="S105" s="310"/>
      <c r="T105"/>
      <c r="U105"/>
    </row>
    <row r="106" spans="18:21" ht="17" x14ac:dyDescent="0.45">
      <c r="R106" s="310"/>
      <c r="S106" s="310"/>
      <c r="T106"/>
      <c r="U106"/>
    </row>
    <row r="107" spans="18:21" ht="17" x14ac:dyDescent="0.45">
      <c r="R107" s="310"/>
      <c r="S107" s="310"/>
      <c r="T107"/>
      <c r="U107"/>
    </row>
    <row r="108" spans="18:21" ht="17" x14ac:dyDescent="0.45">
      <c r="R108" s="310"/>
      <c r="S108" s="310"/>
      <c r="T108"/>
      <c r="U108"/>
    </row>
    <row r="109" spans="18:21" ht="17" x14ac:dyDescent="0.45">
      <c r="R109" s="310"/>
      <c r="S109" s="310"/>
      <c r="T109"/>
      <c r="U109"/>
    </row>
    <row r="110" spans="18:21" ht="17" x14ac:dyDescent="0.45">
      <c r="R110" s="310"/>
      <c r="S110" s="310"/>
      <c r="T110"/>
      <c r="U110"/>
    </row>
    <row r="111" spans="18:21" ht="17" x14ac:dyDescent="0.45">
      <c r="R111" s="310"/>
      <c r="S111" s="310"/>
      <c r="T111"/>
      <c r="U111"/>
    </row>
    <row r="112" spans="18:21" ht="17" x14ac:dyDescent="0.45">
      <c r="R112" s="310"/>
      <c r="S112" s="310"/>
      <c r="T112"/>
      <c r="U112"/>
    </row>
    <row r="113" spans="18:21" ht="17" x14ac:dyDescent="0.45">
      <c r="R113" s="310"/>
      <c r="S113" s="310"/>
      <c r="T113"/>
      <c r="U113"/>
    </row>
    <row r="114" spans="18:21" ht="17" x14ac:dyDescent="0.45">
      <c r="R114" s="310"/>
      <c r="S114" s="310"/>
      <c r="T114"/>
      <c r="U114"/>
    </row>
    <row r="115" spans="18:21" ht="17" x14ac:dyDescent="0.45">
      <c r="R115" s="310"/>
      <c r="S115" s="310"/>
      <c r="T115"/>
      <c r="U115"/>
    </row>
    <row r="116" spans="18:21" ht="17" x14ac:dyDescent="0.45">
      <c r="R116" s="310"/>
      <c r="S116" s="310"/>
      <c r="T116"/>
      <c r="U116"/>
    </row>
    <row r="117" spans="18:21" ht="17" x14ac:dyDescent="0.45">
      <c r="R117" s="310"/>
      <c r="S117" s="310"/>
      <c r="T117"/>
      <c r="U117"/>
    </row>
    <row r="118" spans="18:21" ht="17" x14ac:dyDescent="0.45">
      <c r="R118" s="310"/>
      <c r="S118" s="310"/>
      <c r="T118"/>
      <c r="U118"/>
    </row>
    <row r="119" spans="18:21" ht="17" x14ac:dyDescent="0.45">
      <c r="R119" s="310"/>
      <c r="S119" s="310"/>
      <c r="T119"/>
      <c r="U119"/>
    </row>
    <row r="120" spans="18:21" ht="17" x14ac:dyDescent="0.45">
      <c r="R120" s="310"/>
      <c r="S120" s="310"/>
      <c r="T120"/>
      <c r="U120"/>
    </row>
    <row r="121" spans="18:21" ht="17" x14ac:dyDescent="0.45">
      <c r="R121" s="310"/>
      <c r="S121" s="310"/>
      <c r="T121"/>
      <c r="U121"/>
    </row>
    <row r="122" spans="18:21" ht="17" x14ac:dyDescent="0.45">
      <c r="R122" s="310"/>
      <c r="S122" s="310"/>
      <c r="T122"/>
      <c r="U122"/>
    </row>
    <row r="123" spans="18:21" ht="17" x14ac:dyDescent="0.45">
      <c r="R123" s="310"/>
      <c r="S123" s="310"/>
      <c r="T123"/>
      <c r="U123"/>
    </row>
    <row r="124" spans="18:21" ht="17" x14ac:dyDescent="0.45">
      <c r="R124" s="310"/>
      <c r="S124" s="310"/>
      <c r="T124"/>
      <c r="U124"/>
    </row>
    <row r="125" spans="18:21" ht="17" x14ac:dyDescent="0.45">
      <c r="R125" s="310"/>
      <c r="S125" s="310"/>
      <c r="T125"/>
      <c r="U125"/>
    </row>
    <row r="126" spans="18:21" ht="17" x14ac:dyDescent="0.45">
      <c r="R126" s="310"/>
      <c r="S126" s="310"/>
      <c r="T126"/>
      <c r="U126"/>
    </row>
    <row r="127" spans="18:21" ht="17" x14ac:dyDescent="0.45">
      <c r="R127" s="310"/>
      <c r="S127" s="310"/>
      <c r="T127"/>
      <c r="U127"/>
    </row>
    <row r="128" spans="18:21" ht="17" x14ac:dyDescent="0.45">
      <c r="R128" s="310"/>
      <c r="S128" s="310"/>
      <c r="T128"/>
      <c r="U128"/>
    </row>
    <row r="129" spans="18:21" ht="17" x14ac:dyDescent="0.45">
      <c r="R129" s="310"/>
      <c r="S129" s="310"/>
      <c r="T129"/>
      <c r="U129"/>
    </row>
    <row r="130" spans="18:21" ht="17" x14ac:dyDescent="0.45">
      <c r="R130" s="310"/>
      <c r="S130" s="310"/>
      <c r="T130"/>
      <c r="U130"/>
    </row>
    <row r="131" spans="18:21" ht="17" x14ac:dyDescent="0.45">
      <c r="R131" s="310"/>
      <c r="S131" s="310"/>
      <c r="T131"/>
      <c r="U131"/>
    </row>
    <row r="132" spans="18:21" ht="17" x14ac:dyDescent="0.45">
      <c r="R132" s="310"/>
      <c r="S132" s="310"/>
      <c r="T132"/>
      <c r="U132"/>
    </row>
    <row r="133" spans="18:21" ht="17" x14ac:dyDescent="0.45">
      <c r="R133" s="310"/>
      <c r="S133" s="310"/>
      <c r="T133"/>
      <c r="U133"/>
    </row>
    <row r="137" spans="18:21" ht="17" x14ac:dyDescent="0.45">
      <c r="R137" s="310"/>
      <c r="S137" s="310"/>
      <c r="T137"/>
      <c r="U137"/>
    </row>
    <row r="138" spans="18:21" ht="17" x14ac:dyDescent="0.45">
      <c r="R138" s="310"/>
      <c r="S138" s="310"/>
      <c r="T138"/>
      <c r="U138"/>
    </row>
    <row r="139" spans="18:21" ht="17" x14ac:dyDescent="0.45">
      <c r="R139" s="310"/>
      <c r="S139" s="310"/>
      <c r="T139"/>
      <c r="U139"/>
    </row>
    <row r="140" spans="18:21" ht="17" x14ac:dyDescent="0.45">
      <c r="R140" s="310"/>
      <c r="S140" s="310"/>
      <c r="T140"/>
      <c r="U140"/>
    </row>
    <row r="141" spans="18:21" ht="17" x14ac:dyDescent="0.45">
      <c r="R141" s="310"/>
      <c r="S141" s="310"/>
      <c r="T141"/>
      <c r="U141"/>
    </row>
    <row r="142" spans="18:21" ht="17" x14ac:dyDescent="0.45">
      <c r="R142" s="310"/>
      <c r="S142" s="310"/>
      <c r="T142"/>
      <c r="U142"/>
    </row>
    <row r="143" spans="18:21" ht="17" x14ac:dyDescent="0.45">
      <c r="R143" s="310"/>
      <c r="S143" s="310"/>
      <c r="T143"/>
      <c r="U143"/>
    </row>
    <row r="144" spans="18:21" ht="17" x14ac:dyDescent="0.45">
      <c r="R144" s="310"/>
      <c r="S144" s="310"/>
      <c r="T144"/>
      <c r="U144"/>
    </row>
    <row r="145" spans="18:21" ht="17" x14ac:dyDescent="0.45">
      <c r="R145" s="310"/>
      <c r="S145" s="310"/>
      <c r="T145"/>
      <c r="U145"/>
    </row>
    <row r="146" spans="18:21" ht="17" x14ac:dyDescent="0.45">
      <c r="R146" s="310"/>
      <c r="S146" s="310"/>
      <c r="T146"/>
      <c r="U146"/>
    </row>
    <row r="147" spans="18:21" ht="17" x14ac:dyDescent="0.45">
      <c r="R147" s="310"/>
      <c r="S147" s="310"/>
      <c r="T147"/>
      <c r="U147"/>
    </row>
    <row r="148" spans="18:21" ht="17" x14ac:dyDescent="0.45">
      <c r="R148" s="310"/>
      <c r="S148" s="310"/>
      <c r="T148"/>
      <c r="U148"/>
    </row>
    <row r="149" spans="18:21" ht="17" x14ac:dyDescent="0.45">
      <c r="R149" s="310"/>
      <c r="S149" s="310"/>
      <c r="T149"/>
      <c r="U149"/>
    </row>
    <row r="150" spans="18:21" ht="17" x14ac:dyDescent="0.45">
      <c r="R150" s="310"/>
      <c r="S150" s="310"/>
      <c r="T150"/>
      <c r="U150"/>
    </row>
    <row r="151" spans="18:21" ht="17" x14ac:dyDescent="0.45">
      <c r="R151" s="310"/>
      <c r="S151" s="310"/>
      <c r="T151"/>
      <c r="U151"/>
    </row>
    <row r="152" spans="18:21" x14ac:dyDescent="0.45">
      <c r="R152" s="310"/>
      <c r="S152" s="310"/>
      <c r="T152"/>
    </row>
  </sheetData>
  <mergeCells count="9">
    <mergeCell ref="M2:M18"/>
    <mergeCell ref="M19:M34"/>
    <mergeCell ref="M35:M39"/>
    <mergeCell ref="M40:M53"/>
    <mergeCell ref="M54:M58"/>
    <mergeCell ref="A59:H59"/>
    <mergeCell ref="M59:M60"/>
    <mergeCell ref="A60:H60"/>
    <mergeCell ref="J60:K60"/>
  </mergeCells>
  <phoneticPr fontId="1" type="noConversion"/>
  <conditionalFormatting sqref="G1">
    <cfRule type="cellIs" dxfId="0" priority="1" operator="equal">
      <formula>"유상"</formula>
    </cfRule>
  </conditionalFormatting>
  <dataValidations count="2">
    <dataValidation type="list" allowBlank="1" showInputMessage="1" showErrorMessage="1" sqref="G2:G58" xr:uid="{BDE1B954-A83D-456F-B7F1-2F6E8BC7CD05}">
      <formula1>"유상, 자유수"</formula1>
    </dataValidation>
    <dataValidation type="list" allowBlank="1" showInputMessage="1" showErrorMessage="1" sqref="G1" xr:uid="{C2876E98-989F-4A6D-A5E9-3A05C9538EAA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6646C-E1DD-45A7-9B23-C9ED226DC3FA}">
  <sheetPr codeName="Sheet1"/>
  <dimension ref="A1:F32"/>
  <sheetViews>
    <sheetView tabSelected="1" workbookViewId="0">
      <selection activeCell="B19" sqref="B19"/>
    </sheetView>
  </sheetViews>
  <sheetFormatPr defaultRowHeight="17" x14ac:dyDescent="0.45"/>
  <cols>
    <col min="1" max="1" width="6.25" customWidth="1"/>
    <col min="2" max="2" width="75.9140625" customWidth="1"/>
    <col min="3" max="3" width="13.5" customWidth="1"/>
    <col min="4" max="4" width="20.33203125" customWidth="1"/>
    <col min="5" max="5" width="25.25" customWidth="1"/>
    <col min="6" max="6" width="27.9140625" customWidth="1"/>
    <col min="7" max="7" width="13" customWidth="1"/>
    <col min="8" max="8" width="22.83203125" customWidth="1"/>
    <col min="9" max="9" width="9.58203125" customWidth="1"/>
    <col min="10" max="11" width="17.75" bestFit="1" customWidth="1"/>
    <col min="12" max="12" width="15.08203125" bestFit="1" customWidth="1"/>
    <col min="13" max="13" width="18.58203125" bestFit="1" customWidth="1"/>
  </cols>
  <sheetData>
    <row r="1" spans="1:6" x14ac:dyDescent="0.45">
      <c r="A1" s="354"/>
      <c r="B1" s="354"/>
      <c r="C1" s="354"/>
      <c r="D1" s="354"/>
      <c r="E1" s="354"/>
      <c r="F1" s="354"/>
    </row>
    <row r="2" spans="1:6" x14ac:dyDescent="0.45">
      <c r="A2" s="354"/>
      <c r="B2" s="354"/>
      <c r="C2" s="354"/>
      <c r="D2" s="354"/>
      <c r="E2" s="354"/>
      <c r="F2" s="354"/>
    </row>
    <row r="3" spans="1:6" ht="17.5" thickBot="1" x14ac:dyDescent="0.5">
      <c r="A3" s="354"/>
      <c r="B3" s="354"/>
      <c r="C3" s="354"/>
      <c r="D3" s="354"/>
      <c r="E3" s="354"/>
      <c r="F3" s="354"/>
    </row>
    <row r="4" spans="1:6" ht="17.5" thickBot="1" x14ac:dyDescent="0.5">
      <c r="A4" s="364" t="s">
        <v>848</v>
      </c>
      <c r="B4" s="365" t="s">
        <v>849</v>
      </c>
      <c r="C4" s="365" t="s">
        <v>850</v>
      </c>
      <c r="D4" s="366" t="s">
        <v>851</v>
      </c>
      <c r="E4" s="366" t="s">
        <v>852</v>
      </c>
      <c r="F4" s="367" t="s">
        <v>853</v>
      </c>
    </row>
    <row r="5" spans="1:6" ht="17.5" thickTop="1" x14ac:dyDescent="0.45">
      <c r="A5" s="361"/>
      <c r="B5" s="362"/>
      <c r="C5" s="362"/>
      <c r="D5" s="362"/>
      <c r="E5" s="362"/>
      <c r="F5" s="363"/>
    </row>
    <row r="6" spans="1:6" x14ac:dyDescent="0.45">
      <c r="A6" s="355"/>
      <c r="B6" s="356"/>
      <c r="C6" s="356"/>
      <c r="D6" s="356"/>
      <c r="E6" s="356"/>
      <c r="F6" s="357"/>
    </row>
    <row r="7" spans="1:6" x14ac:dyDescent="0.45">
      <c r="A7" s="355"/>
      <c r="B7" s="356"/>
      <c r="C7" s="356"/>
      <c r="D7" s="356"/>
      <c r="E7" s="356"/>
      <c r="F7" s="357"/>
    </row>
    <row r="8" spans="1:6" x14ac:dyDescent="0.45">
      <c r="A8" s="355"/>
      <c r="B8" s="356"/>
      <c r="C8" s="356"/>
      <c r="D8" s="356"/>
      <c r="E8" s="356"/>
      <c r="F8" s="357"/>
    </row>
    <row r="9" spans="1:6" x14ac:dyDescent="0.45">
      <c r="A9" s="355"/>
      <c r="B9" s="356"/>
      <c r="C9" s="356"/>
      <c r="D9" s="356"/>
      <c r="E9" s="356"/>
      <c r="F9" s="357"/>
    </row>
    <row r="10" spans="1:6" x14ac:dyDescent="0.45">
      <c r="A10" s="355"/>
      <c r="B10" s="356"/>
      <c r="C10" s="356"/>
      <c r="D10" s="356"/>
      <c r="E10" s="356"/>
      <c r="F10" s="357"/>
    </row>
    <row r="11" spans="1:6" x14ac:dyDescent="0.45">
      <c r="A11" s="355"/>
      <c r="B11" s="356"/>
      <c r="C11" s="356"/>
      <c r="D11" s="356"/>
      <c r="E11" s="356"/>
      <c r="F11" s="357"/>
    </row>
    <row r="12" spans="1:6" x14ac:dyDescent="0.45">
      <c r="A12" s="355"/>
      <c r="B12" s="356"/>
      <c r="C12" s="356"/>
      <c r="D12" s="356"/>
      <c r="E12" s="356"/>
      <c r="F12" s="357"/>
    </row>
    <row r="13" spans="1:6" x14ac:dyDescent="0.45">
      <c r="A13" s="355"/>
      <c r="B13" s="356"/>
      <c r="C13" s="356"/>
      <c r="D13" s="356"/>
      <c r="E13" s="356"/>
      <c r="F13" s="357"/>
    </row>
    <row r="14" spans="1:6" x14ac:dyDescent="0.45">
      <c r="A14" s="355"/>
      <c r="B14" s="356"/>
      <c r="C14" s="356"/>
      <c r="D14" s="356"/>
      <c r="E14" s="356"/>
      <c r="F14" s="357"/>
    </row>
    <row r="15" spans="1:6" x14ac:dyDescent="0.45">
      <c r="A15" s="355"/>
      <c r="B15" s="356"/>
      <c r="C15" s="356"/>
      <c r="D15" s="356"/>
      <c r="E15" s="356"/>
      <c r="F15" s="357"/>
    </row>
    <row r="16" spans="1:6" x14ac:dyDescent="0.45">
      <c r="A16" s="355"/>
      <c r="B16" s="356"/>
      <c r="C16" s="356"/>
      <c r="D16" s="356"/>
      <c r="E16" s="356"/>
      <c r="F16" s="357"/>
    </row>
    <row r="17" spans="1:6" x14ac:dyDescent="0.45">
      <c r="A17" s="355"/>
      <c r="B17" s="356"/>
      <c r="C17" s="356"/>
      <c r="D17" s="356"/>
      <c r="E17" s="356"/>
      <c r="F17" s="357"/>
    </row>
    <row r="18" spans="1:6" x14ac:dyDescent="0.45">
      <c r="A18" s="355"/>
      <c r="B18" s="356"/>
      <c r="C18" s="356"/>
      <c r="D18" s="356"/>
      <c r="E18" s="356"/>
      <c r="F18" s="357"/>
    </row>
    <row r="19" spans="1:6" x14ac:dyDescent="0.45">
      <c r="A19" s="355"/>
      <c r="B19" s="356"/>
      <c r="C19" s="356"/>
      <c r="D19" s="356"/>
      <c r="E19" s="356"/>
      <c r="F19" s="357"/>
    </row>
    <row r="20" spans="1:6" x14ac:dyDescent="0.45">
      <c r="A20" s="355"/>
      <c r="B20" s="356"/>
      <c r="C20" s="356"/>
      <c r="D20" s="356"/>
      <c r="E20" s="356"/>
      <c r="F20" s="357"/>
    </row>
    <row r="21" spans="1:6" x14ac:dyDescent="0.45">
      <c r="A21" s="355"/>
      <c r="B21" s="356"/>
      <c r="C21" s="356"/>
      <c r="D21" s="356"/>
      <c r="E21" s="356"/>
      <c r="F21" s="357"/>
    </row>
    <row r="22" spans="1:6" x14ac:dyDescent="0.45">
      <c r="A22" s="355"/>
      <c r="B22" s="356"/>
      <c r="C22" s="356"/>
      <c r="D22" s="356"/>
      <c r="E22" s="356"/>
      <c r="F22" s="357"/>
    </row>
    <row r="23" spans="1:6" x14ac:dyDescent="0.45">
      <c r="A23" s="355"/>
      <c r="B23" s="356"/>
      <c r="C23" s="356"/>
      <c r="D23" s="356"/>
      <c r="E23" s="356"/>
      <c r="F23" s="357"/>
    </row>
    <row r="24" spans="1:6" x14ac:dyDescent="0.45">
      <c r="A24" s="355"/>
      <c r="B24" s="356"/>
      <c r="C24" s="356"/>
      <c r="D24" s="356"/>
      <c r="E24" s="356"/>
      <c r="F24" s="357"/>
    </row>
    <row r="25" spans="1:6" x14ac:dyDescent="0.45">
      <c r="A25" s="355"/>
      <c r="B25" s="356"/>
      <c r="C25" s="356"/>
      <c r="D25" s="356"/>
      <c r="E25" s="356"/>
      <c r="F25" s="357"/>
    </row>
    <row r="26" spans="1:6" x14ac:dyDescent="0.45">
      <c r="A26" s="355"/>
      <c r="B26" s="356"/>
      <c r="C26" s="356"/>
      <c r="D26" s="356"/>
      <c r="E26" s="356"/>
      <c r="F26" s="357"/>
    </row>
    <row r="27" spans="1:6" x14ac:dyDescent="0.45">
      <c r="A27" s="355"/>
      <c r="B27" s="356"/>
      <c r="C27" s="356"/>
      <c r="D27" s="356"/>
      <c r="E27" s="356"/>
      <c r="F27" s="357"/>
    </row>
    <row r="28" spans="1:6" x14ac:dyDescent="0.45">
      <c r="A28" s="355"/>
      <c r="B28" s="356"/>
      <c r="C28" s="356"/>
      <c r="D28" s="356"/>
      <c r="E28" s="356"/>
      <c r="F28" s="357"/>
    </row>
    <row r="29" spans="1:6" x14ac:dyDescent="0.45">
      <c r="A29" s="355"/>
      <c r="B29" s="356"/>
      <c r="C29" s="356"/>
      <c r="D29" s="356"/>
      <c r="E29" s="356"/>
      <c r="F29" s="357"/>
    </row>
    <row r="30" spans="1:6" x14ac:dyDescent="0.45">
      <c r="A30" s="355"/>
      <c r="B30" s="356"/>
      <c r="C30" s="356"/>
      <c r="D30" s="356"/>
      <c r="E30" s="356"/>
      <c r="F30" s="357"/>
    </row>
    <row r="31" spans="1:6" x14ac:dyDescent="0.45">
      <c r="A31" s="355"/>
      <c r="B31" s="356"/>
      <c r="C31" s="356"/>
      <c r="D31" s="356"/>
      <c r="E31" s="356"/>
      <c r="F31" s="357"/>
    </row>
    <row r="32" spans="1:6" ht="17.5" thickBot="1" x14ac:dyDescent="0.5">
      <c r="A32" s="358"/>
      <c r="B32" s="359"/>
      <c r="C32" s="359"/>
      <c r="D32" s="359"/>
      <c r="E32" s="359"/>
      <c r="F32" s="360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단추2_Click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수강명단</vt:lpstr>
      <vt:lpstr>피아노</vt:lpstr>
      <vt:lpstr>컴퓨터</vt:lpstr>
      <vt:lpstr>원어민영어1</vt:lpstr>
      <vt:lpstr>원어민영어2</vt:lpstr>
      <vt:lpstr>변환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dayeon</dc:creator>
  <cp:lastModifiedBy>dayeon</cp:lastModifiedBy>
  <dcterms:created xsi:type="dcterms:W3CDTF">2022-05-01T12:18:08Z</dcterms:created>
  <dcterms:modified xsi:type="dcterms:W3CDTF">2022-05-01T12:25:20Z</dcterms:modified>
</cp:coreProperties>
</file>