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Work\_Coding\_scheduler\output\"/>
    </mc:Choice>
  </mc:AlternateContent>
  <xr:revisionPtr revIDLastSave="0" documentId="13_ncr:1_{1267199E-6FE4-43C1-9084-E3EAF0868BDC}" xr6:coauthVersionLast="47" xr6:coauthVersionMax="47" xr10:uidLastSave="{00000000-0000-0000-0000-000000000000}"/>
  <bookViews>
    <workbookView xWindow="2020" yWindow="-110" windowWidth="36490" windowHeight="21820" xr2:uid="{D9F33B70-83F9-4843-8F63-9AE9E1D727A9}"/>
  </bookViews>
  <sheets>
    <sheet name="수집기록" sheetId="1" r:id="rId1"/>
    <sheet name="docx명세" sheetId="2" r:id="rId2"/>
    <sheet name="코드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" l="1"/>
  <c r="K34" i="1" l="1"/>
  <c r="K96" i="1"/>
  <c r="K88" i="1"/>
  <c r="K80" i="1"/>
  <c r="K72" i="1"/>
  <c r="K64" i="1"/>
  <c r="K56" i="1"/>
  <c r="K48" i="1"/>
  <c r="K40" i="1"/>
  <c r="K31" i="1"/>
  <c r="K23" i="1"/>
  <c r="K15" i="1"/>
  <c r="K7" i="1"/>
  <c r="K85" i="1"/>
  <c r="K53" i="1"/>
  <c r="K45" i="1"/>
  <c r="K20" i="1"/>
  <c r="K83" i="1"/>
  <c r="K51" i="1"/>
  <c r="K18" i="1"/>
  <c r="K74" i="1"/>
  <c r="K25" i="1"/>
  <c r="K65" i="1"/>
  <c r="K95" i="1"/>
  <c r="K87" i="1"/>
  <c r="K79" i="1"/>
  <c r="K71" i="1"/>
  <c r="K63" i="1"/>
  <c r="K55" i="1"/>
  <c r="K47" i="1"/>
  <c r="K39" i="1"/>
  <c r="K30" i="1"/>
  <c r="K22" i="1"/>
  <c r="K14" i="1"/>
  <c r="K6" i="1"/>
  <c r="K21" i="1"/>
  <c r="K69" i="1"/>
  <c r="K28" i="1"/>
  <c r="K67" i="1"/>
  <c r="K33" i="1"/>
  <c r="K73" i="1"/>
  <c r="K94" i="1"/>
  <c r="K86" i="1"/>
  <c r="K78" i="1"/>
  <c r="K70" i="1"/>
  <c r="K62" i="1"/>
  <c r="K54" i="1"/>
  <c r="K46" i="1"/>
  <c r="K38" i="1"/>
  <c r="K29" i="1"/>
  <c r="K13" i="1"/>
  <c r="K77" i="1"/>
  <c r="K43" i="1"/>
  <c r="K42" i="1"/>
  <c r="K89" i="1"/>
  <c r="K32" i="1"/>
  <c r="K93" i="1"/>
  <c r="K61" i="1"/>
  <c r="K37" i="1"/>
  <c r="K12" i="1"/>
  <c r="K26" i="1"/>
  <c r="K58" i="1"/>
  <c r="K24" i="1"/>
  <c r="K8" i="1"/>
  <c r="K92" i="1"/>
  <c r="K84" i="1"/>
  <c r="K76" i="1"/>
  <c r="K68" i="1"/>
  <c r="K60" i="1"/>
  <c r="K52" i="1"/>
  <c r="K44" i="1"/>
  <c r="K36" i="1"/>
  <c r="K27" i="1"/>
  <c r="K19" i="1"/>
  <c r="K11" i="1"/>
  <c r="K91" i="1"/>
  <c r="K75" i="1"/>
  <c r="K59" i="1"/>
  <c r="K35" i="1"/>
  <c r="K10" i="1"/>
  <c r="K66" i="1"/>
  <c r="K17" i="1"/>
  <c r="K57" i="1"/>
  <c r="K16" i="1"/>
  <c r="K90" i="1"/>
  <c r="K82" i="1"/>
  <c r="K50" i="1"/>
  <c r="K9" i="1"/>
  <c r="K81" i="1"/>
  <c r="K41" i="1"/>
  <c r="K49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6" i="1"/>
  <c r="J7" i="1"/>
  <c r="P5" i="1" s="1"/>
  <c r="G7" i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J8" i="1" l="1"/>
  <c r="J9" i="1" s="1"/>
  <c r="J10" i="1" s="1"/>
  <c r="J11" i="1" s="1"/>
  <c r="J12" i="1" s="1"/>
  <c r="J13" i="1" s="1"/>
  <c r="L6" i="1"/>
  <c r="L7" i="1" l="1"/>
  <c r="L9" i="1"/>
  <c r="L8" i="1"/>
  <c r="L10" i="1"/>
  <c r="L12" i="1"/>
  <c r="L11" i="1"/>
  <c r="J14" i="1"/>
  <c r="L13" i="1" l="1"/>
  <c r="J15" i="1"/>
  <c r="L14" i="1" l="1"/>
  <c r="J16" i="1"/>
  <c r="L15" i="1" l="1"/>
  <c r="J17" i="1"/>
  <c r="L16" i="1" l="1"/>
  <c r="J18" i="1"/>
  <c r="L17" i="1" l="1"/>
  <c r="J19" i="1"/>
  <c r="L18" i="1" l="1"/>
  <c r="J20" i="1"/>
  <c r="L19" i="1" l="1"/>
  <c r="J21" i="1"/>
  <c r="L20" i="1" s="1"/>
  <c r="J22" i="1" l="1"/>
  <c r="L21" i="1" l="1"/>
  <c r="J23" i="1"/>
  <c r="L22" i="1" l="1"/>
  <c r="J24" i="1"/>
  <c r="L23" i="1" l="1"/>
  <c r="J25" i="1"/>
  <c r="L24" i="1" l="1"/>
  <c r="J26" i="1"/>
  <c r="L25" i="1" l="1"/>
  <c r="J27" i="1"/>
  <c r="L26" i="1" l="1"/>
  <c r="J28" i="1"/>
  <c r="L27" i="1" l="1"/>
  <c r="J29" i="1"/>
  <c r="L28" i="1" l="1"/>
  <c r="J30" i="1"/>
  <c r="L29" i="1" l="1"/>
  <c r="J31" i="1"/>
  <c r="L30" i="1" l="1"/>
  <c r="J32" i="1"/>
  <c r="L31" i="1" l="1"/>
  <c r="J33" i="1"/>
  <c r="L32" i="1" l="1"/>
  <c r="J34" i="1"/>
  <c r="L33" i="1" l="1"/>
  <c r="J35" i="1"/>
  <c r="L34" i="1" l="1"/>
  <c r="J36" i="1"/>
  <c r="L35" i="1" l="1"/>
  <c r="J37" i="1"/>
  <c r="L36" i="1" s="1"/>
  <c r="J38" i="1" l="1"/>
  <c r="J39" i="1" l="1"/>
  <c r="L38" i="1" s="1"/>
  <c r="L37" i="1"/>
  <c r="J40" i="1" l="1"/>
  <c r="L39" i="1" s="1"/>
  <c r="J41" i="1" l="1"/>
  <c r="L40" i="1" s="1"/>
  <c r="J42" i="1" l="1"/>
  <c r="L41" i="1" s="1"/>
  <c r="J43" i="1" l="1"/>
  <c r="L42" i="1" s="1"/>
  <c r="J44" i="1" l="1"/>
  <c r="L43" i="1" s="1"/>
  <c r="J45" i="1" l="1"/>
  <c r="L44" i="1" s="1"/>
  <c r="J46" i="1" l="1"/>
  <c r="L45" i="1" s="1"/>
  <c r="J47" i="1" l="1"/>
  <c r="L46" i="1" s="1"/>
  <c r="J48" i="1" l="1"/>
  <c r="L47" i="1" s="1"/>
  <c r="J49" i="1" l="1"/>
  <c r="L48" i="1" s="1"/>
  <c r="J50" i="1" l="1"/>
  <c r="L49" i="1" s="1"/>
  <c r="J51" i="1" l="1"/>
  <c r="L50" i="1" s="1"/>
  <c r="J52" i="1" l="1"/>
  <c r="L51" i="1" s="1"/>
  <c r="J2" i="1"/>
  <c r="M33" i="1" l="1"/>
  <c r="M48" i="1"/>
  <c r="M40" i="1"/>
  <c r="M23" i="1"/>
  <c r="M15" i="1"/>
  <c r="M7" i="1"/>
  <c r="M38" i="1"/>
  <c r="M28" i="1"/>
  <c r="M47" i="1"/>
  <c r="M39" i="1"/>
  <c r="M30" i="1"/>
  <c r="M22" i="1"/>
  <c r="M14" i="1"/>
  <c r="M6" i="1"/>
  <c r="M46" i="1"/>
  <c r="M29" i="1"/>
  <c r="M13" i="1"/>
  <c r="M37" i="1"/>
  <c r="M52" i="1"/>
  <c r="M44" i="1"/>
  <c r="M36" i="1"/>
  <c r="M27" i="1"/>
  <c r="M19" i="1"/>
  <c r="M11" i="1"/>
  <c r="M42" i="1"/>
  <c r="M25" i="1"/>
  <c r="M9" i="1"/>
  <c r="M41" i="1"/>
  <c r="M24" i="1"/>
  <c r="M8" i="1"/>
  <c r="M12" i="1"/>
  <c r="M51" i="1"/>
  <c r="M43" i="1"/>
  <c r="M35" i="1"/>
  <c r="M26" i="1"/>
  <c r="M18" i="1"/>
  <c r="M10" i="1"/>
  <c r="M50" i="1"/>
  <c r="M34" i="1"/>
  <c r="M17" i="1"/>
  <c r="M49" i="1"/>
  <c r="M32" i="1"/>
  <c r="M16" i="1"/>
  <c r="M45" i="1"/>
  <c r="M20" i="1"/>
  <c r="M21" i="1"/>
  <c r="M31" i="1"/>
  <c r="J53" i="1"/>
  <c r="L52" i="1" s="1"/>
  <c r="J54" i="1" l="1"/>
  <c r="L53" i="1" s="1"/>
  <c r="M53" i="1"/>
  <c r="J55" i="1" l="1"/>
  <c r="L54" i="1" s="1"/>
  <c r="M54" i="1" l="1"/>
  <c r="J56" i="1"/>
  <c r="L55" i="1" s="1"/>
  <c r="M55" i="1"/>
  <c r="J57" i="1" l="1"/>
  <c r="L56" i="1"/>
  <c r="M56" i="1" l="1"/>
  <c r="J58" i="1"/>
  <c r="L57" i="1"/>
  <c r="M57" i="1"/>
  <c r="J59" i="1" l="1"/>
  <c r="L58" i="1" s="1"/>
  <c r="M58" i="1" l="1"/>
  <c r="J60" i="1"/>
  <c r="L59" i="1" s="1"/>
  <c r="M59" i="1"/>
  <c r="J61" i="1" l="1"/>
  <c r="L60" i="1" s="1"/>
  <c r="M60" i="1" l="1"/>
  <c r="J62" i="1"/>
  <c r="L61" i="1" s="1"/>
  <c r="M61" i="1"/>
  <c r="J63" i="1" l="1"/>
  <c r="L62" i="1" s="1"/>
  <c r="M62" i="1"/>
  <c r="J64" i="1" l="1"/>
  <c r="L63" i="1" s="1"/>
  <c r="M63" i="1"/>
  <c r="J65" i="1" l="1"/>
  <c r="L64" i="1" s="1"/>
  <c r="M64" i="1"/>
  <c r="J66" i="1" l="1"/>
  <c r="L65" i="1" s="1"/>
  <c r="M65" i="1"/>
  <c r="J67" i="1" l="1"/>
  <c r="L66" i="1" s="1"/>
  <c r="M66" i="1"/>
  <c r="J68" i="1" l="1"/>
  <c r="L67" i="1" s="1"/>
  <c r="M67" i="1"/>
  <c r="J69" i="1" l="1"/>
  <c r="L68" i="1" s="1"/>
  <c r="M68" i="1"/>
  <c r="J70" i="1" l="1"/>
  <c r="L69" i="1" s="1"/>
  <c r="M69" i="1"/>
  <c r="J71" i="1" l="1"/>
  <c r="L70" i="1" s="1"/>
  <c r="M70" i="1"/>
  <c r="J72" i="1" l="1"/>
  <c r="L71" i="1" s="1"/>
  <c r="M71" i="1"/>
  <c r="J73" i="1" l="1"/>
  <c r="L72" i="1" s="1"/>
  <c r="M72" i="1"/>
  <c r="J74" i="1" l="1"/>
  <c r="M73" i="1"/>
  <c r="J75" i="1" l="1"/>
  <c r="L74" i="1" s="1"/>
  <c r="M74" i="1"/>
  <c r="L73" i="1"/>
  <c r="J76" i="1" l="1"/>
  <c r="L75" i="1" s="1"/>
  <c r="M75" i="1"/>
  <c r="J77" i="1" l="1"/>
  <c r="L76" i="1" s="1"/>
  <c r="M76" i="1"/>
  <c r="J78" i="1" l="1"/>
  <c r="L77" i="1" s="1"/>
  <c r="M77" i="1"/>
  <c r="J79" i="1" l="1"/>
  <c r="L78" i="1" s="1"/>
  <c r="M78" i="1"/>
  <c r="J80" i="1" l="1"/>
  <c r="L79" i="1"/>
  <c r="M79" i="1"/>
  <c r="J81" i="1" l="1"/>
  <c r="L80" i="1"/>
  <c r="M80" i="1"/>
  <c r="J82" i="1" l="1"/>
  <c r="L81" i="1" s="1"/>
  <c r="M81" i="1"/>
  <c r="J83" i="1" l="1"/>
  <c r="L82" i="1" s="1"/>
  <c r="M82" i="1"/>
  <c r="J84" i="1" l="1"/>
  <c r="L83" i="1" s="1"/>
  <c r="M83" i="1"/>
  <c r="J85" i="1" l="1"/>
  <c r="L84" i="1" s="1"/>
  <c r="M84" i="1"/>
  <c r="J86" i="1" l="1"/>
  <c r="L85" i="1" s="1"/>
  <c r="M85" i="1"/>
  <c r="J87" i="1" l="1"/>
  <c r="L86" i="1" s="1"/>
  <c r="M86" i="1"/>
  <c r="J88" i="1" l="1"/>
  <c r="L87" i="1" s="1"/>
  <c r="M87" i="1"/>
  <c r="J89" i="1" l="1"/>
  <c r="M88" i="1"/>
  <c r="J90" i="1" l="1"/>
  <c r="L89" i="1" s="1"/>
  <c r="M89" i="1"/>
  <c r="L88" i="1"/>
  <c r="J91" i="1" l="1"/>
  <c r="L90" i="1" s="1"/>
  <c r="M90" i="1"/>
  <c r="J92" i="1" l="1"/>
  <c r="L91" i="1" s="1"/>
  <c r="M91" i="1"/>
  <c r="J93" i="1" l="1"/>
  <c r="M92" i="1"/>
  <c r="J94" i="1" l="1"/>
  <c r="L93" i="1" s="1"/>
  <c r="M93" i="1"/>
  <c r="L92" i="1"/>
  <c r="J95" i="1" l="1"/>
  <c r="L94" i="1" s="1"/>
  <c r="M94" i="1"/>
  <c r="J96" i="1" l="1"/>
  <c r="L95" i="1" s="1"/>
  <c r="M95" i="1"/>
  <c r="L96" i="1" l="1"/>
  <c r="P11" i="1" s="1"/>
  <c r="P7" i="1" l="1"/>
  <c r="P8" i="1" s="1"/>
  <c r="M96" i="1"/>
  <c r="P10" i="1" l="1"/>
  <c r="P1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Dayeon</author>
  </authors>
  <commentList>
    <comment ref="J6" authorId="0" shapeId="0" xr:uid="{FB92C1B5-920E-4335-BAFD-33F51CBC9D82}">
      <text>
        <r>
          <rPr>
            <b/>
            <sz val="9"/>
            <color indexed="81"/>
            <rFont val="Tahoma"/>
            <family val="2"/>
          </rPr>
          <t>Dayeon: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현재셀에서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다음셀까지의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것임</t>
        </r>
      </text>
    </comment>
  </commentList>
</comments>
</file>

<file path=xl/sharedStrings.xml><?xml version="1.0" encoding="utf-8"?>
<sst xmlns="http://schemas.openxmlformats.org/spreadsheetml/2006/main" count="376" uniqueCount="341">
  <si>
    <t>검색할 폴더 경로</t>
    <phoneticPr fontId="1" type="noConversion"/>
  </si>
  <si>
    <t>폴더 내 파일 목록</t>
    <phoneticPr fontId="1" type="noConversion"/>
  </si>
  <si>
    <t>20220628161109.csv</t>
  </si>
  <si>
    <t>20220628161700.csv</t>
  </si>
  <si>
    <t>20220628164000.csv</t>
  </si>
  <si>
    <t>20220628170500.csv</t>
  </si>
  <si>
    <t>20220628171000.csv</t>
  </si>
  <si>
    <t>20220628171500.csv</t>
  </si>
  <si>
    <t>20220628173000.csv</t>
  </si>
  <si>
    <t>20220628174500.csv</t>
  </si>
  <si>
    <t>20220628204500.csv</t>
  </si>
  <si>
    <t>20220628221500.csv</t>
  </si>
  <si>
    <t>20220628231500.csv</t>
  </si>
  <si>
    <t>20220628234500.csv</t>
  </si>
  <si>
    <t>20220629000000.csv</t>
  </si>
  <si>
    <t>20220629001500.csv</t>
  </si>
  <si>
    <t>20220629004500.csv</t>
  </si>
  <si>
    <t>20220629010000.csv</t>
  </si>
  <si>
    <t>20220629011500.csv</t>
  </si>
  <si>
    <t>20220629013000.csv</t>
  </si>
  <si>
    <t>20220629014500.csv</t>
  </si>
  <si>
    <t>20220629020000.csv</t>
  </si>
  <si>
    <t>20220629021500.csv</t>
  </si>
  <si>
    <t>20220629024500.csv</t>
  </si>
  <si>
    <t>20220629031500.csv</t>
  </si>
  <si>
    <t>20220629033000.csv</t>
  </si>
  <si>
    <t>20220629034500.csv</t>
  </si>
  <si>
    <t>20220629090000.csv</t>
  </si>
  <si>
    <t>20220629091500.csv</t>
  </si>
  <si>
    <t>sync.ffs_db</t>
  </si>
  <si>
    <t>_현황.xlsm</t>
  </si>
  <si>
    <t>~$_현황.xlsm</t>
  </si>
  <si>
    <t>20220629133000.csv</t>
  </si>
  <si>
    <t>20220629134500.csv</t>
  </si>
  <si>
    <t>20220629140000.csv</t>
  </si>
  <si>
    <t>20220629141500.csv</t>
  </si>
  <si>
    <t>20220629144500.csv</t>
  </si>
  <si>
    <t>20220629150000.csv</t>
  </si>
  <si>
    <t>20220629151500.csv</t>
  </si>
  <si>
    <t>20220629153800.csv</t>
  </si>
  <si>
    <t>20220629154500.csv</t>
  </si>
  <si>
    <t>20220629160000.csv</t>
  </si>
  <si>
    <t>20220629161500.csv</t>
  </si>
  <si>
    <t>성공횟수</t>
    <phoneticPr fontId="1" type="noConversion"/>
  </si>
  <si>
    <t>성공률</t>
    <phoneticPr fontId="1" type="noConversion"/>
  </si>
  <si>
    <t>경과시간</t>
    <phoneticPr fontId="1" type="noConversion"/>
  </si>
  <si>
    <t>횟수/시간</t>
    <phoneticPr fontId="1" type="noConversion"/>
  </si>
  <si>
    <t>경과일수</t>
    <phoneticPr fontId="1" type="noConversion"/>
  </si>
  <si>
    <t>15분/24시간</t>
    <phoneticPr fontId="1" type="noConversion"/>
  </si>
  <si>
    <t>20220629163300.csv</t>
  </si>
  <si>
    <t>20220629164500.csv</t>
  </si>
  <si>
    <t>20220629170000.csv</t>
  </si>
  <si>
    <t>20220629171500.csv</t>
  </si>
  <si>
    <t>20220629173000.csv</t>
  </si>
  <si>
    <t>20220629174500.csv</t>
  </si>
  <si>
    <t>20220629180000.csv</t>
  </si>
  <si>
    <t>20220629181500.csv</t>
  </si>
  <si>
    <t>20220629183000.csv</t>
  </si>
  <si>
    <t>20220629184500.csv</t>
  </si>
  <si>
    <t>20220629190000.csv</t>
  </si>
  <si>
    <t>20220629191500.csv</t>
  </si>
  <si>
    <t>경과여부</t>
    <phoneticPr fontId="1" type="noConversion"/>
  </si>
  <si>
    <t>현재시각</t>
    <phoneticPr fontId="1" type="noConversion"/>
  </si>
  <si>
    <t>현구간종료</t>
    <phoneticPr fontId="1" type="noConversion"/>
  </si>
  <si>
    <t>1시간 구간별</t>
    <phoneticPr fontId="1" type="noConversion"/>
  </si>
  <si>
    <t>20220629193000.csv</t>
  </si>
  <si>
    <t>① 요청 메시지 명세</t>
    <phoneticPr fontId="1" type="noConversion"/>
  </si>
  <si>
    <t>항목명(영문)</t>
  </si>
  <si>
    <t>항목명(국문)</t>
  </si>
  <si>
    <t>항목크기</t>
    <phoneticPr fontId="1" type="noConversion"/>
  </si>
  <si>
    <t>항목구분</t>
    <phoneticPr fontId="1" type="noConversion"/>
  </si>
  <si>
    <t>샘플데이터</t>
  </si>
  <si>
    <t>항목설명</t>
  </si>
  <si>
    <t>serviceKey</t>
  </si>
  <si>
    <t>서비스키</t>
  </si>
  <si>
    <t>인증키(URL Encode)</t>
  </si>
  <si>
    <t>인증된 서비스키</t>
  </si>
  <si>
    <t>pageNo</t>
  </si>
  <si>
    <t>페이지 번호</t>
  </si>
  <si>
    <t>numOfRows</t>
  </si>
  <si>
    <t>한 페이지 결과 수</t>
  </si>
  <si>
    <t>한 페이지 결과 수 (최소 10, 최대 9999)</t>
  </si>
  <si>
    <t>period</t>
  </si>
  <si>
    <t>상태갱신 기간</t>
  </si>
  <si>
    <t>5
(5분 이내 상태갱신 충전기 조회)</t>
    <phoneticPr fontId="1" type="noConversion"/>
  </si>
  <si>
    <t>상태갱신 조회 범위(분)
(기본값 5, 최소 1, 최대 10)</t>
    <phoneticPr fontId="1" type="noConversion"/>
  </si>
  <si>
    <t>zcode</t>
  </si>
  <si>
    <t>지역구분 코드</t>
  </si>
  <si>
    <t>시도 코드 (행정구역코드 앞 2자리)</t>
  </si>
  <si>
    <t>※ 항목구분 : 필수(1), 옵션(0), 1건 이상 복수건(1..n), 0건 또는 복수건(0..n)</t>
    <phoneticPr fontId="1" type="noConversion"/>
  </si>
  <si>
    <t>② 응답 메시지 명세</t>
    <phoneticPr fontId="1" type="noConversion"/>
  </si>
  <si>
    <t>항목 크기</t>
    <phoneticPr fontId="1" type="noConversion"/>
  </si>
  <si>
    <t>항목 구분</t>
    <phoneticPr fontId="1" type="noConversion"/>
  </si>
  <si>
    <t>&lt;item&gt;</t>
  </si>
  <si>
    <t>resultCode</t>
  </si>
  <si>
    <t>결과코드</t>
  </si>
  <si>
    <r>
      <t>&lt;statNm&gt;</t>
    </r>
    <r>
      <rPr>
        <sz val="10"/>
        <color rgb="FF000000"/>
        <rFont val="굴림"/>
        <family val="3"/>
        <charset val="129"/>
      </rPr>
      <t>롯데마트</t>
    </r>
    <r>
      <rPr>
        <sz val="10"/>
        <color rgb="FF000000"/>
        <rFont val="Courier New"/>
        <family val="3"/>
      </rPr>
      <t xml:space="preserve"> </t>
    </r>
    <r>
      <rPr>
        <sz val="10"/>
        <color rgb="FF000000"/>
        <rFont val="굴림"/>
        <family val="3"/>
        <charset val="129"/>
      </rPr>
      <t>삼계점</t>
    </r>
    <r>
      <rPr>
        <sz val="10"/>
        <color rgb="FF000000"/>
        <rFont val="Courier New"/>
        <family val="3"/>
      </rPr>
      <t>&lt;/statNm&gt;</t>
    </r>
  </si>
  <si>
    <t>resultMsg</t>
  </si>
  <si>
    <t>결과메세지</t>
  </si>
  <si>
    <t>NORMAL SERVICE.</t>
  </si>
  <si>
    <t>&lt;statId&gt;ME000394&lt;/statId&gt;</t>
  </si>
  <si>
    <t>totalCount</t>
  </si>
  <si>
    <t>전체 건수</t>
  </si>
  <si>
    <t>요청 조건에 따른 전체 충전기 개수</t>
  </si>
  <si>
    <t>&lt;chgerId&gt;01&lt;/chgerId&gt;</t>
  </si>
  <si>
    <t>조회 페이지</t>
  </si>
  <si>
    <t>&lt;chgerType&gt;01&lt;/chgerType&gt;</t>
  </si>
  <si>
    <t>한 페이지당 표출 데이터 수</t>
  </si>
  <si>
    <r>
      <t>&lt;addr&gt;</t>
    </r>
    <r>
      <rPr>
        <sz val="10"/>
        <color rgb="FF000000"/>
        <rFont val="굴림"/>
        <family val="3"/>
        <charset val="129"/>
      </rPr>
      <t>경상남도</t>
    </r>
    <r>
      <rPr>
        <sz val="10"/>
        <color rgb="FF000000"/>
        <rFont val="Courier New"/>
        <family val="3"/>
      </rPr>
      <t xml:space="preserve"> </t>
    </r>
    <r>
      <rPr>
        <sz val="10"/>
        <color rgb="FF000000"/>
        <rFont val="굴림"/>
        <family val="3"/>
        <charset val="129"/>
      </rPr>
      <t>창원시</t>
    </r>
    <r>
      <rPr>
        <sz val="10"/>
        <color rgb="FF000000"/>
        <rFont val="Courier New"/>
        <family val="3"/>
      </rPr>
      <t xml:space="preserve"> </t>
    </r>
    <r>
      <rPr>
        <sz val="10"/>
        <color rgb="FF000000"/>
        <rFont val="굴림"/>
        <family val="3"/>
        <charset val="129"/>
      </rPr>
      <t>마산회원구</t>
    </r>
    <r>
      <rPr>
        <sz val="10"/>
        <color rgb="FF000000"/>
        <rFont val="Courier New"/>
        <family val="3"/>
      </rPr>
      <t xml:space="preserve"> </t>
    </r>
    <r>
      <rPr>
        <sz val="10"/>
        <color rgb="FF000000"/>
        <rFont val="굴림"/>
        <family val="3"/>
        <charset val="129"/>
      </rPr>
      <t>내서읍</t>
    </r>
    <r>
      <rPr>
        <sz val="10"/>
        <color rgb="FF000000"/>
        <rFont val="Courier New"/>
        <family val="3"/>
      </rPr>
      <t xml:space="preserve"> </t>
    </r>
    <r>
      <rPr>
        <sz val="10"/>
        <color rgb="FF000000"/>
        <rFont val="굴림"/>
        <family val="3"/>
        <charset val="129"/>
      </rPr>
      <t>경남대로</t>
    </r>
    <r>
      <rPr>
        <sz val="10"/>
        <color rgb="FF000000"/>
        <rFont val="Courier New"/>
        <family val="3"/>
      </rPr>
      <t xml:space="preserve"> 927&lt;/addr&gt;</t>
    </r>
  </si>
  <si>
    <t>items</t>
  </si>
  <si>
    <t>목록</t>
  </si>
  <si>
    <t>0..n</t>
  </si>
  <si>
    <t>&lt;location&gt;null&lt;/location&gt;</t>
  </si>
  <si>
    <t>statNm</t>
  </si>
  <si>
    <t>충전소명</t>
  </si>
  <si>
    <t>기후대기관</t>
  </si>
  <si>
    <t>&lt;lat&gt;35.233023&lt;/lat&gt;</t>
  </si>
  <si>
    <t>statId</t>
  </si>
  <si>
    <t>충전소ID</t>
  </si>
  <si>
    <t>&lt;lng&gt;128.504094&lt;/lng&gt;</t>
  </si>
  <si>
    <t>chgerId</t>
  </si>
  <si>
    <t>충전기ID</t>
  </si>
  <si>
    <t>&lt;useTime&gt;10:00~24:00&lt;/useTime&gt;</t>
  </si>
  <si>
    <t>chgerType</t>
  </si>
  <si>
    <t>충전기타입</t>
  </si>
  <si>
    <t>(01:DC차데모, 02: AC완속, 03: DC차데모+AC3상, 04: DC콤보,
05: DC차데모+DC콤보, 06: DC차데모+AC3상+DC콤보, 07: AC3상)</t>
    <phoneticPr fontId="1" type="noConversion"/>
  </si>
  <si>
    <t>&lt;busiId&gt;ME&lt;/busiId&gt;</t>
  </si>
  <si>
    <t>addr</t>
  </si>
  <si>
    <t>주소</t>
  </si>
  <si>
    <t>인천광역시 서구 환경로 42</t>
  </si>
  <si>
    <t>충전기 주소</t>
  </si>
  <si>
    <r>
      <t>&lt;bnm&gt;</t>
    </r>
    <r>
      <rPr>
        <sz val="10"/>
        <color rgb="FF000000"/>
        <rFont val="굴림"/>
        <family val="3"/>
        <charset val="129"/>
      </rPr>
      <t>환경부</t>
    </r>
    <r>
      <rPr>
        <sz val="10"/>
        <color rgb="FF000000"/>
        <rFont val="Courier New"/>
        <family val="3"/>
      </rPr>
      <t>&lt;/bnm&gt;</t>
    </r>
  </si>
  <si>
    <t>location</t>
  </si>
  <si>
    <t>상세위치</t>
  </si>
  <si>
    <t>입구 진입 후 2시 방향</t>
  </si>
  <si>
    <t>충전기 상세위치</t>
  </si>
  <si>
    <r>
      <t>&lt;busiNm&gt;</t>
    </r>
    <r>
      <rPr>
        <sz val="10"/>
        <color rgb="FF000000"/>
        <rFont val="굴림"/>
        <family val="3"/>
        <charset val="129"/>
      </rPr>
      <t>환경부</t>
    </r>
    <r>
      <rPr>
        <sz val="10"/>
        <color rgb="FF000000"/>
        <rFont val="Courier New"/>
        <family val="3"/>
      </rPr>
      <t>&lt;/busiNm&gt;</t>
    </r>
  </si>
  <si>
    <t>lat</t>
  </si>
  <si>
    <t>위도</t>
  </si>
  <si>
    <t>충전기 위도</t>
  </si>
  <si>
    <t>&lt;busiCall&gt;1661-9408&lt;/busiCall&gt;</t>
  </si>
  <si>
    <t>lng</t>
  </si>
  <si>
    <t>경도</t>
  </si>
  <si>
    <t>충전기 경도</t>
  </si>
  <si>
    <t>&lt;stat&gt;9&lt;/stat&gt;</t>
  </si>
  <si>
    <t>useTime</t>
  </si>
  <si>
    <t>이용가능시간</t>
  </si>
  <si>
    <t>24시간 이용가능</t>
  </si>
  <si>
    <t>충전기 이용가능시간</t>
  </si>
  <si>
    <t>&lt;statUpdDt&gt;20211124162810&lt;/statUpdDt&gt;</t>
  </si>
  <si>
    <t>busiId</t>
  </si>
  <si>
    <t>기관 아이디</t>
  </si>
  <si>
    <t>ME</t>
  </si>
  <si>
    <t>&lt;lastTsdt&gt;20211019162434&lt;/lastTsdt&gt;</t>
  </si>
  <si>
    <t>bnm</t>
  </si>
  <si>
    <t>기관명</t>
  </si>
  <si>
    <t>환경부</t>
  </si>
  <si>
    <t>&lt;lastTedt&gt;20211019164848&lt;/lastTedt&gt;</t>
  </si>
  <si>
    <t>busiNm</t>
  </si>
  <si>
    <t>운영기관명</t>
  </si>
  <si>
    <t>한국자동차환경협회</t>
  </si>
  <si>
    <t>&lt;nowTsdt/&gt;</t>
  </si>
  <si>
    <t>busiCall</t>
  </si>
  <si>
    <t>운영기관연락처</t>
  </si>
  <si>
    <t>1661-9408</t>
  </si>
  <si>
    <t>운영기관 연락처</t>
  </si>
  <si>
    <t>&lt;powerType/&gt;</t>
  </si>
  <si>
    <t>stat</t>
  </si>
  <si>
    <t>충전기상태</t>
  </si>
  <si>
    <t>(1: 통신이상, 2: 충전대기, 3: 충전중, 4: 운영중지, 5: 점검중, 9: 상태미확인)</t>
    <phoneticPr fontId="1" type="noConversion"/>
  </si>
  <si>
    <t>&lt;output&gt;50&lt;/output&gt;</t>
  </si>
  <si>
    <t>statUpdDt</t>
  </si>
  <si>
    <t>상태갱신일시</t>
  </si>
  <si>
    <t>20190829121020</t>
    <phoneticPr fontId="1" type="noConversion"/>
  </si>
  <si>
    <t>충전기 상태 변경, 통신이상, 통신복구 일시</t>
  </si>
  <si>
    <r>
      <t>&lt;method&gt;</t>
    </r>
    <r>
      <rPr>
        <sz val="10"/>
        <color rgb="FF000000"/>
        <rFont val="굴림"/>
        <family val="3"/>
        <charset val="129"/>
      </rPr>
      <t>단독</t>
    </r>
    <r>
      <rPr>
        <sz val="10"/>
        <color rgb="FF000000"/>
        <rFont val="Courier New"/>
        <family val="3"/>
      </rPr>
      <t>&lt;/method&gt;</t>
    </r>
  </si>
  <si>
    <t>lastTsdt</t>
  </si>
  <si>
    <t>마지막 충전시작일시</t>
  </si>
  <si>
    <t>20210801121020</t>
    <phoneticPr fontId="1" type="noConversion"/>
  </si>
  <si>
    <t>&lt;zcode&gt;48&lt;/zcode&gt;</t>
  </si>
  <si>
    <t>lastTedt</t>
  </si>
  <si>
    <t>마지막 충전종료일시</t>
  </si>
  <si>
    <t>20210801123020</t>
    <phoneticPr fontId="1" type="noConversion"/>
  </si>
  <si>
    <t>&lt;parkingFree&gt;Y&lt;/parkingFree&gt;</t>
  </si>
  <si>
    <t>nowTsdt</t>
  </si>
  <si>
    <t>충전중 시작일시</t>
  </si>
  <si>
    <t>20210802131020</t>
    <phoneticPr fontId="1" type="noConversion"/>
  </si>
  <si>
    <t>&lt;note/&gt;</t>
  </si>
  <si>
    <t>output</t>
  </si>
  <si>
    <t>충전용량</t>
  </si>
  <si>
    <t>충전용량 kW (3, 7, 50, 100, 200)</t>
  </si>
  <si>
    <t>&lt;limitYn&gt;N&lt;/limitYn&gt;</t>
  </si>
  <si>
    <t>method</t>
  </si>
  <si>
    <t>충전방식</t>
  </si>
  <si>
    <t>단독</t>
  </si>
  <si>
    <t>충전방식 (단독/동시)</t>
  </si>
  <si>
    <t>&lt;limitDetail/&gt;</t>
  </si>
  <si>
    <t>지역코드</t>
  </si>
  <si>
    <t>&lt;delYn&gt;N&lt;/delYn&gt;</t>
  </si>
  <si>
    <t>parkingFree</t>
  </si>
  <si>
    <t>주차료무료</t>
  </si>
  <si>
    <t>Y / N</t>
  </si>
  <si>
    <t>주차료</t>
    <phoneticPr fontId="1" type="noConversion"/>
  </si>
  <si>
    <t>(Y: 무료, N: 유료, 값 없는 경우 현장 확인)</t>
    <phoneticPr fontId="1" type="noConversion"/>
  </si>
  <si>
    <t>&lt;delDetail/&gt;</t>
  </si>
  <si>
    <t>note</t>
  </si>
  <si>
    <t>충전소 안내</t>
  </si>
  <si>
    <t>공사로 인해 이용 불가</t>
  </si>
  <si>
    <t>충전소 이용 안내사항</t>
  </si>
  <si>
    <t>&lt;/item&gt;</t>
  </si>
  <si>
    <t>limitYn</t>
  </si>
  <si>
    <t>이용자 제한</t>
  </si>
  <si>
    <t>이용자 제한 (N:제한 없음)</t>
  </si>
  <si>
    <t>limitDetail</t>
  </si>
  <si>
    <t>이용제한 사유</t>
  </si>
  <si>
    <t>거주자외 출입제한</t>
  </si>
  <si>
    <t>delYn</t>
  </si>
  <si>
    <t>삭제 여부</t>
  </si>
  <si>
    <t>충전기 정보 삭제 여부</t>
  </si>
  <si>
    <t>(최근 삭제된 충전기 정보 제공)</t>
    <phoneticPr fontId="1" type="noConversion"/>
  </si>
  <si>
    <t>delDetail</t>
  </si>
  <si>
    <t>삭제 사유</t>
  </si>
  <si>
    <t>고객 요구로 철거</t>
  </si>
  <si>
    <t>충전기 정보 삭제 사유</t>
  </si>
  <si>
    <t>충전방식</t>
    <phoneticPr fontId="1" type="noConversion"/>
  </si>
  <si>
    <t>무료주차</t>
    <phoneticPr fontId="1" type="noConversion"/>
  </si>
  <si>
    <t>지역코드</t>
    <phoneticPr fontId="1" type="noConversion"/>
  </si>
  <si>
    <t>3.3. chgerType (충전기 타입)</t>
    <phoneticPr fontId="1" type="noConversion"/>
  </si>
  <si>
    <t>3.2. stat (충전기 상태)</t>
    <phoneticPr fontId="1" type="noConversion"/>
  </si>
  <si>
    <t>단독</t>
    <phoneticPr fontId="1" type="noConversion"/>
  </si>
  <si>
    <t>Y</t>
    <phoneticPr fontId="1" type="noConversion"/>
  </si>
  <si>
    <t>코드</t>
    <phoneticPr fontId="1" type="noConversion"/>
  </si>
  <si>
    <t>설명</t>
    <phoneticPr fontId="1" type="noConversion"/>
  </si>
  <si>
    <t>서울특별시</t>
    <phoneticPr fontId="1" type="noConversion"/>
  </si>
  <si>
    <t>DC차데모</t>
    <phoneticPr fontId="1" type="noConversion"/>
  </si>
  <si>
    <t>통신이상</t>
    <phoneticPr fontId="1" type="noConversion"/>
  </si>
  <si>
    <t>부산광역시</t>
    <phoneticPr fontId="1" type="noConversion"/>
  </si>
  <si>
    <t>AC완속</t>
    <phoneticPr fontId="1" type="noConversion"/>
  </si>
  <si>
    <t>충전대기</t>
    <phoneticPr fontId="1" type="noConversion"/>
  </si>
  <si>
    <t>대구광역시</t>
    <phoneticPr fontId="1" type="noConversion"/>
  </si>
  <si>
    <t>DC차데모+AC3상</t>
    <phoneticPr fontId="1" type="noConversion"/>
  </si>
  <si>
    <t>충전 중</t>
    <phoneticPr fontId="1" type="noConversion"/>
  </si>
  <si>
    <t>인천광역시</t>
    <phoneticPr fontId="1" type="noConversion"/>
  </si>
  <si>
    <t>DC콤보</t>
    <phoneticPr fontId="1" type="noConversion"/>
  </si>
  <si>
    <t>운영중지</t>
    <phoneticPr fontId="1" type="noConversion"/>
  </si>
  <si>
    <t>광주광역시</t>
    <phoneticPr fontId="1" type="noConversion"/>
  </si>
  <si>
    <t>DC차데모+DC콤보</t>
    <phoneticPr fontId="1" type="noConversion"/>
  </si>
  <si>
    <t>점검 중</t>
    <phoneticPr fontId="1" type="noConversion"/>
  </si>
  <si>
    <t>대전광역시</t>
    <phoneticPr fontId="1" type="noConversion"/>
  </si>
  <si>
    <t>DC차데모+AC3상+DC콤보</t>
    <phoneticPr fontId="1" type="noConversion"/>
  </si>
  <si>
    <t>상태미확인</t>
    <phoneticPr fontId="1" type="noConversion"/>
  </si>
  <si>
    <t>울산광역시</t>
    <phoneticPr fontId="1" type="noConversion"/>
  </si>
  <si>
    <t>AC3상</t>
    <phoneticPr fontId="1" type="noConversion"/>
  </si>
  <si>
    <t>세종특별자치시</t>
    <phoneticPr fontId="1" type="noConversion"/>
  </si>
  <si>
    <t>경기도</t>
    <phoneticPr fontId="1" type="noConversion"/>
  </si>
  <si>
    <t>강원도</t>
    <phoneticPr fontId="1" type="noConversion"/>
  </si>
  <si>
    <t>충청북도</t>
    <phoneticPr fontId="1" type="noConversion"/>
  </si>
  <si>
    <t>충청남도</t>
    <phoneticPr fontId="1" type="noConversion"/>
  </si>
  <si>
    <t>전라북도</t>
    <phoneticPr fontId="1" type="noConversion"/>
  </si>
  <si>
    <t>전라남도</t>
    <phoneticPr fontId="1" type="noConversion"/>
  </si>
  <si>
    <t>경상북도</t>
    <phoneticPr fontId="1" type="noConversion"/>
  </si>
  <si>
    <t>경상남도</t>
    <phoneticPr fontId="1" type="noConversion"/>
  </si>
  <si>
    <t>제주특별자치도</t>
    <phoneticPr fontId="1" type="noConversion"/>
  </si>
  <si>
    <t>출력</t>
    <phoneticPr fontId="1" type="noConversion"/>
  </si>
  <si>
    <t>동시</t>
    <phoneticPr fontId="1" type="noConversion"/>
  </si>
  <si>
    <t>N</t>
    <phoneticPr fontId="1" type="noConversion"/>
  </si>
  <si>
    <t>N/A</t>
    <phoneticPr fontId="1" type="noConversion"/>
  </si>
  <si>
    <t>15분 구간별</t>
    <phoneticPr fontId="1" type="noConversion"/>
  </si>
  <si>
    <t>성공횟수</t>
  </si>
  <si>
    <t>날짜형식으로 변환</t>
    <phoneticPr fontId="1" type="noConversion"/>
  </si>
  <si>
    <t>20220629194500.csv</t>
  </si>
  <si>
    <t>성공횟수</t>
    <phoneticPr fontId="1" type="noConversion"/>
  </si>
  <si>
    <t>성공률</t>
    <phoneticPr fontId="1" type="noConversion"/>
  </si>
  <si>
    <t>20220629200000.csv</t>
  </si>
  <si>
    <t>20220629201500.csv</t>
  </si>
  <si>
    <t>20220629203000.csv</t>
  </si>
  <si>
    <t>20220629204500.csv</t>
  </si>
  <si>
    <t>경과횟수</t>
    <phoneticPr fontId="1" type="noConversion"/>
  </si>
  <si>
    <t>20220629210000.csv</t>
  </si>
  <si>
    <t>20220629211500.csv</t>
  </si>
  <si>
    <t>20220629213000.csv</t>
  </si>
  <si>
    <t>20220629214500.csv</t>
  </si>
  <si>
    <t>20220629220000.csv</t>
  </si>
  <si>
    <t>20220629221500.csv</t>
  </si>
  <si>
    <t>20220629224500.csv</t>
  </si>
  <si>
    <t>20220629230000.csv</t>
  </si>
  <si>
    <t>20220629231500.csv</t>
  </si>
  <si>
    <t>20220629234500.csv</t>
  </si>
  <si>
    <t>20220630000000.csv</t>
  </si>
  <si>
    <t>20220630001500.csv</t>
  </si>
  <si>
    <t>20220630003000.csv</t>
  </si>
  <si>
    <t>20220630004500.csv</t>
  </si>
  <si>
    <t>20220630010000.csv</t>
  </si>
  <si>
    <t>20220630011500.csv</t>
  </si>
  <si>
    <t>20220630013000.csv</t>
  </si>
  <si>
    <t>20220630014500.csv</t>
  </si>
  <si>
    <t>20220630020000.csv</t>
  </si>
  <si>
    <t>20220630021500.csv</t>
  </si>
  <si>
    <t>20220630023000.csv</t>
  </si>
  <si>
    <t>20220630030000.csv</t>
  </si>
  <si>
    <t>20220630031500.csv</t>
  </si>
  <si>
    <t>20220630033000.csv</t>
  </si>
  <si>
    <t>20220630040000.csv</t>
  </si>
  <si>
    <t>20220630041500.csv</t>
  </si>
  <si>
    <t>20220630043000.csv</t>
  </si>
  <si>
    <t>20220630044500.csv</t>
  </si>
  <si>
    <t>20220630050000.csv</t>
  </si>
  <si>
    <t>20220630051500.csv</t>
  </si>
  <si>
    <t>20220630053000.csv</t>
  </si>
  <si>
    <t>20220630054500.csv</t>
  </si>
  <si>
    <t>20220630060000.csv</t>
  </si>
  <si>
    <t>20220630061500.csv</t>
  </si>
  <si>
    <t>20220630063000.csv</t>
  </si>
  <si>
    <t>20220630064500.csv</t>
  </si>
  <si>
    <t>20220630070000.csv</t>
  </si>
  <si>
    <t>20220630071500.csv</t>
  </si>
  <si>
    <t>20220630073000.csv</t>
  </si>
  <si>
    <t>20220630074500.csv</t>
  </si>
  <si>
    <t>20220630080000.csv</t>
  </si>
  <si>
    <t>20220630081500.csv</t>
  </si>
  <si>
    <t>20220630084500.csv</t>
  </si>
  <si>
    <t>20220630093000.csv</t>
  </si>
  <si>
    <t>20220630094500.csv</t>
  </si>
  <si>
    <t>20220630100000.csv</t>
  </si>
  <si>
    <t>20220630101500.csv</t>
  </si>
  <si>
    <t>20220630104500.csv</t>
  </si>
  <si>
    <t>20220630110000.csv</t>
  </si>
  <si>
    <t>20220630111500.csv</t>
  </si>
  <si>
    <t>20220630113000.csv</t>
  </si>
  <si>
    <t>20220630120000.csv</t>
  </si>
  <si>
    <t>20220630121500.csv</t>
  </si>
  <si>
    <t>20220630123000.csv</t>
  </si>
  <si>
    <t>20220630124500.csv</t>
  </si>
  <si>
    <t>X:\EV_charging\</t>
    <phoneticPr fontId="1" type="noConversion"/>
  </si>
  <si>
    <t>20220630105700.csv</t>
  </si>
  <si>
    <t>20220630114500.csv</t>
  </si>
  <si>
    <t>20220630130000.csv</t>
  </si>
  <si>
    <t>20220630131500.csv</t>
  </si>
  <si>
    <t>필드 추가</t>
    <phoneticPr fontId="1" type="noConversion"/>
  </si>
  <si>
    <t>운영계정 시작 (1계정)</t>
    <phoneticPr fontId="1" type="noConversion"/>
  </si>
  <si>
    <t>운영계정 추가 (2계정)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</si>
</sst>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yyyy/mm/dd\ hh:mm:ss"/>
    <numFmt numFmtId="177" formatCode="0.0000000000000"/>
    <numFmt numFmtId="178" formatCode="0.0000000000000000000000"/>
    <numFmt numFmtId="179" formatCode="0.0%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KoPubWorld바탕체 Medium"/>
      <family val="3"/>
      <charset val="129"/>
    </font>
    <font>
      <sz val="10"/>
      <color rgb="FF000000"/>
      <name val="굴림"/>
      <family val="3"/>
      <charset val="129"/>
    </font>
    <font>
      <sz val="10"/>
      <color rgb="FF000000"/>
      <name val="Courier New"/>
      <family val="3"/>
    </font>
    <font>
      <sz val="10"/>
      <color rgb="FF000000"/>
      <name val="KoPubWorld바탕체 Medium"/>
      <family val="3"/>
      <charset val="129"/>
    </font>
    <font>
      <sz val="11"/>
      <name val="KoPub바탕체 Medium"/>
      <family val="1"/>
      <charset val="129"/>
    </font>
    <font>
      <b/>
      <sz val="11"/>
      <color theme="0"/>
      <name val="KoPub바탕체 Medium"/>
      <family val="1"/>
      <charset val="129"/>
    </font>
    <font>
      <b/>
      <sz val="11"/>
      <name val="KoPub바탕체 Medium"/>
      <family val="1"/>
      <charset val="129"/>
    </font>
    <font>
      <b/>
      <u/>
      <sz val="11"/>
      <name val="KoPub바탕체 Medium"/>
      <family val="1"/>
      <charset val="129"/>
    </font>
    <font>
      <sz val="10"/>
      <name val="KoPub바탕체 Medium"/>
      <family val="1"/>
      <charset val="129"/>
    </font>
  </fonts>
  <fills count="9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6" fillId="0" borderId="0" xfId="0" applyFont="1">
      <alignment vertical="center"/>
    </xf>
    <xf numFmtId="0" fontId="6" fillId="4" borderId="3" xfId="0" applyFont="1" applyFill="1" applyBorder="1">
      <alignment vertical="center"/>
    </xf>
    <xf numFmtId="0" fontId="6" fillId="4" borderId="4" xfId="0" applyFont="1" applyFill="1" applyBorder="1">
      <alignment vertical="center"/>
    </xf>
    <xf numFmtId="0" fontId="6" fillId="4" borderId="5" xfId="0" applyFont="1" applyFill="1" applyBorder="1">
      <alignment vertical="center"/>
    </xf>
    <xf numFmtId="0" fontId="6" fillId="0" borderId="6" xfId="0" applyFont="1" applyBorder="1">
      <alignment vertical="center"/>
    </xf>
    <xf numFmtId="0" fontId="6" fillId="0" borderId="7" xfId="0" applyFont="1" applyBorder="1">
      <alignment vertical="center"/>
    </xf>
    <xf numFmtId="49" fontId="6" fillId="0" borderId="7" xfId="0" applyNumberFormat="1" applyFont="1" applyBorder="1">
      <alignment vertical="center"/>
    </xf>
    <xf numFmtId="0" fontId="6" fillId="0" borderId="8" xfId="0" applyFont="1" applyBorder="1">
      <alignment vertical="center"/>
    </xf>
    <xf numFmtId="0" fontId="6" fillId="5" borderId="6" xfId="0" applyFont="1" applyFill="1" applyBorder="1">
      <alignment vertical="center"/>
    </xf>
    <xf numFmtId="0" fontId="6" fillId="5" borderId="7" xfId="0" applyFont="1" applyFill="1" applyBorder="1">
      <alignment vertical="center"/>
    </xf>
    <xf numFmtId="49" fontId="6" fillId="5" borderId="7" xfId="0" applyNumberFormat="1" applyFont="1" applyFill="1" applyBorder="1">
      <alignment vertical="center"/>
    </xf>
    <xf numFmtId="0" fontId="6" fillId="5" borderId="8" xfId="0" applyFont="1" applyFill="1" applyBorder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>
      <alignment vertical="center"/>
    </xf>
    <xf numFmtId="49" fontId="6" fillId="0" borderId="0" xfId="0" applyNumberFormat="1" applyFont="1" applyBorder="1">
      <alignment vertical="center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justify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justify" vertical="center" wrapText="1"/>
    </xf>
    <xf numFmtId="41" fontId="6" fillId="0" borderId="0" xfId="2" applyFont="1">
      <alignment vertical="center"/>
    </xf>
    <xf numFmtId="41" fontId="6" fillId="0" borderId="0" xfId="0" applyNumberFormat="1" applyFont="1">
      <alignment vertical="center"/>
    </xf>
    <xf numFmtId="0" fontId="10" fillId="0" borderId="0" xfId="0" applyFont="1">
      <alignment vertical="center"/>
    </xf>
    <xf numFmtId="0" fontId="11" fillId="2" borderId="1" xfId="0" applyFont="1" applyFill="1" applyBorder="1">
      <alignment vertical="center"/>
    </xf>
    <xf numFmtId="0" fontId="10" fillId="0" borderId="0" xfId="0" applyFont="1" applyFill="1" applyBorder="1">
      <alignment vertical="center"/>
    </xf>
    <xf numFmtId="0" fontId="10" fillId="0" borderId="1" xfId="0" applyFont="1" applyFill="1" applyBorder="1">
      <alignment vertical="center"/>
    </xf>
    <xf numFmtId="0" fontId="12" fillId="0" borderId="0" xfId="0" applyFont="1" applyFill="1" applyBorder="1">
      <alignment vertical="center"/>
    </xf>
    <xf numFmtId="0" fontId="10" fillId="0" borderId="0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0" fillId="0" borderId="2" xfId="0" applyFont="1" applyFill="1" applyBorder="1" applyAlignment="1">
      <alignment horizontal="left" vertical="center"/>
    </xf>
    <xf numFmtId="176" fontId="10" fillId="3" borderId="0" xfId="0" applyNumberFormat="1" applyFont="1" applyFill="1" applyBorder="1">
      <alignment vertical="center"/>
    </xf>
    <xf numFmtId="0" fontId="10" fillId="0" borderId="2" xfId="0" applyFont="1" applyFill="1" applyBorder="1">
      <alignment vertical="center"/>
    </xf>
    <xf numFmtId="0" fontId="10" fillId="0" borderId="2" xfId="0" applyFont="1" applyBorder="1">
      <alignment vertical="center"/>
    </xf>
    <xf numFmtId="177" fontId="10" fillId="0" borderId="0" xfId="0" applyNumberFormat="1" applyFont="1" applyFill="1" applyBorder="1">
      <alignment vertical="center"/>
    </xf>
    <xf numFmtId="22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0" fontId="12" fillId="0" borderId="1" xfId="0" applyFont="1" applyFill="1" applyBorder="1">
      <alignment vertical="center"/>
    </xf>
    <xf numFmtId="0" fontId="12" fillId="0" borderId="1" xfId="0" applyFont="1" applyBorder="1">
      <alignment vertical="center"/>
    </xf>
    <xf numFmtId="2" fontId="12" fillId="0" borderId="1" xfId="0" applyNumberFormat="1" applyFont="1" applyBorder="1">
      <alignment vertical="center"/>
    </xf>
    <xf numFmtId="179" fontId="12" fillId="0" borderId="1" xfId="1" applyNumberFormat="1" applyFont="1" applyFill="1" applyBorder="1">
      <alignment vertical="center"/>
    </xf>
    <xf numFmtId="0" fontId="10" fillId="6" borderId="13" xfId="0" applyFont="1" applyFill="1" applyBorder="1" applyAlignment="1">
      <alignment horizontal="center" vertical="center"/>
    </xf>
    <xf numFmtId="0" fontId="10" fillId="6" borderId="14" xfId="0" applyFont="1" applyFill="1" applyBorder="1" applyAlignment="1">
      <alignment horizontal="center" vertical="center"/>
    </xf>
    <xf numFmtId="0" fontId="10" fillId="6" borderId="15" xfId="0" applyFont="1" applyFill="1" applyBorder="1" applyAlignment="1">
      <alignment horizontal="center" vertical="center"/>
    </xf>
    <xf numFmtId="176" fontId="10" fillId="3" borderId="16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2" fillId="5" borderId="1" xfId="0" applyFont="1" applyFill="1" applyBorder="1">
      <alignment vertical="center"/>
    </xf>
    <xf numFmtId="0" fontId="10" fillId="7" borderId="0" xfId="0" applyFont="1" applyFill="1" applyBorder="1" applyAlignment="1">
      <alignment horizontal="center" vertical="center"/>
    </xf>
    <xf numFmtId="9" fontId="10" fillId="3" borderId="17" xfId="1" applyFont="1" applyFill="1" applyBorder="1" applyAlignment="1">
      <alignment horizontal="right" vertical="center"/>
    </xf>
    <xf numFmtId="0" fontId="12" fillId="8" borderId="1" xfId="0" applyFont="1" applyFill="1" applyBorder="1">
      <alignment vertical="center"/>
    </xf>
    <xf numFmtId="176" fontId="14" fillId="0" borderId="18" xfId="0" applyNumberFormat="1" applyFont="1" applyFill="1" applyBorder="1">
      <alignment vertical="center"/>
    </xf>
    <xf numFmtId="0" fontId="14" fillId="8" borderId="18" xfId="0" applyFont="1" applyFill="1" applyBorder="1" applyAlignment="1">
      <alignment horizontal="left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33063448450862E-3"/>
          <c:y val="9.5382955771305289E-2"/>
          <c:w val="0.97916382429767601"/>
          <c:h val="0.37593535018648983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2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AE65-4EBF-AD4F-3B09930F5940}"/>
              </c:ext>
            </c:extLst>
          </c:dPt>
          <c:dPt>
            <c:idx val="4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AE65-4EBF-AD4F-3B09930F5940}"/>
              </c:ext>
            </c:extLst>
          </c:dPt>
          <c:dPt>
            <c:idx val="4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AE65-4EBF-AD4F-3B09930F5940}"/>
              </c:ext>
            </c:extLst>
          </c:dPt>
          <c:xVal>
            <c:numRef>
              <c:f>수집기록!$J$6:$J$96</c:f>
              <c:numCache>
                <c:formatCode>yyyy/mm/dd\ hh:mm:ss</c:formatCode>
                <c:ptCount val="91"/>
                <c:pt idx="0">
                  <c:v>44740.666666666664</c:v>
                </c:pt>
                <c:pt idx="1">
                  <c:v>44740.708333333328</c:v>
                </c:pt>
                <c:pt idx="2">
                  <c:v>44740.749999999993</c:v>
                </c:pt>
                <c:pt idx="3">
                  <c:v>44740.791666666657</c:v>
                </c:pt>
                <c:pt idx="4">
                  <c:v>44740.833333333321</c:v>
                </c:pt>
                <c:pt idx="5">
                  <c:v>44740.874999999985</c:v>
                </c:pt>
                <c:pt idx="6">
                  <c:v>44740.91666666665</c:v>
                </c:pt>
                <c:pt idx="7">
                  <c:v>44740.958333333314</c:v>
                </c:pt>
                <c:pt idx="8">
                  <c:v>44740.999999999978</c:v>
                </c:pt>
                <c:pt idx="9">
                  <c:v>44741.041666666642</c:v>
                </c:pt>
                <c:pt idx="10">
                  <c:v>44741.083333333307</c:v>
                </c:pt>
                <c:pt idx="11">
                  <c:v>44741.124999999971</c:v>
                </c:pt>
                <c:pt idx="12">
                  <c:v>44741.166666666635</c:v>
                </c:pt>
                <c:pt idx="13">
                  <c:v>44741.208333333299</c:v>
                </c:pt>
                <c:pt idx="14">
                  <c:v>44741.249999999964</c:v>
                </c:pt>
                <c:pt idx="15">
                  <c:v>44741.291666666628</c:v>
                </c:pt>
                <c:pt idx="16">
                  <c:v>44741.333333333292</c:v>
                </c:pt>
                <c:pt idx="17">
                  <c:v>44741.374999999956</c:v>
                </c:pt>
                <c:pt idx="18">
                  <c:v>44741.416666666621</c:v>
                </c:pt>
                <c:pt idx="19">
                  <c:v>44741.458333333285</c:v>
                </c:pt>
                <c:pt idx="20">
                  <c:v>44741.499999999949</c:v>
                </c:pt>
                <c:pt idx="21">
                  <c:v>44741.541666666613</c:v>
                </c:pt>
                <c:pt idx="22">
                  <c:v>44741.583333333278</c:v>
                </c:pt>
                <c:pt idx="23">
                  <c:v>44741.624999999942</c:v>
                </c:pt>
                <c:pt idx="24">
                  <c:v>44741.666666666606</c:v>
                </c:pt>
                <c:pt idx="25">
                  <c:v>44741.70833333327</c:v>
                </c:pt>
                <c:pt idx="26">
                  <c:v>44741.749999999935</c:v>
                </c:pt>
                <c:pt idx="27">
                  <c:v>44741.791666666599</c:v>
                </c:pt>
                <c:pt idx="28">
                  <c:v>44741.833333333263</c:v>
                </c:pt>
                <c:pt idx="29">
                  <c:v>44741.874999999927</c:v>
                </c:pt>
                <c:pt idx="30">
                  <c:v>44741.916666666591</c:v>
                </c:pt>
                <c:pt idx="31">
                  <c:v>44741.958333333256</c:v>
                </c:pt>
                <c:pt idx="32">
                  <c:v>44741.99999999992</c:v>
                </c:pt>
                <c:pt idx="33">
                  <c:v>44742.041666666584</c:v>
                </c:pt>
                <c:pt idx="34">
                  <c:v>44742.083333333248</c:v>
                </c:pt>
                <c:pt idx="35">
                  <c:v>44742.124999999913</c:v>
                </c:pt>
                <c:pt idx="36">
                  <c:v>44742.166666666577</c:v>
                </c:pt>
                <c:pt idx="37">
                  <c:v>44742.208333333241</c:v>
                </c:pt>
                <c:pt idx="38">
                  <c:v>44742.249999999905</c:v>
                </c:pt>
                <c:pt idx="39">
                  <c:v>44742.29166666657</c:v>
                </c:pt>
                <c:pt idx="40">
                  <c:v>44742.333333333234</c:v>
                </c:pt>
                <c:pt idx="41">
                  <c:v>44742.374999999898</c:v>
                </c:pt>
                <c:pt idx="42">
                  <c:v>44742.416666666562</c:v>
                </c:pt>
                <c:pt idx="43">
                  <c:v>44742.458333333227</c:v>
                </c:pt>
                <c:pt idx="44">
                  <c:v>44742.499999999891</c:v>
                </c:pt>
                <c:pt idx="45">
                  <c:v>44742.541666666555</c:v>
                </c:pt>
                <c:pt idx="46">
                  <c:v>44742.583333333219</c:v>
                </c:pt>
                <c:pt idx="47">
                  <c:v>44742.624999999884</c:v>
                </c:pt>
                <c:pt idx="48">
                  <c:v>44742.666666666548</c:v>
                </c:pt>
                <c:pt idx="49">
                  <c:v>44742.708333333212</c:v>
                </c:pt>
                <c:pt idx="50">
                  <c:v>44742.749999999876</c:v>
                </c:pt>
                <c:pt idx="51">
                  <c:v>44742.791666666541</c:v>
                </c:pt>
                <c:pt idx="52">
                  <c:v>44742.833333333205</c:v>
                </c:pt>
                <c:pt idx="53">
                  <c:v>44742.874999999869</c:v>
                </c:pt>
                <c:pt idx="54">
                  <c:v>44742.916666666533</c:v>
                </c:pt>
                <c:pt idx="55">
                  <c:v>44742.958333333198</c:v>
                </c:pt>
                <c:pt idx="56">
                  <c:v>44742.999999999862</c:v>
                </c:pt>
                <c:pt idx="57">
                  <c:v>44743.041666666526</c:v>
                </c:pt>
                <c:pt idx="58">
                  <c:v>44743.08333333319</c:v>
                </c:pt>
                <c:pt idx="59">
                  <c:v>44743.124999999854</c:v>
                </c:pt>
                <c:pt idx="60">
                  <c:v>44743.166666666519</c:v>
                </c:pt>
                <c:pt idx="61">
                  <c:v>44743.208333333183</c:v>
                </c:pt>
                <c:pt idx="62">
                  <c:v>44743.249999999847</c:v>
                </c:pt>
                <c:pt idx="63">
                  <c:v>44743.291666666511</c:v>
                </c:pt>
                <c:pt idx="64">
                  <c:v>44743.333333333176</c:v>
                </c:pt>
                <c:pt idx="65">
                  <c:v>44743.37499999984</c:v>
                </c:pt>
                <c:pt idx="66">
                  <c:v>44743.416666666504</c:v>
                </c:pt>
                <c:pt idx="67">
                  <c:v>44743.458333333168</c:v>
                </c:pt>
                <c:pt idx="68">
                  <c:v>44743.499999999833</c:v>
                </c:pt>
                <c:pt idx="69">
                  <c:v>44743.541666666497</c:v>
                </c:pt>
                <c:pt idx="70">
                  <c:v>44743.583333333161</c:v>
                </c:pt>
                <c:pt idx="71">
                  <c:v>44743.624999999825</c:v>
                </c:pt>
                <c:pt idx="72">
                  <c:v>44743.66666666649</c:v>
                </c:pt>
                <c:pt idx="73">
                  <c:v>44743.708333333154</c:v>
                </c:pt>
                <c:pt idx="74">
                  <c:v>44743.749999999818</c:v>
                </c:pt>
                <c:pt idx="75">
                  <c:v>44743.791666666482</c:v>
                </c:pt>
                <c:pt idx="76">
                  <c:v>44743.833333333147</c:v>
                </c:pt>
                <c:pt idx="77">
                  <c:v>44743.874999999811</c:v>
                </c:pt>
                <c:pt idx="78">
                  <c:v>44743.916666666475</c:v>
                </c:pt>
                <c:pt idx="79">
                  <c:v>44743.958333333139</c:v>
                </c:pt>
                <c:pt idx="80">
                  <c:v>44743.999999999804</c:v>
                </c:pt>
                <c:pt idx="81">
                  <c:v>44744.041666666468</c:v>
                </c:pt>
                <c:pt idx="82">
                  <c:v>44744.083333333132</c:v>
                </c:pt>
                <c:pt idx="83">
                  <c:v>44744.124999999796</c:v>
                </c:pt>
                <c:pt idx="84">
                  <c:v>44744.166666666461</c:v>
                </c:pt>
                <c:pt idx="85">
                  <c:v>44744.208333333125</c:v>
                </c:pt>
                <c:pt idx="86">
                  <c:v>44744.249999999789</c:v>
                </c:pt>
                <c:pt idx="87">
                  <c:v>44744.291666666453</c:v>
                </c:pt>
                <c:pt idx="88">
                  <c:v>44744.333333333117</c:v>
                </c:pt>
                <c:pt idx="89">
                  <c:v>44744.374999999782</c:v>
                </c:pt>
                <c:pt idx="90">
                  <c:v>44744.416666666446</c:v>
                </c:pt>
              </c:numCache>
            </c:numRef>
          </c:xVal>
          <c:yVal>
            <c:numRef>
              <c:f>수집기록!$L$6:$L$96</c:f>
              <c:numCache>
                <c:formatCode>General</c:formatCode>
                <c:ptCount val="91"/>
                <c:pt idx="0">
                  <c:v>3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3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3</c:v>
                </c:pt>
                <c:pt idx="32">
                  <c:v>4</c:v>
                </c:pt>
                <c:pt idx="33">
                  <c:v>4</c:v>
                </c:pt>
                <c:pt idx="34">
                  <c:v>3</c:v>
                </c:pt>
                <c:pt idx="35">
                  <c:v>3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3</c:v>
                </c:pt>
                <c:pt idx="41">
                  <c:v>2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B2-41EC-BE2C-788BF08DF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41184"/>
        <c:axId val="193917840"/>
      </c:scatterChart>
      <c:valAx>
        <c:axId val="112141184"/>
        <c:scaling>
          <c:orientation val="minMax"/>
          <c:min val="44740.666669999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yyyy/mm/dd\ h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917840"/>
        <c:crosses val="autoZero"/>
        <c:crossBetween val="midCat"/>
        <c:majorUnit val="4.1666666666700013E-2"/>
        <c:minorUnit val="4.1666666666700013E-2"/>
      </c:valAx>
      <c:valAx>
        <c:axId val="19391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141184"/>
        <c:crossesAt val="4474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0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1</xdr:row>
      <xdr:rowOff>1</xdr:rowOff>
    </xdr:from>
    <xdr:to>
      <xdr:col>4</xdr:col>
      <xdr:colOff>1</xdr:colOff>
      <xdr:row>3</xdr:row>
      <xdr:rowOff>1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80818813-A617-43A0-9053-0D16253D04EE}"/>
            </a:ext>
          </a:extLst>
        </xdr:cNvPr>
        <xdr:cNvGrpSpPr/>
      </xdr:nvGrpSpPr>
      <xdr:grpSpPr>
        <a:xfrm>
          <a:off x="2297044" y="220871"/>
          <a:ext cx="1739347" cy="375478"/>
          <a:chOff x="5072530" y="269688"/>
          <a:chExt cx="1969845" cy="611841"/>
        </a:xfrm>
      </xdr:grpSpPr>
      <xdr:sp macro="[0]!Test" textlink="">
        <xdr:nvSpPr>
          <xdr:cNvPr id="2" name="사각형: 둥근 모서리 1">
            <a:extLst>
              <a:ext uri="{FF2B5EF4-FFF2-40B4-BE49-F238E27FC236}">
                <a16:creationId xmlns:a16="http://schemas.microsoft.com/office/drawing/2014/main" id="{1D367E8F-7EBF-4BBE-9A77-69E73A32A766}"/>
              </a:ext>
            </a:extLst>
          </xdr:cNvPr>
          <xdr:cNvSpPr/>
        </xdr:nvSpPr>
        <xdr:spPr>
          <a:xfrm>
            <a:off x="5072530" y="269688"/>
            <a:ext cx="1969845" cy="611841"/>
          </a:xfrm>
          <a:prstGeom prst="roundRect">
            <a:avLst/>
          </a:prstGeom>
          <a:ln/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ko-KR" altLang="en-US" sz="1100" b="1">
                <a:solidFill>
                  <a:sysClr val="windowText" lastClr="000000"/>
                </a:solidFill>
              </a:rPr>
              <a:t>파일목록 출력</a:t>
            </a:r>
          </a:p>
        </xdr:txBody>
      </xdr:sp>
      <xdr:pic macro="[0]!Test">
        <xdr:nvPicPr>
          <xdr:cNvPr id="4" name="그래픽 3" descr="공유">
            <a:extLst>
              <a:ext uri="{FF2B5EF4-FFF2-40B4-BE49-F238E27FC236}">
                <a16:creationId xmlns:a16="http://schemas.microsoft.com/office/drawing/2014/main" id="{08ABC90B-1B0C-41FB-9CAD-9D727E1CA0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25826" y="407147"/>
            <a:ext cx="342900" cy="334234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0</xdr:colOff>
      <xdr:row>12</xdr:row>
      <xdr:rowOff>186764</xdr:rowOff>
    </xdr:from>
    <xdr:to>
      <xdr:col>27</xdr:col>
      <xdr:colOff>0</xdr:colOff>
      <xdr:row>26</xdr:row>
      <xdr:rowOff>0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7E4DB81C-90ED-4903-921F-D504D9B60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29883</xdr:colOff>
      <xdr:row>20</xdr:row>
      <xdr:rowOff>104588</xdr:rowOff>
    </xdr:from>
    <xdr:to>
      <xdr:col>2</xdr:col>
      <xdr:colOff>336177</xdr:colOff>
      <xdr:row>24</xdr:row>
      <xdr:rowOff>97118</xdr:rowOff>
    </xdr:to>
    <xdr:sp macro="" textlink="">
      <xdr:nvSpPr>
        <xdr:cNvPr id="5" name="화살표: 오른쪽 4">
          <a:extLst>
            <a:ext uri="{FF2B5EF4-FFF2-40B4-BE49-F238E27FC236}">
              <a16:creationId xmlns:a16="http://schemas.microsoft.com/office/drawing/2014/main" id="{1E302A2A-A5F2-4EC1-AAFB-7D4C0E723E5B}"/>
            </a:ext>
          </a:extLst>
        </xdr:cNvPr>
        <xdr:cNvSpPr/>
      </xdr:nvSpPr>
      <xdr:spPr>
        <a:xfrm>
          <a:off x="1949824" y="3839882"/>
          <a:ext cx="306294" cy="73958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77C53-1E6D-418F-80E5-76B4636BFB84}">
  <sheetPr codeName="Sheet1"/>
  <dimension ref="B1:AA500"/>
  <sheetViews>
    <sheetView tabSelected="1" zoomScale="115" zoomScaleNormal="115" workbookViewId="0">
      <pane xSplit="8" ySplit="5" topLeftCell="I6" activePane="bottomRight" state="frozen"/>
      <selection pane="topRight" activeCell="I1" sqref="I1"/>
      <selection pane="bottomLeft" activeCell="A6" sqref="A6"/>
      <selection pane="bottomRight"/>
    </sheetView>
  </sheetViews>
  <sheetFormatPr defaultColWidth="8.83203125" defaultRowHeight="17" x14ac:dyDescent="0.45"/>
  <cols>
    <col min="1" max="1" width="4.5" style="22" customWidth="1"/>
    <col min="2" max="2" width="20.58203125" style="32" customWidth="1"/>
    <col min="3" max="3" width="5.08203125" style="22" customWidth="1"/>
    <col min="4" max="4" width="22.83203125" style="22" customWidth="1"/>
    <col min="5" max="6" width="5.08203125" style="22" hidden="1" customWidth="1"/>
    <col min="7" max="7" width="21.08203125" style="22" hidden="1" customWidth="1"/>
    <col min="8" max="8" width="8.83203125" style="22" hidden="1" customWidth="1"/>
    <col min="9" max="9" width="8.83203125" style="22"/>
    <col min="10" max="10" width="21.08203125" style="22" bestFit="1" customWidth="1"/>
    <col min="11" max="11" width="8.83203125" style="22" customWidth="1"/>
    <col min="12" max="12" width="8.83203125" style="22" bestFit="1" customWidth="1"/>
    <col min="14" max="14" width="8.83203125" style="22"/>
    <col min="15" max="15" width="21.08203125" style="22" bestFit="1" customWidth="1"/>
    <col min="16" max="16" width="8.83203125" style="22" bestFit="1" customWidth="1"/>
    <col min="17" max="17" width="8.83203125" style="22"/>
    <col min="18" max="18" width="21.08203125" style="22" bestFit="1" customWidth="1"/>
    <col min="19" max="20" width="8.83203125" style="22" bestFit="1" customWidth="1"/>
    <col min="21" max="21" width="16.25" style="22" bestFit="1" customWidth="1"/>
    <col min="22" max="22" width="10.58203125" style="22" bestFit="1" customWidth="1"/>
    <col min="23" max="23" width="20.58203125" style="22" customWidth="1"/>
    <col min="24" max="24" width="20.83203125" style="22" customWidth="1"/>
    <col min="25" max="16384" width="8.83203125" style="22"/>
  </cols>
  <sheetData>
    <row r="1" spans="2:27" ht="17.5" thickBot="1" x14ac:dyDescent="0.5">
      <c r="B1" s="22"/>
      <c r="J1" s="49">
        <f ca="1">NOW()</f>
        <v>44742.55881145833</v>
      </c>
      <c r="K1" s="50" t="s">
        <v>62</v>
      </c>
    </row>
    <row r="2" spans="2:27" s="24" customFormat="1" ht="15" thickBot="1" x14ac:dyDescent="0.5">
      <c r="B2" s="23" t="s">
        <v>0</v>
      </c>
      <c r="J2" s="49">
        <f ca="1">INDEX($J$6:$J$96,MATCH($J$1,$J$6:$J$96,1))</f>
        <v>44742.541666666555</v>
      </c>
      <c r="K2" s="50" t="s">
        <v>63</v>
      </c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</row>
    <row r="3" spans="2:27" s="24" customFormat="1" ht="14.5" x14ac:dyDescent="0.45">
      <c r="B3" s="25" t="s">
        <v>333</v>
      </c>
      <c r="C3" s="26"/>
      <c r="D3" s="26"/>
      <c r="E3" s="26"/>
      <c r="F3" s="26"/>
      <c r="G3" s="26"/>
      <c r="H3" s="26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</row>
    <row r="4" spans="2:27" s="24" customFormat="1" ht="14.5" x14ac:dyDescent="0.45">
      <c r="B4" s="27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</row>
    <row r="5" spans="2:27" s="24" customFormat="1" ht="14.5" x14ac:dyDescent="0.45">
      <c r="B5" s="28" t="s">
        <v>1</v>
      </c>
      <c r="D5" s="46" t="s">
        <v>269</v>
      </c>
      <c r="G5" s="40" t="s">
        <v>267</v>
      </c>
      <c r="H5" s="41" t="s">
        <v>268</v>
      </c>
      <c r="J5" s="40" t="s">
        <v>64</v>
      </c>
      <c r="K5" s="41" t="s">
        <v>61</v>
      </c>
      <c r="L5" s="41" t="s">
        <v>271</v>
      </c>
      <c r="M5" s="42" t="s">
        <v>272</v>
      </c>
      <c r="O5" s="24" t="s">
        <v>48</v>
      </c>
      <c r="P5" s="24">
        <f>J7-J$6</f>
        <v>4.1666666664241347E-2</v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</row>
    <row r="6" spans="2:27" s="24" customFormat="1" ht="14.5" x14ac:dyDescent="0.45">
      <c r="B6" s="29" t="s">
        <v>2</v>
      </c>
      <c r="D6" s="43">
        <f>IFERROR(DATE(LEFT(B6,4),MID(B6,5,2),MID(B6,7,2))+TIME(MID(B6,9,2),MID(B6,11,2),MID(B6,13,2)),"")</f>
        <v>44740.674409722225</v>
      </c>
      <c r="G6" s="43">
        <v>44740.666666666664</v>
      </c>
      <c r="H6" s="44">
        <v>1</v>
      </c>
      <c r="J6" s="43">
        <v>44740.666666666664</v>
      </c>
      <c r="K6" s="44" t="b">
        <f t="shared" ref="K6:K33" ca="1" si="0">J$1&gt;=(J6+TIME(0,50,0))</f>
        <v>1</v>
      </c>
      <c r="L6" s="44">
        <f>COUNTIFS($D$6:$D$251,"&gt;="&amp;J6,$D$6:$D$251,"&lt;"&amp;J7)</f>
        <v>3</v>
      </c>
      <c r="M6" s="47">
        <f t="shared" ref="M6:M70" ca="1" si="1">IF(K6,L6/4,"")</f>
        <v>0.75</v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</row>
    <row r="7" spans="2:27" s="24" customFormat="1" ht="14.5" x14ac:dyDescent="0.45">
      <c r="B7" s="29" t="s">
        <v>3</v>
      </c>
      <c r="D7" s="43">
        <f t="shared" ref="D7:D70" si="2">IFERROR(DATE(LEFT(B7,4),MID(B7,5,2),MID(B7,7,2))+TIME(MID(B7,9,2),MID(B7,11,2),MID(B7,13,2)),"")</f>
        <v>44740.678472222222</v>
      </c>
      <c r="G7" s="43">
        <f>G6+TIME(0,15,0)</f>
        <v>44740.677083333328</v>
      </c>
      <c r="H7" s="44">
        <v>2</v>
      </c>
      <c r="J7" s="43">
        <f>J6+TIME(1,0,0)</f>
        <v>44740.708333333328</v>
      </c>
      <c r="K7" s="44" t="b">
        <f t="shared" ca="1" si="0"/>
        <v>1</v>
      </c>
      <c r="L7" s="44">
        <f t="shared" ref="L7:L70" si="3">COUNTIFS($D$6:$D$251,"&gt;="&amp;J7,$D$6:$D$251,"&lt;"&amp;J8)</f>
        <v>5</v>
      </c>
      <c r="M7" s="47">
        <f t="shared" ca="1" si="1"/>
        <v>1.25</v>
      </c>
      <c r="O7" s="48" t="s">
        <v>47</v>
      </c>
      <c r="P7" s="38">
        <f ca="1">SUMPRODUCT(1*(K6:K96))/24</f>
        <v>1.875</v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</row>
    <row r="8" spans="2:27" ht="14.5" x14ac:dyDescent="0.45">
      <c r="B8" s="31" t="s">
        <v>4</v>
      </c>
      <c r="C8" s="24"/>
      <c r="D8" s="43">
        <f t="shared" si="2"/>
        <v>44740.694444444445</v>
      </c>
      <c r="E8" s="24"/>
      <c r="F8" s="24"/>
      <c r="G8" s="43">
        <f t="shared" ref="G8:G71" si="4">G7+TIME(0,15,0)</f>
        <v>44740.687499999993</v>
      </c>
      <c r="H8" s="44"/>
      <c r="I8" s="24"/>
      <c r="J8" s="43">
        <f t="shared" ref="J8:J71" si="5">J7+TIME(1,0,0)</f>
        <v>44740.749999999993</v>
      </c>
      <c r="K8" s="44" t="b">
        <f t="shared" ca="1" si="0"/>
        <v>1</v>
      </c>
      <c r="L8" s="44">
        <f t="shared" si="3"/>
        <v>0</v>
      </c>
      <c r="M8" s="47">
        <f t="shared" ca="1" si="1"/>
        <v>0</v>
      </c>
      <c r="O8" s="48" t="s">
        <v>45</v>
      </c>
      <c r="P8" s="37">
        <f ca="1">P7/P5</f>
        <v>45.000000002619345</v>
      </c>
    </row>
    <row r="9" spans="2:27" ht="14.5" x14ac:dyDescent="0.45">
      <c r="B9" s="31" t="s">
        <v>5</v>
      </c>
      <c r="C9" s="24"/>
      <c r="D9" s="43">
        <f t="shared" si="2"/>
        <v>44740.711805555555</v>
      </c>
      <c r="E9" s="24"/>
      <c r="F9" s="24"/>
      <c r="G9" s="43">
        <f t="shared" si="4"/>
        <v>44740.697916666657</v>
      </c>
      <c r="H9" s="44">
        <v>3</v>
      </c>
      <c r="J9" s="43">
        <f t="shared" si="5"/>
        <v>44740.791666666657</v>
      </c>
      <c r="K9" s="44" t="b">
        <f t="shared" ca="1" si="0"/>
        <v>1</v>
      </c>
      <c r="L9" s="44">
        <f t="shared" si="3"/>
        <v>0</v>
      </c>
      <c r="M9" s="47">
        <f t="shared" ca="1" si="1"/>
        <v>0</v>
      </c>
      <c r="O9" s="48" t="s">
        <v>46</v>
      </c>
      <c r="P9" s="37">
        <v>4</v>
      </c>
    </row>
    <row r="10" spans="2:27" ht="14.5" x14ac:dyDescent="0.45">
      <c r="B10" s="31" t="s">
        <v>6</v>
      </c>
      <c r="C10" s="24"/>
      <c r="D10" s="43">
        <f t="shared" si="2"/>
        <v>44740.715277777781</v>
      </c>
      <c r="E10" s="24"/>
      <c r="F10" s="24"/>
      <c r="G10" s="43">
        <f t="shared" si="4"/>
        <v>44740.708333333321</v>
      </c>
      <c r="H10" s="44"/>
      <c r="J10" s="43">
        <f t="shared" si="5"/>
        <v>44740.833333333321</v>
      </c>
      <c r="K10" s="44" t="b">
        <f t="shared" ca="1" si="0"/>
        <v>1</v>
      </c>
      <c r="L10" s="44">
        <f t="shared" si="3"/>
        <v>1</v>
      </c>
      <c r="M10" s="47">
        <f t="shared" ca="1" si="1"/>
        <v>0.25</v>
      </c>
      <c r="O10" s="45" t="s">
        <v>277</v>
      </c>
      <c r="P10" s="36">
        <f ca="1">P8*P9</f>
        <v>180.00000001047738</v>
      </c>
    </row>
    <row r="11" spans="2:27" ht="14.5" x14ac:dyDescent="0.45">
      <c r="B11" s="31" t="s">
        <v>7</v>
      </c>
      <c r="C11" s="24"/>
      <c r="D11" s="43">
        <f t="shared" si="2"/>
        <v>44740.71875</v>
      </c>
      <c r="E11" s="24"/>
      <c r="F11" s="24"/>
      <c r="G11" s="43">
        <f t="shared" si="4"/>
        <v>44740.718749999985</v>
      </c>
      <c r="H11" s="44"/>
      <c r="J11" s="43">
        <f t="shared" si="5"/>
        <v>44740.874999999985</v>
      </c>
      <c r="K11" s="44" t="b">
        <f t="shared" ca="1" si="0"/>
        <v>1</v>
      </c>
      <c r="L11" s="44">
        <f t="shared" si="3"/>
        <v>0</v>
      </c>
      <c r="M11" s="47">
        <f t="shared" ca="1" si="1"/>
        <v>0</v>
      </c>
      <c r="O11" s="45" t="s">
        <v>43</v>
      </c>
      <c r="P11" s="36">
        <f ca="1">SUMPRODUCT((L6:L96)*(K6:K96))</f>
        <v>113</v>
      </c>
    </row>
    <row r="12" spans="2:27" ht="14.5" x14ac:dyDescent="0.45">
      <c r="B12" s="31" t="s">
        <v>8</v>
      </c>
      <c r="C12" s="24"/>
      <c r="D12" s="43">
        <f t="shared" si="2"/>
        <v>44740.729166666664</v>
      </c>
      <c r="E12" s="24"/>
      <c r="F12" s="24"/>
      <c r="G12" s="43">
        <f t="shared" si="4"/>
        <v>44740.72916666665</v>
      </c>
      <c r="H12" s="44"/>
      <c r="J12" s="43">
        <f t="shared" si="5"/>
        <v>44740.91666666665</v>
      </c>
      <c r="K12" s="44" t="b">
        <f t="shared" ca="1" si="0"/>
        <v>1</v>
      </c>
      <c r="L12" s="44">
        <f t="shared" si="3"/>
        <v>1</v>
      </c>
      <c r="M12" s="47">
        <f t="shared" ca="1" si="1"/>
        <v>0.25</v>
      </c>
      <c r="O12" s="45" t="s">
        <v>44</v>
      </c>
      <c r="P12" s="39">
        <f ca="1">P11/P10</f>
        <v>0.62777777774123633</v>
      </c>
    </row>
    <row r="13" spans="2:27" ht="14.5" x14ac:dyDescent="0.45">
      <c r="B13" s="32" t="s">
        <v>9</v>
      </c>
      <c r="D13" s="43">
        <f t="shared" si="2"/>
        <v>44740.739583333336</v>
      </c>
      <c r="G13" s="43">
        <f t="shared" si="4"/>
        <v>44740.739583333314</v>
      </c>
      <c r="H13" s="44"/>
      <c r="J13" s="43">
        <f t="shared" si="5"/>
        <v>44740.958333333314</v>
      </c>
      <c r="K13" s="44" t="b">
        <f t="shared" ca="1" si="0"/>
        <v>1</v>
      </c>
      <c r="L13" s="44">
        <f t="shared" si="3"/>
        <v>2</v>
      </c>
      <c r="M13" s="47">
        <f t="shared" ca="1" si="1"/>
        <v>0.5</v>
      </c>
    </row>
    <row r="14" spans="2:27" ht="14.5" x14ac:dyDescent="0.45">
      <c r="B14" s="32" t="s">
        <v>10</v>
      </c>
      <c r="D14" s="43">
        <f t="shared" si="2"/>
        <v>44740.864583333336</v>
      </c>
      <c r="G14" s="43">
        <f t="shared" si="4"/>
        <v>44740.749999999978</v>
      </c>
      <c r="H14" s="44"/>
      <c r="J14" s="43">
        <f t="shared" si="5"/>
        <v>44740.999999999978</v>
      </c>
      <c r="K14" s="44" t="b">
        <f t="shared" ca="1" si="0"/>
        <v>1</v>
      </c>
      <c r="L14" s="44">
        <f t="shared" si="3"/>
        <v>3</v>
      </c>
      <c r="M14" s="47">
        <f t="shared" ca="1" si="1"/>
        <v>0.75</v>
      </c>
    </row>
    <row r="15" spans="2:27" ht="14.5" x14ac:dyDescent="0.45">
      <c r="B15" s="32" t="s">
        <v>11</v>
      </c>
      <c r="D15" s="43">
        <f t="shared" si="2"/>
        <v>44740.927083333336</v>
      </c>
      <c r="G15" s="43">
        <f t="shared" si="4"/>
        <v>44740.760416666642</v>
      </c>
      <c r="H15" s="44"/>
      <c r="J15" s="43">
        <f t="shared" si="5"/>
        <v>44741.041666666642</v>
      </c>
      <c r="K15" s="44" t="b">
        <f t="shared" ca="1" si="0"/>
        <v>1</v>
      </c>
      <c r="L15" s="44">
        <f t="shared" si="3"/>
        <v>4</v>
      </c>
      <c r="M15" s="47">
        <f t="shared" ca="1" si="1"/>
        <v>1</v>
      </c>
    </row>
    <row r="16" spans="2:27" ht="14.5" x14ac:dyDescent="0.45">
      <c r="B16" s="32" t="s">
        <v>12</v>
      </c>
      <c r="D16" s="43">
        <f t="shared" si="2"/>
        <v>44740.96875</v>
      </c>
      <c r="G16" s="43">
        <f t="shared" si="4"/>
        <v>44740.770833333307</v>
      </c>
      <c r="H16" s="44"/>
      <c r="J16" s="43">
        <f t="shared" si="5"/>
        <v>44741.083333333307</v>
      </c>
      <c r="K16" s="44" t="b">
        <f t="shared" ca="1" si="0"/>
        <v>1</v>
      </c>
      <c r="L16" s="44">
        <f t="shared" si="3"/>
        <v>3</v>
      </c>
      <c r="M16" s="47">
        <f t="shared" ca="1" si="1"/>
        <v>0.75</v>
      </c>
    </row>
    <row r="17" spans="2:27" ht="14.5" x14ac:dyDescent="0.45">
      <c r="B17" s="32" t="s">
        <v>13</v>
      </c>
      <c r="D17" s="43">
        <f t="shared" si="2"/>
        <v>44740.989583333336</v>
      </c>
      <c r="G17" s="43">
        <f t="shared" si="4"/>
        <v>44740.781249999971</v>
      </c>
      <c r="H17" s="44"/>
      <c r="J17" s="43">
        <f t="shared" si="5"/>
        <v>44741.124999999971</v>
      </c>
      <c r="K17" s="44" t="b">
        <f t="shared" ca="1" si="0"/>
        <v>1</v>
      </c>
      <c r="L17" s="44">
        <f t="shared" si="3"/>
        <v>3</v>
      </c>
      <c r="M17" s="47">
        <f t="shared" ca="1" si="1"/>
        <v>0.75</v>
      </c>
    </row>
    <row r="18" spans="2:27" ht="14.5" x14ac:dyDescent="0.45">
      <c r="B18" s="32" t="s">
        <v>14</v>
      </c>
      <c r="D18" s="43">
        <f t="shared" si="2"/>
        <v>44741</v>
      </c>
      <c r="G18" s="43">
        <f t="shared" si="4"/>
        <v>44740.791666666635</v>
      </c>
      <c r="H18" s="44"/>
      <c r="J18" s="43">
        <f t="shared" si="5"/>
        <v>44741.166666666635</v>
      </c>
      <c r="K18" s="44" t="b">
        <f t="shared" ca="1" si="0"/>
        <v>1</v>
      </c>
      <c r="L18" s="44">
        <f t="shared" si="3"/>
        <v>0</v>
      </c>
      <c r="M18" s="47">
        <f t="shared" ca="1" si="1"/>
        <v>0</v>
      </c>
    </row>
    <row r="19" spans="2:27" ht="14.5" x14ac:dyDescent="0.45">
      <c r="B19" s="32" t="s">
        <v>15</v>
      </c>
      <c r="D19" s="43">
        <f t="shared" si="2"/>
        <v>44741.010416666664</v>
      </c>
      <c r="G19" s="43">
        <f t="shared" si="4"/>
        <v>44740.802083333299</v>
      </c>
      <c r="H19" s="44"/>
      <c r="J19" s="43">
        <f t="shared" si="5"/>
        <v>44741.208333333299</v>
      </c>
      <c r="K19" s="44" t="b">
        <f t="shared" ca="1" si="0"/>
        <v>1</v>
      </c>
      <c r="L19" s="44">
        <f t="shared" si="3"/>
        <v>0</v>
      </c>
      <c r="M19" s="47">
        <f t="shared" ca="1" si="1"/>
        <v>0</v>
      </c>
    </row>
    <row r="20" spans="2:27" ht="14.5" x14ac:dyDescent="0.45">
      <c r="B20" s="32" t="s">
        <v>16</v>
      </c>
      <c r="D20" s="43">
        <f t="shared" si="2"/>
        <v>44741.03125</v>
      </c>
      <c r="G20" s="43">
        <f t="shared" si="4"/>
        <v>44740.812499999964</v>
      </c>
      <c r="H20" s="44"/>
      <c r="J20" s="43">
        <f t="shared" si="5"/>
        <v>44741.249999999964</v>
      </c>
      <c r="K20" s="44" t="b">
        <f t="shared" ca="1" si="0"/>
        <v>1</v>
      </c>
      <c r="L20" s="44">
        <f t="shared" si="3"/>
        <v>0</v>
      </c>
      <c r="M20" s="47">
        <f t="shared" ca="1" si="1"/>
        <v>0</v>
      </c>
    </row>
    <row r="21" spans="2:27" ht="14.5" x14ac:dyDescent="0.45">
      <c r="B21" s="32" t="s">
        <v>17</v>
      </c>
      <c r="D21" s="43">
        <f t="shared" si="2"/>
        <v>44741.041666666664</v>
      </c>
      <c r="G21" s="43">
        <f t="shared" si="4"/>
        <v>44740.822916666628</v>
      </c>
      <c r="H21" s="44"/>
      <c r="J21" s="43">
        <f t="shared" si="5"/>
        <v>44741.291666666628</v>
      </c>
      <c r="K21" s="44" t="b">
        <f t="shared" ca="1" si="0"/>
        <v>1</v>
      </c>
      <c r="L21" s="44">
        <f t="shared" si="3"/>
        <v>0</v>
      </c>
      <c r="M21" s="47">
        <f t="shared" ca="1" si="1"/>
        <v>0</v>
      </c>
    </row>
    <row r="22" spans="2:27" ht="14.5" x14ac:dyDescent="0.45">
      <c r="B22" s="32" t="s">
        <v>18</v>
      </c>
      <c r="D22" s="43">
        <f t="shared" si="2"/>
        <v>44741.052083333336</v>
      </c>
      <c r="G22" s="43">
        <f t="shared" si="4"/>
        <v>44740.833333333292</v>
      </c>
      <c r="H22" s="44"/>
      <c r="J22" s="43">
        <f t="shared" si="5"/>
        <v>44741.333333333292</v>
      </c>
      <c r="K22" s="44" t="b">
        <f t="shared" ca="1" si="0"/>
        <v>1</v>
      </c>
      <c r="L22" s="44">
        <f t="shared" si="3"/>
        <v>0</v>
      </c>
      <c r="M22" s="47">
        <f t="shared" ca="1" si="1"/>
        <v>0</v>
      </c>
    </row>
    <row r="23" spans="2:27" ht="14.5" x14ac:dyDescent="0.45">
      <c r="B23" s="32" t="s">
        <v>19</v>
      </c>
      <c r="D23" s="43">
        <f t="shared" si="2"/>
        <v>44741.0625</v>
      </c>
      <c r="G23" s="43">
        <f t="shared" si="4"/>
        <v>44740.843749999956</v>
      </c>
      <c r="H23" s="44"/>
      <c r="J23" s="43">
        <f t="shared" si="5"/>
        <v>44741.374999999956</v>
      </c>
      <c r="K23" s="44" t="b">
        <f t="shared" ca="1" si="0"/>
        <v>1</v>
      </c>
      <c r="L23" s="44">
        <f t="shared" si="3"/>
        <v>2</v>
      </c>
      <c r="M23" s="47">
        <f t="shared" ca="1" si="1"/>
        <v>0.5</v>
      </c>
    </row>
    <row r="24" spans="2:27" ht="14.5" x14ac:dyDescent="0.45">
      <c r="B24" s="32" t="s">
        <v>20</v>
      </c>
      <c r="D24" s="43">
        <f t="shared" si="2"/>
        <v>44741.072916666664</v>
      </c>
      <c r="G24" s="43">
        <f t="shared" si="4"/>
        <v>44740.854166666621</v>
      </c>
      <c r="H24" s="44"/>
      <c r="J24" s="43">
        <f t="shared" si="5"/>
        <v>44741.416666666621</v>
      </c>
      <c r="K24" s="44" t="b">
        <f t="shared" ca="1" si="0"/>
        <v>1</v>
      </c>
      <c r="L24" s="44">
        <f t="shared" si="3"/>
        <v>0</v>
      </c>
      <c r="M24" s="47">
        <f t="shared" ca="1" si="1"/>
        <v>0</v>
      </c>
    </row>
    <row r="25" spans="2:27" ht="14.5" x14ac:dyDescent="0.45">
      <c r="B25" s="32" t="s">
        <v>21</v>
      </c>
      <c r="D25" s="43">
        <f t="shared" si="2"/>
        <v>44741.083333333336</v>
      </c>
      <c r="G25" s="43">
        <f t="shared" si="4"/>
        <v>44740.864583333285</v>
      </c>
      <c r="H25" s="44"/>
      <c r="J25" s="43">
        <f t="shared" si="5"/>
        <v>44741.458333333285</v>
      </c>
      <c r="K25" s="44" t="b">
        <f t="shared" ca="1" si="0"/>
        <v>1</v>
      </c>
      <c r="L25" s="44">
        <f t="shared" si="3"/>
        <v>0</v>
      </c>
      <c r="M25" s="47">
        <f t="shared" ca="1" si="1"/>
        <v>0</v>
      </c>
    </row>
    <row r="26" spans="2:27" ht="14.5" x14ac:dyDescent="0.45">
      <c r="B26" s="32" t="s">
        <v>22</v>
      </c>
      <c r="D26" s="43">
        <f t="shared" si="2"/>
        <v>44741.09375</v>
      </c>
      <c r="G26" s="43">
        <f t="shared" si="4"/>
        <v>44740.874999999949</v>
      </c>
      <c r="H26" s="44"/>
      <c r="J26" s="43">
        <f t="shared" si="5"/>
        <v>44741.499999999949</v>
      </c>
      <c r="K26" s="44" t="b">
        <f t="shared" ca="1" si="0"/>
        <v>1</v>
      </c>
      <c r="L26" s="44">
        <f t="shared" si="3"/>
        <v>0</v>
      </c>
      <c r="M26" s="47">
        <f t="shared" ca="1" si="1"/>
        <v>0</v>
      </c>
    </row>
    <row r="27" spans="2:27" ht="14.5" x14ac:dyDescent="0.45">
      <c r="B27" s="32" t="s">
        <v>23</v>
      </c>
      <c r="D27" s="43">
        <f t="shared" si="2"/>
        <v>44741.114583333336</v>
      </c>
      <c r="G27" s="43">
        <f t="shared" si="4"/>
        <v>44740.885416666613</v>
      </c>
      <c r="H27" s="44"/>
      <c r="J27" s="43">
        <f t="shared" si="5"/>
        <v>44741.541666666613</v>
      </c>
      <c r="K27" s="44" t="b">
        <f t="shared" ca="1" si="0"/>
        <v>1</v>
      </c>
      <c r="L27" s="44">
        <f t="shared" si="3"/>
        <v>2</v>
      </c>
      <c r="M27" s="47">
        <f t="shared" ca="1" si="1"/>
        <v>0.5</v>
      </c>
    </row>
    <row r="28" spans="2:27" ht="14.5" x14ac:dyDescent="0.45">
      <c r="B28" s="32" t="s">
        <v>24</v>
      </c>
      <c r="D28" s="43">
        <f t="shared" si="2"/>
        <v>44741.135416666664</v>
      </c>
      <c r="G28" s="43">
        <f t="shared" si="4"/>
        <v>44740.895833333278</v>
      </c>
      <c r="H28" s="44"/>
      <c r="J28" s="43">
        <f t="shared" si="5"/>
        <v>44741.583333333278</v>
      </c>
      <c r="K28" s="44" t="b">
        <f t="shared" ca="1" si="0"/>
        <v>1</v>
      </c>
      <c r="L28" s="44">
        <f t="shared" si="3"/>
        <v>3</v>
      </c>
      <c r="M28" s="47">
        <f t="shared" ca="1" si="1"/>
        <v>0.75</v>
      </c>
      <c r="O28" s="34">
        <v>44741.625</v>
      </c>
      <c r="P28" s="22" t="s">
        <v>339</v>
      </c>
    </row>
    <row r="29" spans="2:27" ht="14.5" x14ac:dyDescent="0.45">
      <c r="B29" s="32" t="s">
        <v>25</v>
      </c>
      <c r="D29" s="43">
        <f t="shared" si="2"/>
        <v>44741.145833333336</v>
      </c>
      <c r="G29" s="43">
        <f t="shared" si="4"/>
        <v>44740.906249999942</v>
      </c>
      <c r="H29" s="44"/>
      <c r="J29" s="43">
        <f t="shared" si="5"/>
        <v>44741.624999999942</v>
      </c>
      <c r="K29" s="44" t="b">
        <f t="shared" ca="1" si="0"/>
        <v>1</v>
      </c>
      <c r="L29" s="44">
        <f t="shared" si="3"/>
        <v>4</v>
      </c>
      <c r="M29" s="47">
        <f t="shared" ca="1" si="1"/>
        <v>1</v>
      </c>
      <c r="O29" s="34">
        <v>44742.46875</v>
      </c>
      <c r="P29" s="22" t="s">
        <v>340</v>
      </c>
    </row>
    <row r="30" spans="2:27" ht="14.5" x14ac:dyDescent="0.45">
      <c r="B30" s="32" t="s">
        <v>26</v>
      </c>
      <c r="D30" s="43">
        <f t="shared" si="2"/>
        <v>44741.15625</v>
      </c>
      <c r="G30" s="43">
        <f t="shared" si="4"/>
        <v>44740.916666666606</v>
      </c>
      <c r="H30" s="44"/>
      <c r="J30" s="43">
        <f t="shared" si="5"/>
        <v>44741.666666666606</v>
      </c>
      <c r="K30" s="44" t="b">
        <f t="shared" ca="1" si="0"/>
        <v>1</v>
      </c>
      <c r="L30" s="44">
        <f t="shared" si="3"/>
        <v>4</v>
      </c>
      <c r="M30" s="47">
        <f t="shared" ca="1" si="1"/>
        <v>1</v>
      </c>
      <c r="O30" s="34">
        <v>44742.541666666664</v>
      </c>
      <c r="P30" s="22" t="s">
        <v>338</v>
      </c>
    </row>
    <row r="31" spans="2:27" ht="14.5" x14ac:dyDescent="0.45">
      <c r="B31" s="32" t="s">
        <v>27</v>
      </c>
      <c r="D31" s="43">
        <f t="shared" si="2"/>
        <v>44741.375</v>
      </c>
      <c r="G31" s="43">
        <f t="shared" si="4"/>
        <v>44740.92708333327</v>
      </c>
      <c r="H31" s="44"/>
      <c r="J31" s="43">
        <f t="shared" si="5"/>
        <v>44741.70833333327</v>
      </c>
      <c r="K31" s="44" t="b">
        <f t="shared" ca="1" si="0"/>
        <v>1</v>
      </c>
      <c r="L31" s="44">
        <f t="shared" si="3"/>
        <v>4</v>
      </c>
      <c r="M31" s="47">
        <f t="shared" ca="1" si="1"/>
        <v>1</v>
      </c>
      <c r="O31" s="24"/>
      <c r="T31" s="24"/>
      <c r="V31" s="24"/>
      <c r="W31" s="24"/>
      <c r="X31" s="24"/>
      <c r="Y31" s="24"/>
      <c r="Z31" s="24"/>
      <c r="AA31" s="24"/>
    </row>
    <row r="32" spans="2:27" ht="14.5" x14ac:dyDescent="0.45">
      <c r="B32" s="32" t="s">
        <v>28</v>
      </c>
      <c r="D32" s="43">
        <f t="shared" si="2"/>
        <v>44741.385416666664</v>
      </c>
      <c r="G32" s="43">
        <f t="shared" si="4"/>
        <v>44740.937499999935</v>
      </c>
      <c r="H32" s="44"/>
      <c r="J32" s="43">
        <f t="shared" si="5"/>
        <v>44741.749999999935</v>
      </c>
      <c r="K32" s="44" t="b">
        <f t="shared" ca="1" si="0"/>
        <v>1</v>
      </c>
      <c r="L32" s="44">
        <f t="shared" si="3"/>
        <v>4</v>
      </c>
      <c r="M32" s="47">
        <f t="shared" ca="1" si="1"/>
        <v>1</v>
      </c>
      <c r="O32" s="24"/>
      <c r="R32" s="24"/>
      <c r="S32" s="24"/>
      <c r="T32" s="24"/>
      <c r="U32" s="24"/>
      <c r="V32" s="24"/>
      <c r="W32" s="24"/>
      <c r="X32" s="24"/>
      <c r="Y32" s="24"/>
      <c r="Z32" s="24"/>
      <c r="AA32" s="24"/>
    </row>
    <row r="33" spans="2:27" ht="14.5" x14ac:dyDescent="0.45">
      <c r="B33" s="32" t="s">
        <v>32</v>
      </c>
      <c r="D33" s="43">
        <f t="shared" si="2"/>
        <v>44741.5625</v>
      </c>
      <c r="G33" s="43">
        <f t="shared" si="4"/>
        <v>44740.947916666599</v>
      </c>
      <c r="H33" s="44"/>
      <c r="J33" s="43">
        <f t="shared" si="5"/>
        <v>44741.791666666599</v>
      </c>
      <c r="K33" s="44" t="b">
        <f t="shared" ca="1" si="0"/>
        <v>1</v>
      </c>
      <c r="L33" s="44">
        <f t="shared" si="3"/>
        <v>4</v>
      </c>
      <c r="M33" s="47">
        <f t="shared" ca="1" si="1"/>
        <v>1</v>
      </c>
      <c r="X33" s="24"/>
      <c r="Y33" s="24"/>
      <c r="Z33" s="24"/>
      <c r="AA33" s="24"/>
    </row>
    <row r="34" spans="2:27" ht="14.5" x14ac:dyDescent="0.45">
      <c r="B34" s="32" t="s">
        <v>33</v>
      </c>
      <c r="D34" s="43">
        <f t="shared" si="2"/>
        <v>44741.572916666664</v>
      </c>
      <c r="G34" s="43">
        <f t="shared" si="4"/>
        <v>44740.958333333263</v>
      </c>
      <c r="H34" s="44"/>
      <c r="J34" s="43">
        <f t="shared" si="5"/>
        <v>44741.833333333263</v>
      </c>
      <c r="K34" s="44" t="b">
        <f ca="1">J$1&gt;=(J34+TIME(0,50,0))</f>
        <v>1</v>
      </c>
      <c r="L34" s="44">
        <f t="shared" si="3"/>
        <v>4</v>
      </c>
      <c r="M34" s="47">
        <f t="shared" ca="1" si="1"/>
        <v>1</v>
      </c>
      <c r="X34" s="24"/>
      <c r="Y34" s="24"/>
      <c r="Z34" s="24"/>
      <c r="AA34" s="24"/>
    </row>
    <row r="35" spans="2:27" ht="14.5" x14ac:dyDescent="0.45">
      <c r="B35" s="32" t="s">
        <v>34</v>
      </c>
      <c r="D35" s="43">
        <f t="shared" si="2"/>
        <v>44741.583333333336</v>
      </c>
      <c r="G35" s="43">
        <f t="shared" si="4"/>
        <v>44740.968749999927</v>
      </c>
      <c r="H35" s="44"/>
      <c r="J35" s="43">
        <f t="shared" si="5"/>
        <v>44741.874999999927</v>
      </c>
      <c r="K35" s="44" t="b">
        <f t="shared" ref="K35:K96" ca="1" si="6">J$1&gt;=(J35+TIME(0,50,0))</f>
        <v>1</v>
      </c>
      <c r="L35" s="44">
        <f t="shared" si="3"/>
        <v>4</v>
      </c>
      <c r="M35" s="47">
        <f t="shared" ca="1" si="1"/>
        <v>1</v>
      </c>
      <c r="X35" s="24"/>
      <c r="Y35" s="24"/>
      <c r="Z35" s="24"/>
      <c r="AA35" s="24"/>
    </row>
    <row r="36" spans="2:27" ht="14.5" x14ac:dyDescent="0.45">
      <c r="B36" s="32" t="s">
        <v>35</v>
      </c>
      <c r="D36" s="43">
        <f t="shared" si="2"/>
        <v>44741.59375</v>
      </c>
      <c r="G36" s="43">
        <f t="shared" si="4"/>
        <v>44740.979166666591</v>
      </c>
      <c r="H36" s="44"/>
      <c r="J36" s="43">
        <f t="shared" si="5"/>
        <v>44741.916666666591</v>
      </c>
      <c r="K36" s="44" t="b">
        <f t="shared" ca="1" si="6"/>
        <v>1</v>
      </c>
      <c r="L36" s="44">
        <f t="shared" si="3"/>
        <v>3</v>
      </c>
      <c r="M36" s="47">
        <f t="shared" ca="1" si="1"/>
        <v>0.75</v>
      </c>
      <c r="X36" s="24"/>
      <c r="Y36" s="33"/>
      <c r="Z36" s="24"/>
      <c r="AA36" s="24"/>
    </row>
    <row r="37" spans="2:27" ht="14.5" x14ac:dyDescent="0.45">
      <c r="B37" s="32" t="s">
        <v>36</v>
      </c>
      <c r="D37" s="43">
        <f t="shared" si="2"/>
        <v>44741.614583333336</v>
      </c>
      <c r="G37" s="43">
        <f t="shared" si="4"/>
        <v>44740.989583333256</v>
      </c>
      <c r="H37" s="44"/>
      <c r="J37" s="43">
        <f t="shared" si="5"/>
        <v>44741.958333333256</v>
      </c>
      <c r="K37" s="44" t="b">
        <f t="shared" ca="1" si="6"/>
        <v>1</v>
      </c>
      <c r="L37" s="44">
        <f t="shared" si="3"/>
        <v>3</v>
      </c>
      <c r="M37" s="47">
        <f t="shared" ca="1" si="1"/>
        <v>0.75</v>
      </c>
    </row>
    <row r="38" spans="2:27" ht="14.5" x14ac:dyDescent="0.45">
      <c r="B38" s="32" t="s">
        <v>37</v>
      </c>
      <c r="D38" s="43">
        <f t="shared" si="2"/>
        <v>44741.625</v>
      </c>
      <c r="G38" s="43">
        <f t="shared" si="4"/>
        <v>44740.99999999992</v>
      </c>
      <c r="H38" s="44"/>
      <c r="J38" s="43">
        <f t="shared" si="5"/>
        <v>44741.99999999992</v>
      </c>
      <c r="K38" s="44" t="b">
        <f t="shared" ca="1" si="6"/>
        <v>1</v>
      </c>
      <c r="L38" s="44">
        <f t="shared" si="3"/>
        <v>4</v>
      </c>
      <c r="M38" s="47">
        <f t="shared" ca="1" si="1"/>
        <v>1</v>
      </c>
    </row>
    <row r="39" spans="2:27" ht="14.5" x14ac:dyDescent="0.45">
      <c r="B39" s="32" t="s">
        <v>38</v>
      </c>
      <c r="D39" s="43">
        <f t="shared" si="2"/>
        <v>44741.635416666664</v>
      </c>
      <c r="G39" s="43">
        <f t="shared" si="4"/>
        <v>44741.010416666584</v>
      </c>
      <c r="H39" s="44"/>
      <c r="J39" s="43">
        <f t="shared" si="5"/>
        <v>44742.041666666584</v>
      </c>
      <c r="K39" s="44" t="b">
        <f t="shared" ca="1" si="6"/>
        <v>1</v>
      </c>
      <c r="L39" s="44">
        <f t="shared" si="3"/>
        <v>4</v>
      </c>
      <c r="M39" s="47">
        <f t="shared" ca="1" si="1"/>
        <v>1</v>
      </c>
      <c r="U39" s="34"/>
    </row>
    <row r="40" spans="2:27" ht="14.5" x14ac:dyDescent="0.45">
      <c r="B40" s="32" t="s">
        <v>39</v>
      </c>
      <c r="D40" s="43">
        <f t="shared" si="2"/>
        <v>44741.651388888888</v>
      </c>
      <c r="G40" s="43">
        <f t="shared" si="4"/>
        <v>44741.020833333248</v>
      </c>
      <c r="H40" s="44"/>
      <c r="J40" s="43">
        <f t="shared" si="5"/>
        <v>44742.083333333248</v>
      </c>
      <c r="K40" s="44" t="b">
        <f t="shared" ca="1" si="6"/>
        <v>1</v>
      </c>
      <c r="L40" s="44">
        <f t="shared" si="3"/>
        <v>3</v>
      </c>
      <c r="M40" s="47">
        <f t="shared" ca="1" si="1"/>
        <v>0.75</v>
      </c>
    </row>
    <row r="41" spans="2:27" ht="14.5" x14ac:dyDescent="0.45">
      <c r="B41" s="32" t="s">
        <v>40</v>
      </c>
      <c r="D41" s="43">
        <f t="shared" si="2"/>
        <v>44741.65625</v>
      </c>
      <c r="G41" s="43">
        <f t="shared" si="4"/>
        <v>44741.031249999913</v>
      </c>
      <c r="H41" s="44"/>
      <c r="J41" s="43">
        <f t="shared" si="5"/>
        <v>44742.124999999913</v>
      </c>
      <c r="K41" s="44" t="b">
        <f t="shared" ca="1" si="6"/>
        <v>1</v>
      </c>
      <c r="L41" s="44">
        <f t="shared" si="3"/>
        <v>3</v>
      </c>
      <c r="M41" s="47">
        <f t="shared" ca="1" si="1"/>
        <v>0.75</v>
      </c>
    </row>
    <row r="42" spans="2:27" ht="14.5" x14ac:dyDescent="0.45">
      <c r="B42" s="32" t="s">
        <v>41</v>
      </c>
      <c r="D42" s="43">
        <f t="shared" si="2"/>
        <v>44741.666666666664</v>
      </c>
      <c r="G42" s="43">
        <f t="shared" si="4"/>
        <v>44741.041666666577</v>
      </c>
      <c r="H42" s="44"/>
      <c r="J42" s="43">
        <f t="shared" si="5"/>
        <v>44742.166666666577</v>
      </c>
      <c r="K42" s="44" t="b">
        <f t="shared" ca="1" si="6"/>
        <v>1</v>
      </c>
      <c r="L42" s="44">
        <f t="shared" si="3"/>
        <v>4</v>
      </c>
      <c r="M42" s="47">
        <f t="shared" ca="1" si="1"/>
        <v>1</v>
      </c>
    </row>
    <row r="43" spans="2:27" ht="14.5" x14ac:dyDescent="0.45">
      <c r="B43" s="32" t="s">
        <v>42</v>
      </c>
      <c r="D43" s="43">
        <f t="shared" si="2"/>
        <v>44741.677083333336</v>
      </c>
      <c r="G43" s="43">
        <f t="shared" si="4"/>
        <v>44741.052083333241</v>
      </c>
      <c r="H43" s="44"/>
      <c r="J43" s="43">
        <f t="shared" si="5"/>
        <v>44742.208333333241</v>
      </c>
      <c r="K43" s="44" t="b">
        <f t="shared" ca="1" si="6"/>
        <v>1</v>
      </c>
      <c r="L43" s="44">
        <f t="shared" si="3"/>
        <v>4</v>
      </c>
      <c r="M43" s="47">
        <f t="shared" ca="1" si="1"/>
        <v>1</v>
      </c>
    </row>
    <row r="44" spans="2:27" ht="14.5" x14ac:dyDescent="0.45">
      <c r="B44" s="32" t="s">
        <v>49</v>
      </c>
      <c r="D44" s="43">
        <f t="shared" si="2"/>
        <v>44741.689583333333</v>
      </c>
      <c r="G44" s="43">
        <f t="shared" si="4"/>
        <v>44741.062499999905</v>
      </c>
      <c r="H44" s="44"/>
      <c r="J44" s="43">
        <f t="shared" si="5"/>
        <v>44742.249999999905</v>
      </c>
      <c r="K44" s="44" t="b">
        <f t="shared" ca="1" si="6"/>
        <v>1</v>
      </c>
      <c r="L44" s="44">
        <f t="shared" si="3"/>
        <v>4</v>
      </c>
      <c r="M44" s="47">
        <f t="shared" ca="1" si="1"/>
        <v>1</v>
      </c>
    </row>
    <row r="45" spans="2:27" ht="14.5" x14ac:dyDescent="0.45">
      <c r="B45" s="32" t="s">
        <v>50</v>
      </c>
      <c r="D45" s="43">
        <f t="shared" si="2"/>
        <v>44741.697916666664</v>
      </c>
      <c r="G45" s="43">
        <f t="shared" si="4"/>
        <v>44741.07291666657</v>
      </c>
      <c r="H45" s="44"/>
      <c r="J45" s="43">
        <f t="shared" si="5"/>
        <v>44742.29166666657</v>
      </c>
      <c r="K45" s="44" t="b">
        <f t="shared" ca="1" si="6"/>
        <v>1</v>
      </c>
      <c r="L45" s="44">
        <f t="shared" si="3"/>
        <v>4</v>
      </c>
      <c r="M45" s="47">
        <f t="shared" ca="1" si="1"/>
        <v>1</v>
      </c>
    </row>
    <row r="46" spans="2:27" ht="14.5" x14ac:dyDescent="0.45">
      <c r="B46" s="32" t="s">
        <v>51</v>
      </c>
      <c r="D46" s="43">
        <f t="shared" si="2"/>
        <v>44741.708333333336</v>
      </c>
      <c r="G46" s="43">
        <f t="shared" si="4"/>
        <v>44741.083333333234</v>
      </c>
      <c r="H46" s="44"/>
      <c r="J46" s="43">
        <f t="shared" si="5"/>
        <v>44742.333333333234</v>
      </c>
      <c r="K46" s="44" t="b">
        <f t="shared" ca="1" si="6"/>
        <v>1</v>
      </c>
      <c r="L46" s="44">
        <f t="shared" si="3"/>
        <v>3</v>
      </c>
      <c r="M46" s="47">
        <f t="shared" ca="1" si="1"/>
        <v>0.75</v>
      </c>
    </row>
    <row r="47" spans="2:27" ht="14.5" x14ac:dyDescent="0.45">
      <c r="B47" s="32" t="s">
        <v>52</v>
      </c>
      <c r="D47" s="43">
        <f t="shared" si="2"/>
        <v>44741.71875</v>
      </c>
      <c r="G47" s="43">
        <f t="shared" si="4"/>
        <v>44741.093749999898</v>
      </c>
      <c r="H47" s="44"/>
      <c r="J47" s="43">
        <f t="shared" si="5"/>
        <v>44742.374999999898</v>
      </c>
      <c r="K47" s="44" t="b">
        <f t="shared" ca="1" si="6"/>
        <v>1</v>
      </c>
      <c r="L47" s="44">
        <f t="shared" si="3"/>
        <v>2</v>
      </c>
      <c r="M47" s="47">
        <f t="shared" ca="1" si="1"/>
        <v>0.5</v>
      </c>
    </row>
    <row r="48" spans="2:27" ht="14.5" x14ac:dyDescent="0.45">
      <c r="B48" s="32" t="s">
        <v>53</v>
      </c>
      <c r="D48" s="43">
        <f t="shared" si="2"/>
        <v>44741.729166666664</v>
      </c>
      <c r="G48" s="43">
        <f t="shared" si="4"/>
        <v>44741.104166666562</v>
      </c>
      <c r="H48" s="44"/>
      <c r="J48" s="43">
        <f t="shared" si="5"/>
        <v>44742.416666666562</v>
      </c>
      <c r="K48" s="44" t="b">
        <f t="shared" ca="1" si="6"/>
        <v>1</v>
      </c>
      <c r="L48" s="44">
        <f t="shared" si="3"/>
        <v>4</v>
      </c>
      <c r="M48" s="47">
        <f t="shared" ca="1" si="1"/>
        <v>1</v>
      </c>
    </row>
    <row r="49" spans="2:24" ht="14.5" x14ac:dyDescent="0.45">
      <c r="B49" s="32" t="s">
        <v>54</v>
      </c>
      <c r="D49" s="43">
        <f t="shared" si="2"/>
        <v>44741.739583333336</v>
      </c>
      <c r="G49" s="43">
        <f t="shared" si="4"/>
        <v>44741.114583333227</v>
      </c>
      <c r="H49" s="44"/>
      <c r="J49" s="43">
        <f t="shared" si="5"/>
        <v>44742.458333333227</v>
      </c>
      <c r="K49" s="44" t="b">
        <f t="shared" ca="1" si="6"/>
        <v>1</v>
      </c>
      <c r="L49" s="44">
        <f t="shared" si="3"/>
        <v>4</v>
      </c>
      <c r="M49" s="47">
        <f t="shared" ca="1" si="1"/>
        <v>1</v>
      </c>
      <c r="X49" s="35"/>
    </row>
    <row r="50" spans="2:24" ht="14.5" x14ac:dyDescent="0.45">
      <c r="B50" s="32" t="s">
        <v>55</v>
      </c>
      <c r="D50" s="43">
        <f t="shared" si="2"/>
        <v>44741.75</v>
      </c>
      <c r="G50" s="43">
        <f t="shared" si="4"/>
        <v>44741.124999999891</v>
      </c>
      <c r="H50" s="44"/>
      <c r="J50" s="43">
        <f t="shared" si="5"/>
        <v>44742.499999999891</v>
      </c>
      <c r="K50" s="44" t="b">
        <f t="shared" ca="1" si="6"/>
        <v>1</v>
      </c>
      <c r="L50" s="44">
        <f t="shared" si="3"/>
        <v>4</v>
      </c>
      <c r="M50" s="47">
        <f t="shared" ca="1" si="1"/>
        <v>1</v>
      </c>
      <c r="X50" s="35"/>
    </row>
    <row r="51" spans="2:24" ht="14.5" x14ac:dyDescent="0.45">
      <c r="B51" s="32" t="s">
        <v>56</v>
      </c>
      <c r="D51" s="43">
        <f t="shared" si="2"/>
        <v>44741.760416666664</v>
      </c>
      <c r="G51" s="43">
        <f t="shared" si="4"/>
        <v>44741.135416666555</v>
      </c>
      <c r="H51" s="44"/>
      <c r="J51" s="43">
        <f t="shared" si="5"/>
        <v>44742.541666666555</v>
      </c>
      <c r="K51" s="44" t="b">
        <f t="shared" ca="1" si="6"/>
        <v>0</v>
      </c>
      <c r="L51" s="44">
        <f t="shared" si="3"/>
        <v>2</v>
      </c>
      <c r="M51" s="47" t="str">
        <f t="shared" ca="1" si="1"/>
        <v/>
      </c>
      <c r="X51" s="35"/>
    </row>
    <row r="52" spans="2:24" ht="14.5" x14ac:dyDescent="0.45">
      <c r="B52" s="32" t="s">
        <v>57</v>
      </c>
      <c r="D52" s="43">
        <f t="shared" si="2"/>
        <v>44741.770833333336</v>
      </c>
      <c r="G52" s="43">
        <f t="shared" si="4"/>
        <v>44741.145833333219</v>
      </c>
      <c r="H52" s="44"/>
      <c r="J52" s="43">
        <f t="shared" si="5"/>
        <v>44742.583333333219</v>
      </c>
      <c r="K52" s="44" t="b">
        <f t="shared" ca="1" si="6"/>
        <v>0</v>
      </c>
      <c r="L52" s="44">
        <f t="shared" si="3"/>
        <v>0</v>
      </c>
      <c r="M52" s="47" t="str">
        <f t="shared" ca="1" si="1"/>
        <v/>
      </c>
    </row>
    <row r="53" spans="2:24" ht="14.5" x14ac:dyDescent="0.45">
      <c r="B53" s="32" t="s">
        <v>58</v>
      </c>
      <c r="D53" s="43">
        <f t="shared" si="2"/>
        <v>44741.78125</v>
      </c>
      <c r="G53" s="43">
        <f t="shared" si="4"/>
        <v>44741.156249999884</v>
      </c>
      <c r="H53" s="44"/>
      <c r="J53" s="43">
        <f t="shared" si="5"/>
        <v>44742.624999999884</v>
      </c>
      <c r="K53" s="44" t="b">
        <f t="shared" ca="1" si="6"/>
        <v>0</v>
      </c>
      <c r="L53" s="44">
        <f t="shared" si="3"/>
        <v>0</v>
      </c>
      <c r="M53" s="47" t="str">
        <f t="shared" ca="1" si="1"/>
        <v/>
      </c>
    </row>
    <row r="54" spans="2:24" ht="14.5" x14ac:dyDescent="0.45">
      <c r="B54" s="32" t="s">
        <v>59</v>
      </c>
      <c r="D54" s="43">
        <f t="shared" si="2"/>
        <v>44741.791666666664</v>
      </c>
      <c r="G54" s="43">
        <f t="shared" si="4"/>
        <v>44741.166666666548</v>
      </c>
      <c r="H54" s="44"/>
      <c r="J54" s="43">
        <f t="shared" si="5"/>
        <v>44742.666666666548</v>
      </c>
      <c r="K54" s="44" t="b">
        <f t="shared" ca="1" si="6"/>
        <v>0</v>
      </c>
      <c r="L54" s="44">
        <f t="shared" si="3"/>
        <v>0</v>
      </c>
      <c r="M54" s="47" t="str">
        <f t="shared" ca="1" si="1"/>
        <v/>
      </c>
    </row>
    <row r="55" spans="2:24" ht="14.5" x14ac:dyDescent="0.45">
      <c r="B55" s="32" t="s">
        <v>60</v>
      </c>
      <c r="D55" s="43">
        <f t="shared" si="2"/>
        <v>44741.802083333336</v>
      </c>
      <c r="G55" s="43">
        <f t="shared" si="4"/>
        <v>44741.177083333212</v>
      </c>
      <c r="H55" s="44"/>
      <c r="J55" s="43">
        <f t="shared" si="5"/>
        <v>44742.708333333212</v>
      </c>
      <c r="K55" s="44" t="b">
        <f t="shared" ca="1" si="6"/>
        <v>0</v>
      </c>
      <c r="L55" s="44">
        <f t="shared" si="3"/>
        <v>0</v>
      </c>
      <c r="M55" s="47" t="str">
        <f t="shared" ca="1" si="1"/>
        <v/>
      </c>
    </row>
    <row r="56" spans="2:24" ht="14.5" x14ac:dyDescent="0.45">
      <c r="B56" s="32" t="s">
        <v>65</v>
      </c>
      <c r="D56" s="43">
        <f t="shared" si="2"/>
        <v>44741.8125</v>
      </c>
      <c r="G56" s="43">
        <f t="shared" si="4"/>
        <v>44741.187499999876</v>
      </c>
      <c r="H56" s="44"/>
      <c r="J56" s="43">
        <f t="shared" si="5"/>
        <v>44742.749999999876</v>
      </c>
      <c r="K56" s="44" t="b">
        <f t="shared" ca="1" si="6"/>
        <v>0</v>
      </c>
      <c r="L56" s="44">
        <f t="shared" si="3"/>
        <v>0</v>
      </c>
      <c r="M56" s="47" t="str">
        <f t="shared" ca="1" si="1"/>
        <v/>
      </c>
    </row>
    <row r="57" spans="2:24" ht="14.5" x14ac:dyDescent="0.45">
      <c r="B57" s="32" t="s">
        <v>270</v>
      </c>
      <c r="D57" s="43">
        <f t="shared" si="2"/>
        <v>44741.822916666664</v>
      </c>
      <c r="G57" s="43">
        <f t="shared" si="4"/>
        <v>44741.197916666541</v>
      </c>
      <c r="H57" s="44"/>
      <c r="J57" s="43">
        <f t="shared" si="5"/>
        <v>44742.791666666541</v>
      </c>
      <c r="K57" s="44" t="b">
        <f t="shared" ca="1" si="6"/>
        <v>0</v>
      </c>
      <c r="L57" s="44">
        <f t="shared" si="3"/>
        <v>0</v>
      </c>
      <c r="M57" s="47" t="str">
        <f t="shared" ca="1" si="1"/>
        <v/>
      </c>
    </row>
    <row r="58" spans="2:24" ht="14.5" x14ac:dyDescent="0.45">
      <c r="B58" s="32" t="s">
        <v>273</v>
      </c>
      <c r="D58" s="43">
        <f t="shared" si="2"/>
        <v>44741.833333333336</v>
      </c>
      <c r="G58" s="43">
        <f t="shared" si="4"/>
        <v>44741.208333333205</v>
      </c>
      <c r="H58" s="44"/>
      <c r="J58" s="43">
        <f t="shared" si="5"/>
        <v>44742.833333333205</v>
      </c>
      <c r="K58" s="44" t="b">
        <f t="shared" ca="1" si="6"/>
        <v>0</v>
      </c>
      <c r="L58" s="44">
        <f t="shared" si="3"/>
        <v>0</v>
      </c>
      <c r="M58" s="47" t="str">
        <f t="shared" ca="1" si="1"/>
        <v/>
      </c>
    </row>
    <row r="59" spans="2:24" ht="14.5" x14ac:dyDescent="0.45">
      <c r="B59" s="32" t="s">
        <v>274</v>
      </c>
      <c r="D59" s="43">
        <f t="shared" si="2"/>
        <v>44741.84375</v>
      </c>
      <c r="G59" s="43">
        <f t="shared" si="4"/>
        <v>44741.218749999869</v>
      </c>
      <c r="H59" s="44"/>
      <c r="J59" s="43">
        <f t="shared" si="5"/>
        <v>44742.874999999869</v>
      </c>
      <c r="K59" s="44" t="b">
        <f t="shared" ca="1" si="6"/>
        <v>0</v>
      </c>
      <c r="L59" s="44">
        <f t="shared" si="3"/>
        <v>0</v>
      </c>
      <c r="M59" s="47" t="str">
        <f t="shared" ca="1" si="1"/>
        <v/>
      </c>
    </row>
    <row r="60" spans="2:24" ht="14.5" x14ac:dyDescent="0.45">
      <c r="B60" s="32" t="s">
        <v>275</v>
      </c>
      <c r="D60" s="43">
        <f t="shared" si="2"/>
        <v>44741.854166666664</v>
      </c>
      <c r="G60" s="43">
        <f t="shared" si="4"/>
        <v>44741.229166666533</v>
      </c>
      <c r="H60" s="44"/>
      <c r="J60" s="43">
        <f t="shared" si="5"/>
        <v>44742.916666666533</v>
      </c>
      <c r="K60" s="44" t="b">
        <f t="shared" ca="1" si="6"/>
        <v>0</v>
      </c>
      <c r="L60" s="44">
        <f t="shared" si="3"/>
        <v>0</v>
      </c>
      <c r="M60" s="47" t="str">
        <f t="shared" ca="1" si="1"/>
        <v/>
      </c>
    </row>
    <row r="61" spans="2:24" ht="14.5" x14ac:dyDescent="0.45">
      <c r="B61" s="32" t="s">
        <v>276</v>
      </c>
      <c r="D61" s="43">
        <f t="shared" si="2"/>
        <v>44741.864583333336</v>
      </c>
      <c r="G61" s="43">
        <f t="shared" si="4"/>
        <v>44741.239583333198</v>
      </c>
      <c r="H61" s="44"/>
      <c r="J61" s="43">
        <f t="shared" si="5"/>
        <v>44742.958333333198</v>
      </c>
      <c r="K61" s="44" t="b">
        <f t="shared" ca="1" si="6"/>
        <v>0</v>
      </c>
      <c r="L61" s="44">
        <f t="shared" si="3"/>
        <v>0</v>
      </c>
      <c r="M61" s="47" t="str">
        <f t="shared" ca="1" si="1"/>
        <v/>
      </c>
    </row>
    <row r="62" spans="2:24" ht="14.5" x14ac:dyDescent="0.45">
      <c r="B62" s="32" t="s">
        <v>278</v>
      </c>
      <c r="D62" s="43">
        <f t="shared" si="2"/>
        <v>44741.875</v>
      </c>
      <c r="G62" s="43">
        <f t="shared" si="4"/>
        <v>44741.249999999862</v>
      </c>
      <c r="H62" s="44"/>
      <c r="J62" s="43">
        <f t="shared" si="5"/>
        <v>44742.999999999862</v>
      </c>
      <c r="K62" s="44" t="b">
        <f t="shared" ca="1" si="6"/>
        <v>0</v>
      </c>
      <c r="L62" s="44">
        <f t="shared" si="3"/>
        <v>0</v>
      </c>
      <c r="M62" s="47" t="str">
        <f t="shared" ca="1" si="1"/>
        <v/>
      </c>
    </row>
    <row r="63" spans="2:24" ht="14.5" x14ac:dyDescent="0.45">
      <c r="B63" s="32" t="s">
        <v>279</v>
      </c>
      <c r="D63" s="43">
        <f t="shared" si="2"/>
        <v>44741.885416666664</v>
      </c>
      <c r="G63" s="43">
        <f t="shared" si="4"/>
        <v>44741.260416666526</v>
      </c>
      <c r="H63" s="44"/>
      <c r="J63" s="43">
        <f t="shared" si="5"/>
        <v>44743.041666666526</v>
      </c>
      <c r="K63" s="44" t="b">
        <f t="shared" ca="1" si="6"/>
        <v>0</v>
      </c>
      <c r="L63" s="44">
        <f t="shared" si="3"/>
        <v>0</v>
      </c>
      <c r="M63" s="47" t="str">
        <f t="shared" ca="1" si="1"/>
        <v/>
      </c>
    </row>
    <row r="64" spans="2:24" ht="14.5" x14ac:dyDescent="0.45">
      <c r="B64" s="32" t="s">
        <v>280</v>
      </c>
      <c r="D64" s="43">
        <f t="shared" si="2"/>
        <v>44741.895833333336</v>
      </c>
      <c r="G64" s="43">
        <f t="shared" si="4"/>
        <v>44741.27083333319</v>
      </c>
      <c r="H64" s="44"/>
      <c r="J64" s="43">
        <f t="shared" si="5"/>
        <v>44743.08333333319</v>
      </c>
      <c r="K64" s="44" t="b">
        <f t="shared" ca="1" si="6"/>
        <v>0</v>
      </c>
      <c r="L64" s="44">
        <f t="shared" si="3"/>
        <v>0</v>
      </c>
      <c r="M64" s="47" t="str">
        <f t="shared" ca="1" si="1"/>
        <v/>
      </c>
    </row>
    <row r="65" spans="2:13" ht="14.5" x14ac:dyDescent="0.45">
      <c r="B65" s="32" t="s">
        <v>281</v>
      </c>
      <c r="D65" s="43">
        <f t="shared" si="2"/>
        <v>44741.90625</v>
      </c>
      <c r="G65" s="43">
        <f t="shared" si="4"/>
        <v>44741.281249999854</v>
      </c>
      <c r="H65" s="44"/>
      <c r="J65" s="43">
        <f t="shared" si="5"/>
        <v>44743.124999999854</v>
      </c>
      <c r="K65" s="44" t="b">
        <f t="shared" ca="1" si="6"/>
        <v>0</v>
      </c>
      <c r="L65" s="44">
        <f>COUNTIFS($D$6:$D$251,"&gt;="&amp;J65,$D$6:$D$251,"&lt;"&amp;J66)</f>
        <v>0</v>
      </c>
      <c r="M65" s="47" t="str">
        <f t="shared" ca="1" si="1"/>
        <v/>
      </c>
    </row>
    <row r="66" spans="2:13" ht="14.5" x14ac:dyDescent="0.45">
      <c r="B66" s="32" t="s">
        <v>282</v>
      </c>
      <c r="D66" s="43">
        <f t="shared" si="2"/>
        <v>44741.916666666664</v>
      </c>
      <c r="G66" s="43">
        <f t="shared" si="4"/>
        <v>44741.291666666519</v>
      </c>
      <c r="H66" s="44"/>
      <c r="J66" s="43">
        <f t="shared" si="5"/>
        <v>44743.166666666519</v>
      </c>
      <c r="K66" s="44" t="b">
        <f t="shared" ca="1" si="6"/>
        <v>0</v>
      </c>
      <c r="L66" s="44">
        <f t="shared" si="3"/>
        <v>0</v>
      </c>
      <c r="M66" s="47" t="str">
        <f t="shared" ca="1" si="1"/>
        <v/>
      </c>
    </row>
    <row r="67" spans="2:13" ht="14.5" x14ac:dyDescent="0.45">
      <c r="B67" s="32" t="s">
        <v>283</v>
      </c>
      <c r="D67" s="43">
        <f t="shared" si="2"/>
        <v>44741.927083333336</v>
      </c>
      <c r="G67" s="43">
        <f t="shared" si="4"/>
        <v>44741.302083333183</v>
      </c>
      <c r="H67" s="44"/>
      <c r="J67" s="43">
        <f t="shared" si="5"/>
        <v>44743.208333333183</v>
      </c>
      <c r="K67" s="44" t="b">
        <f t="shared" ca="1" si="6"/>
        <v>0</v>
      </c>
      <c r="L67" s="44">
        <f t="shared" si="3"/>
        <v>0</v>
      </c>
      <c r="M67" s="47" t="str">
        <f t="shared" ca="1" si="1"/>
        <v/>
      </c>
    </row>
    <row r="68" spans="2:13" ht="14.5" x14ac:dyDescent="0.45">
      <c r="B68" s="32" t="s">
        <v>284</v>
      </c>
      <c r="D68" s="43">
        <f t="shared" si="2"/>
        <v>44741.947916666664</v>
      </c>
      <c r="G68" s="43">
        <f t="shared" si="4"/>
        <v>44741.312499999847</v>
      </c>
      <c r="H68" s="44"/>
      <c r="J68" s="43">
        <f t="shared" si="5"/>
        <v>44743.249999999847</v>
      </c>
      <c r="K68" s="44" t="b">
        <f t="shared" ca="1" si="6"/>
        <v>0</v>
      </c>
      <c r="L68" s="44">
        <f t="shared" si="3"/>
        <v>0</v>
      </c>
      <c r="M68" s="47" t="str">
        <f t="shared" ca="1" si="1"/>
        <v/>
      </c>
    </row>
    <row r="69" spans="2:13" ht="14.5" x14ac:dyDescent="0.45">
      <c r="B69" s="32" t="s">
        <v>285</v>
      </c>
      <c r="D69" s="43">
        <f t="shared" si="2"/>
        <v>44741.958333333336</v>
      </c>
      <c r="G69" s="43">
        <f t="shared" si="4"/>
        <v>44741.322916666511</v>
      </c>
      <c r="H69" s="44"/>
      <c r="J69" s="43">
        <f t="shared" si="5"/>
        <v>44743.291666666511</v>
      </c>
      <c r="K69" s="44" t="b">
        <f t="shared" ca="1" si="6"/>
        <v>0</v>
      </c>
      <c r="L69" s="44">
        <f t="shared" si="3"/>
        <v>0</v>
      </c>
      <c r="M69" s="47" t="str">
        <f t="shared" ca="1" si="1"/>
        <v/>
      </c>
    </row>
    <row r="70" spans="2:13" ht="14.5" x14ac:dyDescent="0.45">
      <c r="B70" s="32" t="s">
        <v>286</v>
      </c>
      <c r="D70" s="43">
        <f t="shared" si="2"/>
        <v>44741.96875</v>
      </c>
      <c r="G70" s="43">
        <f t="shared" si="4"/>
        <v>44741.333333333176</v>
      </c>
      <c r="H70" s="44"/>
      <c r="J70" s="43">
        <f t="shared" si="5"/>
        <v>44743.333333333176</v>
      </c>
      <c r="K70" s="44" t="b">
        <f t="shared" ca="1" si="6"/>
        <v>0</v>
      </c>
      <c r="L70" s="44">
        <f t="shared" si="3"/>
        <v>0</v>
      </c>
      <c r="M70" s="47" t="str">
        <f t="shared" ca="1" si="1"/>
        <v/>
      </c>
    </row>
    <row r="71" spans="2:13" ht="14.5" x14ac:dyDescent="0.45">
      <c r="B71" s="32" t="s">
        <v>287</v>
      </c>
      <c r="D71" s="43">
        <f t="shared" ref="D71:D134" si="7">IFERROR(DATE(LEFT(B71,4),MID(B71,5,2),MID(B71,7,2))+TIME(MID(B71,9,2),MID(B71,11,2),MID(B71,13,2)),"")</f>
        <v>44741.989583333336</v>
      </c>
      <c r="G71" s="43">
        <f t="shared" si="4"/>
        <v>44741.34374999984</v>
      </c>
      <c r="H71" s="44"/>
      <c r="J71" s="43">
        <f t="shared" si="5"/>
        <v>44743.37499999984</v>
      </c>
      <c r="K71" s="44" t="b">
        <f t="shared" ca="1" si="6"/>
        <v>0</v>
      </c>
      <c r="L71" s="44">
        <f t="shared" ref="L71:L95" si="8">COUNTIFS($D$6:$D$251,"&gt;="&amp;J71,$D$6:$D$251,"&lt;"&amp;J72)</f>
        <v>0</v>
      </c>
      <c r="M71" s="47" t="str">
        <f t="shared" ref="M71:M96" ca="1" si="9">IF(K71,L71/4,"")</f>
        <v/>
      </c>
    </row>
    <row r="72" spans="2:13" ht="14.5" x14ac:dyDescent="0.45">
      <c r="B72" s="32" t="s">
        <v>288</v>
      </c>
      <c r="D72" s="43">
        <f t="shared" si="7"/>
        <v>44742</v>
      </c>
      <c r="G72" s="43">
        <f t="shared" ref="G72:G135" si="10">G71+TIME(0,15,0)</f>
        <v>44741.354166666504</v>
      </c>
      <c r="H72" s="44"/>
      <c r="J72" s="43">
        <f t="shared" ref="J72:J96" si="11">J71+TIME(1,0,0)</f>
        <v>44743.416666666504</v>
      </c>
      <c r="K72" s="44" t="b">
        <f t="shared" ca="1" si="6"/>
        <v>0</v>
      </c>
      <c r="L72" s="44">
        <f t="shared" si="8"/>
        <v>0</v>
      </c>
      <c r="M72" s="47" t="str">
        <f t="shared" ca="1" si="9"/>
        <v/>
      </c>
    </row>
    <row r="73" spans="2:13" ht="14.5" x14ac:dyDescent="0.45">
      <c r="B73" s="32" t="s">
        <v>289</v>
      </c>
      <c r="D73" s="43">
        <f t="shared" si="7"/>
        <v>44742.010416666664</v>
      </c>
      <c r="G73" s="43">
        <f t="shared" si="10"/>
        <v>44741.364583333168</v>
      </c>
      <c r="H73" s="44"/>
      <c r="J73" s="43">
        <f t="shared" si="11"/>
        <v>44743.458333333168</v>
      </c>
      <c r="K73" s="44" t="b">
        <f t="shared" ca="1" si="6"/>
        <v>0</v>
      </c>
      <c r="L73" s="44">
        <f t="shared" si="8"/>
        <v>0</v>
      </c>
      <c r="M73" s="47" t="str">
        <f t="shared" ca="1" si="9"/>
        <v/>
      </c>
    </row>
    <row r="74" spans="2:13" ht="14.5" x14ac:dyDescent="0.45">
      <c r="B74" s="32" t="s">
        <v>290</v>
      </c>
      <c r="D74" s="43">
        <f t="shared" si="7"/>
        <v>44742.020833333336</v>
      </c>
      <c r="G74" s="43">
        <f t="shared" si="10"/>
        <v>44741.374999999833</v>
      </c>
      <c r="H74" s="44"/>
      <c r="J74" s="43">
        <f t="shared" si="11"/>
        <v>44743.499999999833</v>
      </c>
      <c r="K74" s="44" t="b">
        <f t="shared" ca="1" si="6"/>
        <v>0</v>
      </c>
      <c r="L74" s="44">
        <f t="shared" si="8"/>
        <v>0</v>
      </c>
      <c r="M74" s="47" t="str">
        <f t="shared" ca="1" si="9"/>
        <v/>
      </c>
    </row>
    <row r="75" spans="2:13" ht="14.5" x14ac:dyDescent="0.45">
      <c r="B75" s="32" t="s">
        <v>291</v>
      </c>
      <c r="D75" s="43">
        <f t="shared" si="7"/>
        <v>44742.03125</v>
      </c>
      <c r="G75" s="43">
        <f t="shared" si="10"/>
        <v>44741.385416666497</v>
      </c>
      <c r="H75" s="44"/>
      <c r="J75" s="43">
        <f t="shared" si="11"/>
        <v>44743.541666666497</v>
      </c>
      <c r="K75" s="44" t="b">
        <f t="shared" ca="1" si="6"/>
        <v>0</v>
      </c>
      <c r="L75" s="44">
        <f t="shared" si="8"/>
        <v>0</v>
      </c>
      <c r="M75" s="47" t="str">
        <f t="shared" ca="1" si="9"/>
        <v/>
      </c>
    </row>
    <row r="76" spans="2:13" ht="14.5" x14ac:dyDescent="0.45">
      <c r="B76" s="32" t="s">
        <v>292</v>
      </c>
      <c r="D76" s="43">
        <f t="shared" si="7"/>
        <v>44742.041666666664</v>
      </c>
      <c r="G76" s="43">
        <f t="shared" si="10"/>
        <v>44741.395833333161</v>
      </c>
      <c r="H76" s="44"/>
      <c r="J76" s="43">
        <f t="shared" si="11"/>
        <v>44743.583333333161</v>
      </c>
      <c r="K76" s="44" t="b">
        <f t="shared" ca="1" si="6"/>
        <v>0</v>
      </c>
      <c r="L76" s="44">
        <f t="shared" si="8"/>
        <v>0</v>
      </c>
      <c r="M76" s="47" t="str">
        <f t="shared" ca="1" si="9"/>
        <v/>
      </c>
    </row>
    <row r="77" spans="2:13" ht="14.5" x14ac:dyDescent="0.45">
      <c r="B77" s="32" t="s">
        <v>293</v>
      </c>
      <c r="D77" s="43">
        <f t="shared" si="7"/>
        <v>44742.052083333336</v>
      </c>
      <c r="G77" s="43">
        <f t="shared" si="10"/>
        <v>44741.406249999825</v>
      </c>
      <c r="H77" s="44"/>
      <c r="J77" s="43">
        <f t="shared" si="11"/>
        <v>44743.624999999825</v>
      </c>
      <c r="K77" s="44" t="b">
        <f t="shared" ca="1" si="6"/>
        <v>0</v>
      </c>
      <c r="L77" s="44">
        <f t="shared" si="8"/>
        <v>0</v>
      </c>
      <c r="M77" s="47" t="str">
        <f t="shared" ca="1" si="9"/>
        <v/>
      </c>
    </row>
    <row r="78" spans="2:13" ht="14.5" x14ac:dyDescent="0.45">
      <c r="B78" s="32" t="s">
        <v>294</v>
      </c>
      <c r="D78" s="43">
        <f t="shared" si="7"/>
        <v>44742.0625</v>
      </c>
      <c r="G78" s="43">
        <f t="shared" si="10"/>
        <v>44741.41666666649</v>
      </c>
      <c r="H78" s="44"/>
      <c r="J78" s="43">
        <f t="shared" si="11"/>
        <v>44743.66666666649</v>
      </c>
      <c r="K78" s="44" t="b">
        <f t="shared" ca="1" si="6"/>
        <v>0</v>
      </c>
      <c r="L78" s="44">
        <f t="shared" si="8"/>
        <v>0</v>
      </c>
      <c r="M78" s="47" t="str">
        <f t="shared" ca="1" si="9"/>
        <v/>
      </c>
    </row>
    <row r="79" spans="2:13" ht="14.5" x14ac:dyDescent="0.45">
      <c r="B79" s="32" t="s">
        <v>295</v>
      </c>
      <c r="D79" s="43">
        <f t="shared" si="7"/>
        <v>44742.072916666664</v>
      </c>
      <c r="G79" s="43">
        <f t="shared" si="10"/>
        <v>44741.427083333154</v>
      </c>
      <c r="H79" s="44"/>
      <c r="J79" s="43">
        <f t="shared" si="11"/>
        <v>44743.708333333154</v>
      </c>
      <c r="K79" s="44" t="b">
        <f t="shared" ca="1" si="6"/>
        <v>0</v>
      </c>
      <c r="L79" s="44">
        <f t="shared" si="8"/>
        <v>0</v>
      </c>
      <c r="M79" s="47" t="str">
        <f t="shared" ca="1" si="9"/>
        <v/>
      </c>
    </row>
    <row r="80" spans="2:13" ht="14.5" x14ac:dyDescent="0.45">
      <c r="B80" s="32" t="s">
        <v>296</v>
      </c>
      <c r="D80" s="43">
        <f t="shared" si="7"/>
        <v>44742.083333333336</v>
      </c>
      <c r="G80" s="43">
        <f t="shared" si="10"/>
        <v>44741.437499999818</v>
      </c>
      <c r="H80" s="44"/>
      <c r="J80" s="43">
        <f t="shared" si="11"/>
        <v>44743.749999999818</v>
      </c>
      <c r="K80" s="44" t="b">
        <f t="shared" ca="1" si="6"/>
        <v>0</v>
      </c>
      <c r="L80" s="44">
        <f t="shared" si="8"/>
        <v>0</v>
      </c>
      <c r="M80" s="47" t="str">
        <f t="shared" ca="1" si="9"/>
        <v/>
      </c>
    </row>
    <row r="81" spans="2:13" ht="14.5" x14ac:dyDescent="0.45">
      <c r="B81" s="32" t="s">
        <v>297</v>
      </c>
      <c r="D81" s="43">
        <f t="shared" si="7"/>
        <v>44742.09375</v>
      </c>
      <c r="G81" s="43">
        <f t="shared" si="10"/>
        <v>44741.447916666482</v>
      </c>
      <c r="H81" s="44"/>
      <c r="J81" s="43">
        <f t="shared" si="11"/>
        <v>44743.791666666482</v>
      </c>
      <c r="K81" s="44" t="b">
        <f t="shared" ca="1" si="6"/>
        <v>0</v>
      </c>
      <c r="L81" s="44">
        <f t="shared" si="8"/>
        <v>0</v>
      </c>
      <c r="M81" s="47" t="str">
        <f t="shared" ca="1" si="9"/>
        <v/>
      </c>
    </row>
    <row r="82" spans="2:13" ht="14.5" x14ac:dyDescent="0.45">
      <c r="B82" s="32" t="s">
        <v>298</v>
      </c>
      <c r="D82" s="43">
        <f t="shared" si="7"/>
        <v>44742.104166666664</v>
      </c>
      <c r="G82" s="43">
        <f t="shared" si="10"/>
        <v>44741.458333333147</v>
      </c>
      <c r="H82" s="44"/>
      <c r="J82" s="43">
        <f t="shared" si="11"/>
        <v>44743.833333333147</v>
      </c>
      <c r="K82" s="44" t="b">
        <f t="shared" ca="1" si="6"/>
        <v>0</v>
      </c>
      <c r="L82" s="44">
        <f t="shared" si="8"/>
        <v>0</v>
      </c>
      <c r="M82" s="47" t="str">
        <f t="shared" ca="1" si="9"/>
        <v/>
      </c>
    </row>
    <row r="83" spans="2:13" ht="14.5" x14ac:dyDescent="0.45">
      <c r="B83" s="32" t="s">
        <v>299</v>
      </c>
      <c r="D83" s="43">
        <f t="shared" si="7"/>
        <v>44742.125</v>
      </c>
      <c r="G83" s="43">
        <f t="shared" si="10"/>
        <v>44741.468749999811</v>
      </c>
      <c r="H83" s="44"/>
      <c r="J83" s="43">
        <f t="shared" si="11"/>
        <v>44743.874999999811</v>
      </c>
      <c r="K83" s="44" t="b">
        <f t="shared" ca="1" si="6"/>
        <v>0</v>
      </c>
      <c r="L83" s="44">
        <f t="shared" si="8"/>
        <v>0</v>
      </c>
      <c r="M83" s="47" t="str">
        <f t="shared" ca="1" si="9"/>
        <v/>
      </c>
    </row>
    <row r="84" spans="2:13" ht="14.5" x14ac:dyDescent="0.45">
      <c r="B84" s="32" t="s">
        <v>300</v>
      </c>
      <c r="D84" s="43">
        <f t="shared" si="7"/>
        <v>44742.135416666664</v>
      </c>
      <c r="G84" s="43">
        <f t="shared" si="10"/>
        <v>44741.479166666475</v>
      </c>
      <c r="H84" s="44"/>
      <c r="J84" s="43">
        <f t="shared" si="11"/>
        <v>44743.916666666475</v>
      </c>
      <c r="K84" s="44" t="b">
        <f t="shared" ca="1" si="6"/>
        <v>0</v>
      </c>
      <c r="L84" s="44">
        <f t="shared" si="8"/>
        <v>0</v>
      </c>
      <c r="M84" s="47" t="str">
        <f t="shared" ca="1" si="9"/>
        <v/>
      </c>
    </row>
    <row r="85" spans="2:13" ht="14.5" x14ac:dyDescent="0.45">
      <c r="B85" s="32" t="s">
        <v>301</v>
      </c>
      <c r="D85" s="43">
        <f t="shared" si="7"/>
        <v>44742.145833333336</v>
      </c>
      <c r="G85" s="43">
        <f t="shared" si="10"/>
        <v>44741.489583333139</v>
      </c>
      <c r="H85" s="44"/>
      <c r="J85" s="43">
        <f t="shared" si="11"/>
        <v>44743.958333333139</v>
      </c>
      <c r="K85" s="44" t="b">
        <f t="shared" ca="1" si="6"/>
        <v>0</v>
      </c>
      <c r="L85" s="44">
        <f t="shared" si="8"/>
        <v>0</v>
      </c>
      <c r="M85" s="47" t="str">
        <f t="shared" ca="1" si="9"/>
        <v/>
      </c>
    </row>
    <row r="86" spans="2:13" ht="14.5" x14ac:dyDescent="0.45">
      <c r="B86" s="32" t="s">
        <v>302</v>
      </c>
      <c r="D86" s="43">
        <f t="shared" si="7"/>
        <v>44742.166666666664</v>
      </c>
      <c r="G86" s="43">
        <f t="shared" si="10"/>
        <v>44741.499999999804</v>
      </c>
      <c r="H86" s="44"/>
      <c r="J86" s="43">
        <f t="shared" si="11"/>
        <v>44743.999999999804</v>
      </c>
      <c r="K86" s="44" t="b">
        <f t="shared" ca="1" si="6"/>
        <v>0</v>
      </c>
      <c r="L86" s="44">
        <f t="shared" si="8"/>
        <v>0</v>
      </c>
      <c r="M86" s="47" t="str">
        <f t="shared" ca="1" si="9"/>
        <v/>
      </c>
    </row>
    <row r="87" spans="2:13" ht="14.5" x14ac:dyDescent="0.45">
      <c r="B87" s="32" t="s">
        <v>303</v>
      </c>
      <c r="D87" s="43">
        <f t="shared" si="7"/>
        <v>44742.177083333336</v>
      </c>
      <c r="G87" s="43">
        <f t="shared" si="10"/>
        <v>44741.510416666468</v>
      </c>
      <c r="H87" s="44"/>
      <c r="J87" s="43">
        <f t="shared" si="11"/>
        <v>44744.041666666468</v>
      </c>
      <c r="K87" s="44" t="b">
        <f t="shared" ca="1" si="6"/>
        <v>0</v>
      </c>
      <c r="L87" s="44">
        <f t="shared" si="8"/>
        <v>0</v>
      </c>
      <c r="M87" s="47" t="str">
        <f t="shared" ca="1" si="9"/>
        <v/>
      </c>
    </row>
    <row r="88" spans="2:13" ht="14.5" x14ac:dyDescent="0.45">
      <c r="B88" s="32" t="s">
        <v>304</v>
      </c>
      <c r="D88" s="43">
        <f t="shared" si="7"/>
        <v>44742.1875</v>
      </c>
      <c r="G88" s="43">
        <f t="shared" si="10"/>
        <v>44741.520833333132</v>
      </c>
      <c r="H88" s="44"/>
      <c r="J88" s="43">
        <f t="shared" si="11"/>
        <v>44744.083333333132</v>
      </c>
      <c r="K88" s="44" t="b">
        <f t="shared" ca="1" si="6"/>
        <v>0</v>
      </c>
      <c r="L88" s="44">
        <f t="shared" si="8"/>
        <v>0</v>
      </c>
      <c r="M88" s="47" t="str">
        <f t="shared" ca="1" si="9"/>
        <v/>
      </c>
    </row>
    <row r="89" spans="2:13" ht="14.5" x14ac:dyDescent="0.45">
      <c r="B89" s="32" t="s">
        <v>305</v>
      </c>
      <c r="D89" s="43">
        <f t="shared" si="7"/>
        <v>44742.197916666664</v>
      </c>
      <c r="G89" s="43">
        <f t="shared" si="10"/>
        <v>44741.531249999796</v>
      </c>
      <c r="H89" s="44"/>
      <c r="J89" s="43">
        <f t="shared" si="11"/>
        <v>44744.124999999796</v>
      </c>
      <c r="K89" s="44" t="b">
        <f t="shared" ca="1" si="6"/>
        <v>0</v>
      </c>
      <c r="L89" s="44">
        <f t="shared" si="8"/>
        <v>0</v>
      </c>
      <c r="M89" s="47" t="str">
        <f t="shared" ca="1" si="9"/>
        <v/>
      </c>
    </row>
    <row r="90" spans="2:13" ht="14.5" x14ac:dyDescent="0.45">
      <c r="B90" s="32" t="s">
        <v>306</v>
      </c>
      <c r="D90" s="43">
        <f t="shared" si="7"/>
        <v>44742.208333333336</v>
      </c>
      <c r="G90" s="43">
        <f t="shared" si="10"/>
        <v>44741.541666666461</v>
      </c>
      <c r="H90" s="44"/>
      <c r="J90" s="43">
        <f t="shared" si="11"/>
        <v>44744.166666666461</v>
      </c>
      <c r="K90" s="44" t="b">
        <f t="shared" ca="1" si="6"/>
        <v>0</v>
      </c>
      <c r="L90" s="44">
        <f t="shared" si="8"/>
        <v>0</v>
      </c>
      <c r="M90" s="47" t="str">
        <f t="shared" ca="1" si="9"/>
        <v/>
      </c>
    </row>
    <row r="91" spans="2:13" ht="14.5" x14ac:dyDescent="0.45">
      <c r="B91" s="32" t="s">
        <v>307</v>
      </c>
      <c r="D91" s="43">
        <f t="shared" si="7"/>
        <v>44742.21875</v>
      </c>
      <c r="G91" s="43">
        <f t="shared" si="10"/>
        <v>44741.552083333125</v>
      </c>
      <c r="H91" s="44"/>
      <c r="J91" s="43">
        <f t="shared" si="11"/>
        <v>44744.208333333125</v>
      </c>
      <c r="K91" s="44" t="b">
        <f t="shared" ca="1" si="6"/>
        <v>0</v>
      </c>
      <c r="L91" s="44">
        <f t="shared" si="8"/>
        <v>0</v>
      </c>
      <c r="M91" s="47" t="str">
        <f t="shared" ca="1" si="9"/>
        <v/>
      </c>
    </row>
    <row r="92" spans="2:13" ht="14.5" x14ac:dyDescent="0.45">
      <c r="B92" s="32" t="s">
        <v>308</v>
      </c>
      <c r="D92" s="43">
        <f t="shared" si="7"/>
        <v>44742.229166666664</v>
      </c>
      <c r="G92" s="43">
        <f t="shared" si="10"/>
        <v>44741.562499999789</v>
      </c>
      <c r="H92" s="44"/>
      <c r="J92" s="43">
        <f t="shared" si="11"/>
        <v>44744.249999999789</v>
      </c>
      <c r="K92" s="44" t="b">
        <f t="shared" ca="1" si="6"/>
        <v>0</v>
      </c>
      <c r="L92" s="44">
        <f t="shared" si="8"/>
        <v>0</v>
      </c>
      <c r="M92" s="47" t="str">
        <f t="shared" ca="1" si="9"/>
        <v/>
      </c>
    </row>
    <row r="93" spans="2:13" ht="14.5" x14ac:dyDescent="0.45">
      <c r="B93" s="32" t="s">
        <v>309</v>
      </c>
      <c r="D93" s="43">
        <f t="shared" si="7"/>
        <v>44742.239583333336</v>
      </c>
      <c r="G93" s="43">
        <f t="shared" si="10"/>
        <v>44741.572916666453</v>
      </c>
      <c r="H93" s="44"/>
      <c r="J93" s="43">
        <f t="shared" si="11"/>
        <v>44744.291666666453</v>
      </c>
      <c r="K93" s="44" t="b">
        <f t="shared" ca="1" si="6"/>
        <v>0</v>
      </c>
      <c r="L93" s="44">
        <f t="shared" si="8"/>
        <v>0</v>
      </c>
      <c r="M93" s="47" t="str">
        <f t="shared" ca="1" si="9"/>
        <v/>
      </c>
    </row>
    <row r="94" spans="2:13" ht="14.5" x14ac:dyDescent="0.45">
      <c r="B94" s="32" t="s">
        <v>310</v>
      </c>
      <c r="D94" s="43">
        <f t="shared" si="7"/>
        <v>44742.25</v>
      </c>
      <c r="G94" s="43">
        <f t="shared" si="10"/>
        <v>44741.583333333117</v>
      </c>
      <c r="H94" s="44"/>
      <c r="J94" s="43">
        <f t="shared" si="11"/>
        <v>44744.333333333117</v>
      </c>
      <c r="K94" s="44" t="b">
        <f t="shared" ca="1" si="6"/>
        <v>0</v>
      </c>
      <c r="L94" s="44">
        <f t="shared" si="8"/>
        <v>0</v>
      </c>
      <c r="M94" s="47" t="str">
        <f t="shared" ca="1" si="9"/>
        <v/>
      </c>
    </row>
    <row r="95" spans="2:13" ht="14.5" x14ac:dyDescent="0.45">
      <c r="B95" s="32" t="s">
        <v>311</v>
      </c>
      <c r="D95" s="43">
        <f t="shared" si="7"/>
        <v>44742.260416666664</v>
      </c>
      <c r="G95" s="43">
        <f t="shared" si="10"/>
        <v>44741.593749999782</v>
      </c>
      <c r="H95" s="44"/>
      <c r="J95" s="43">
        <f t="shared" si="11"/>
        <v>44744.374999999782</v>
      </c>
      <c r="K95" s="44" t="b">
        <f t="shared" ca="1" si="6"/>
        <v>0</v>
      </c>
      <c r="L95" s="44">
        <f t="shared" si="8"/>
        <v>0</v>
      </c>
      <c r="M95" s="47" t="str">
        <f t="shared" ca="1" si="9"/>
        <v/>
      </c>
    </row>
    <row r="96" spans="2:13" ht="14.5" x14ac:dyDescent="0.45">
      <c r="B96" s="32" t="s">
        <v>312</v>
      </c>
      <c r="D96" s="43">
        <f t="shared" si="7"/>
        <v>44742.270833333336</v>
      </c>
      <c r="G96" s="43">
        <f t="shared" si="10"/>
        <v>44741.604166666446</v>
      </c>
      <c r="H96" s="44"/>
      <c r="J96" s="43">
        <f t="shared" si="11"/>
        <v>44744.416666666446</v>
      </c>
      <c r="K96" s="44" t="b">
        <f t="shared" ca="1" si="6"/>
        <v>0</v>
      </c>
      <c r="L96" s="44">
        <f>COUNTIFS($D$6:$D$251,"&gt;="&amp;J96,$D$6:$D$251,"&lt;"&amp;J97)</f>
        <v>0</v>
      </c>
      <c r="M96" s="47" t="str">
        <f t="shared" ca="1" si="9"/>
        <v/>
      </c>
    </row>
    <row r="97" spans="2:8" x14ac:dyDescent="0.45">
      <c r="B97" s="32" t="s">
        <v>313</v>
      </c>
      <c r="D97" s="43">
        <f t="shared" si="7"/>
        <v>44742.28125</v>
      </c>
      <c r="G97" s="43">
        <f t="shared" si="10"/>
        <v>44741.61458333311</v>
      </c>
      <c r="H97" s="44"/>
    </row>
    <row r="98" spans="2:8" x14ac:dyDescent="0.45">
      <c r="B98" s="32" t="s">
        <v>314</v>
      </c>
      <c r="D98" s="43">
        <f t="shared" si="7"/>
        <v>44742.291666666664</v>
      </c>
      <c r="G98" s="43">
        <f t="shared" si="10"/>
        <v>44741.624999999774</v>
      </c>
      <c r="H98" s="44"/>
    </row>
    <row r="99" spans="2:8" x14ac:dyDescent="0.45">
      <c r="B99" s="32" t="s">
        <v>315</v>
      </c>
      <c r="D99" s="43">
        <f t="shared" si="7"/>
        <v>44742.302083333336</v>
      </c>
      <c r="G99" s="43">
        <f t="shared" si="10"/>
        <v>44741.635416666439</v>
      </c>
      <c r="H99" s="44"/>
    </row>
    <row r="100" spans="2:8" x14ac:dyDescent="0.45">
      <c r="B100" s="32" t="s">
        <v>316</v>
      </c>
      <c r="D100" s="43">
        <f t="shared" si="7"/>
        <v>44742.3125</v>
      </c>
      <c r="G100" s="43">
        <f t="shared" si="10"/>
        <v>44741.645833333103</v>
      </c>
      <c r="H100" s="44"/>
    </row>
    <row r="101" spans="2:8" x14ac:dyDescent="0.45">
      <c r="B101" s="32" t="s">
        <v>317</v>
      </c>
      <c r="D101" s="43">
        <f t="shared" si="7"/>
        <v>44742.322916666664</v>
      </c>
      <c r="G101" s="43">
        <f t="shared" si="10"/>
        <v>44741.656249999767</v>
      </c>
      <c r="H101" s="44"/>
    </row>
    <row r="102" spans="2:8" x14ac:dyDescent="0.45">
      <c r="B102" s="32" t="s">
        <v>318</v>
      </c>
      <c r="D102" s="43">
        <f t="shared" si="7"/>
        <v>44742.333333333336</v>
      </c>
      <c r="G102" s="43">
        <f t="shared" si="10"/>
        <v>44741.666666666431</v>
      </c>
      <c r="H102" s="44"/>
    </row>
    <row r="103" spans="2:8" x14ac:dyDescent="0.45">
      <c r="B103" s="32" t="s">
        <v>319</v>
      </c>
      <c r="D103" s="43">
        <f t="shared" si="7"/>
        <v>44742.34375</v>
      </c>
      <c r="G103" s="43">
        <f t="shared" si="10"/>
        <v>44741.677083333096</v>
      </c>
      <c r="H103" s="44"/>
    </row>
    <row r="104" spans="2:8" x14ac:dyDescent="0.45">
      <c r="B104" s="32" t="s">
        <v>320</v>
      </c>
      <c r="D104" s="43">
        <f t="shared" si="7"/>
        <v>44742.364583333336</v>
      </c>
      <c r="G104" s="43">
        <f t="shared" si="10"/>
        <v>44741.68749999976</v>
      </c>
      <c r="H104" s="44"/>
    </row>
    <row r="105" spans="2:8" x14ac:dyDescent="0.45">
      <c r="B105" s="32" t="s">
        <v>321</v>
      </c>
      <c r="D105" s="43">
        <f t="shared" si="7"/>
        <v>44742.395833333336</v>
      </c>
      <c r="G105" s="43">
        <f t="shared" si="10"/>
        <v>44741.697916666424</v>
      </c>
      <c r="H105" s="44"/>
    </row>
    <row r="106" spans="2:8" x14ac:dyDescent="0.45">
      <c r="B106" s="32" t="s">
        <v>322</v>
      </c>
      <c r="D106" s="43">
        <f t="shared" si="7"/>
        <v>44742.40625</v>
      </c>
      <c r="G106" s="43">
        <f t="shared" si="10"/>
        <v>44741.708333333088</v>
      </c>
      <c r="H106" s="44"/>
    </row>
    <row r="107" spans="2:8" x14ac:dyDescent="0.45">
      <c r="B107" s="32" t="s">
        <v>323</v>
      </c>
      <c r="D107" s="43">
        <f t="shared" si="7"/>
        <v>44742.416666666664</v>
      </c>
      <c r="G107" s="43">
        <f t="shared" si="10"/>
        <v>44741.718749999753</v>
      </c>
      <c r="H107" s="44"/>
    </row>
    <row r="108" spans="2:8" x14ac:dyDescent="0.45">
      <c r="B108" s="32" t="s">
        <v>324</v>
      </c>
      <c r="D108" s="43">
        <f t="shared" si="7"/>
        <v>44742.427083333336</v>
      </c>
      <c r="G108" s="43">
        <f t="shared" si="10"/>
        <v>44741.729166666417</v>
      </c>
      <c r="H108" s="44"/>
    </row>
    <row r="109" spans="2:8" x14ac:dyDescent="0.45">
      <c r="B109" s="32" t="s">
        <v>325</v>
      </c>
      <c r="D109" s="43">
        <f t="shared" si="7"/>
        <v>44742.447916666664</v>
      </c>
      <c r="G109" s="43">
        <f t="shared" si="10"/>
        <v>44741.739583333081</v>
      </c>
      <c r="H109" s="44"/>
    </row>
    <row r="110" spans="2:8" x14ac:dyDescent="0.45">
      <c r="B110" s="32" t="s">
        <v>334</v>
      </c>
      <c r="D110" s="43">
        <f t="shared" si="7"/>
        <v>44742.456250000003</v>
      </c>
      <c r="G110" s="43">
        <f t="shared" si="10"/>
        <v>44741.749999999745</v>
      </c>
      <c r="H110" s="44"/>
    </row>
    <row r="111" spans="2:8" x14ac:dyDescent="0.45">
      <c r="B111" s="32" t="s">
        <v>326</v>
      </c>
      <c r="D111" s="43">
        <f t="shared" si="7"/>
        <v>44742.458333333336</v>
      </c>
      <c r="G111" s="43">
        <f t="shared" si="10"/>
        <v>44741.76041666641</v>
      </c>
      <c r="H111" s="44"/>
    </row>
    <row r="112" spans="2:8" x14ac:dyDescent="0.45">
      <c r="B112" s="32" t="s">
        <v>327</v>
      </c>
      <c r="D112" s="43">
        <f t="shared" si="7"/>
        <v>44742.46875</v>
      </c>
      <c r="G112" s="43">
        <f t="shared" si="10"/>
        <v>44741.770833333074</v>
      </c>
      <c r="H112" s="44"/>
    </row>
    <row r="113" spans="2:8" x14ac:dyDescent="0.45">
      <c r="B113" s="32" t="s">
        <v>328</v>
      </c>
      <c r="D113" s="43">
        <f t="shared" si="7"/>
        <v>44742.479166666664</v>
      </c>
      <c r="G113" s="43">
        <f t="shared" si="10"/>
        <v>44741.781249999738</v>
      </c>
      <c r="H113" s="44"/>
    </row>
    <row r="114" spans="2:8" x14ac:dyDescent="0.45">
      <c r="B114" s="32" t="s">
        <v>335</v>
      </c>
      <c r="D114" s="43">
        <f t="shared" si="7"/>
        <v>44742.489583333336</v>
      </c>
      <c r="G114" s="43">
        <f t="shared" si="10"/>
        <v>44741.791666666402</v>
      </c>
      <c r="H114" s="44"/>
    </row>
    <row r="115" spans="2:8" x14ac:dyDescent="0.45">
      <c r="B115" s="32" t="s">
        <v>329</v>
      </c>
      <c r="D115" s="43">
        <f t="shared" si="7"/>
        <v>44742.5</v>
      </c>
      <c r="G115" s="43">
        <f t="shared" si="10"/>
        <v>44741.802083333067</v>
      </c>
      <c r="H115" s="44"/>
    </row>
    <row r="116" spans="2:8" x14ac:dyDescent="0.45">
      <c r="B116" s="32" t="s">
        <v>330</v>
      </c>
      <c r="D116" s="43">
        <f t="shared" si="7"/>
        <v>44742.510416666664</v>
      </c>
      <c r="G116" s="43">
        <f t="shared" si="10"/>
        <v>44741.812499999731</v>
      </c>
      <c r="H116" s="44"/>
    </row>
    <row r="117" spans="2:8" x14ac:dyDescent="0.45">
      <c r="B117" s="32" t="s">
        <v>331</v>
      </c>
      <c r="D117" s="43">
        <f t="shared" si="7"/>
        <v>44742.520833333336</v>
      </c>
      <c r="G117" s="43">
        <f t="shared" si="10"/>
        <v>44741.822916666395</v>
      </c>
      <c r="H117" s="44"/>
    </row>
    <row r="118" spans="2:8" x14ac:dyDescent="0.45">
      <c r="B118" s="32" t="s">
        <v>332</v>
      </c>
      <c r="D118" s="43">
        <f t="shared" si="7"/>
        <v>44742.53125</v>
      </c>
      <c r="G118" s="43">
        <f t="shared" si="10"/>
        <v>44741.833333333059</v>
      </c>
      <c r="H118" s="44"/>
    </row>
    <row r="119" spans="2:8" x14ac:dyDescent="0.45">
      <c r="B119" s="32" t="s">
        <v>336</v>
      </c>
      <c r="D119" s="43">
        <f t="shared" si="7"/>
        <v>44742.541666666664</v>
      </c>
      <c r="G119" s="43">
        <f t="shared" si="10"/>
        <v>44741.843749999724</v>
      </c>
      <c r="H119" s="44"/>
    </row>
    <row r="120" spans="2:8" x14ac:dyDescent="0.45">
      <c r="B120" s="32" t="s">
        <v>337</v>
      </c>
      <c r="D120" s="43">
        <f t="shared" si="7"/>
        <v>44742.552083333336</v>
      </c>
      <c r="G120" s="43">
        <f t="shared" si="10"/>
        <v>44741.854166666388</v>
      </c>
      <c r="H120" s="44"/>
    </row>
    <row r="121" spans="2:8" x14ac:dyDescent="0.45">
      <c r="B121" s="32" t="s">
        <v>29</v>
      </c>
      <c r="D121" s="43" t="str">
        <f t="shared" si="7"/>
        <v/>
      </c>
      <c r="G121" s="43">
        <f t="shared" si="10"/>
        <v>44741.864583333052</v>
      </c>
      <c r="H121" s="44"/>
    </row>
    <row r="122" spans="2:8" x14ac:dyDescent="0.45">
      <c r="B122" s="32" t="s">
        <v>30</v>
      </c>
      <c r="D122" s="43" t="str">
        <f t="shared" si="7"/>
        <v/>
      </c>
      <c r="G122" s="43">
        <f t="shared" si="10"/>
        <v>44741.874999999716</v>
      </c>
      <c r="H122" s="44"/>
    </row>
    <row r="123" spans="2:8" x14ac:dyDescent="0.45">
      <c r="B123" s="32" t="s">
        <v>31</v>
      </c>
      <c r="D123" s="43" t="str">
        <f t="shared" si="7"/>
        <v/>
      </c>
      <c r="G123" s="43">
        <f t="shared" si="10"/>
        <v>44741.88541666638</v>
      </c>
      <c r="H123" s="44"/>
    </row>
    <row r="124" spans="2:8" x14ac:dyDescent="0.45">
      <c r="D124" s="43" t="str">
        <f t="shared" si="7"/>
        <v/>
      </c>
      <c r="G124" s="43">
        <f t="shared" si="10"/>
        <v>44741.895833333045</v>
      </c>
      <c r="H124" s="44"/>
    </row>
    <row r="125" spans="2:8" x14ac:dyDescent="0.45">
      <c r="D125" s="43" t="str">
        <f t="shared" si="7"/>
        <v/>
      </c>
      <c r="G125" s="43">
        <f t="shared" si="10"/>
        <v>44741.906249999709</v>
      </c>
      <c r="H125" s="44"/>
    </row>
    <row r="126" spans="2:8" x14ac:dyDescent="0.45">
      <c r="D126" s="43" t="str">
        <f t="shared" si="7"/>
        <v/>
      </c>
      <c r="G126" s="43">
        <f t="shared" si="10"/>
        <v>44741.916666666373</v>
      </c>
      <c r="H126" s="44"/>
    </row>
    <row r="127" spans="2:8" x14ac:dyDescent="0.45">
      <c r="D127" s="43" t="str">
        <f t="shared" si="7"/>
        <v/>
      </c>
      <c r="G127" s="43">
        <f t="shared" si="10"/>
        <v>44741.927083333037</v>
      </c>
      <c r="H127" s="44"/>
    </row>
    <row r="128" spans="2:8" x14ac:dyDescent="0.45">
      <c r="D128" s="43" t="str">
        <f t="shared" si="7"/>
        <v/>
      </c>
      <c r="G128" s="43">
        <f t="shared" si="10"/>
        <v>44741.937499999702</v>
      </c>
      <c r="H128" s="44"/>
    </row>
    <row r="129" spans="4:8" x14ac:dyDescent="0.45">
      <c r="D129" s="43" t="str">
        <f t="shared" si="7"/>
        <v/>
      </c>
      <c r="G129" s="43">
        <f t="shared" si="10"/>
        <v>44741.947916666366</v>
      </c>
      <c r="H129" s="44"/>
    </row>
    <row r="130" spans="4:8" x14ac:dyDescent="0.45">
      <c r="D130" s="43" t="str">
        <f t="shared" si="7"/>
        <v/>
      </c>
      <c r="G130" s="43">
        <f t="shared" si="10"/>
        <v>44741.95833333303</v>
      </c>
      <c r="H130" s="44"/>
    </row>
    <row r="131" spans="4:8" x14ac:dyDescent="0.45">
      <c r="D131" s="43" t="str">
        <f t="shared" si="7"/>
        <v/>
      </c>
      <c r="G131" s="43">
        <f t="shared" si="10"/>
        <v>44741.968749999694</v>
      </c>
      <c r="H131" s="44"/>
    </row>
    <row r="132" spans="4:8" x14ac:dyDescent="0.45">
      <c r="D132" s="43" t="str">
        <f t="shared" si="7"/>
        <v/>
      </c>
      <c r="G132" s="43">
        <f t="shared" si="10"/>
        <v>44741.979166666359</v>
      </c>
      <c r="H132" s="44"/>
    </row>
    <row r="133" spans="4:8" x14ac:dyDescent="0.45">
      <c r="D133" s="43" t="str">
        <f t="shared" si="7"/>
        <v/>
      </c>
      <c r="G133" s="43">
        <f t="shared" si="10"/>
        <v>44741.989583333023</v>
      </c>
      <c r="H133" s="44"/>
    </row>
    <row r="134" spans="4:8" x14ac:dyDescent="0.45">
      <c r="D134" s="43" t="str">
        <f t="shared" si="7"/>
        <v/>
      </c>
      <c r="G134" s="43">
        <f t="shared" si="10"/>
        <v>44741.999999999687</v>
      </c>
      <c r="H134" s="44"/>
    </row>
    <row r="135" spans="4:8" x14ac:dyDescent="0.45">
      <c r="D135" s="43" t="str">
        <f t="shared" ref="D135:D198" si="12">IFERROR(DATE(LEFT(B135,4),MID(B135,5,2),MID(B135,7,2))+TIME(MID(B135,9,2),MID(B135,11,2),MID(B135,13,2)),"")</f>
        <v/>
      </c>
      <c r="G135" s="43">
        <f t="shared" si="10"/>
        <v>44742.010416666351</v>
      </c>
      <c r="H135" s="44"/>
    </row>
    <row r="136" spans="4:8" x14ac:dyDescent="0.45">
      <c r="D136" s="43" t="str">
        <f t="shared" si="12"/>
        <v/>
      </c>
      <c r="G136" s="43">
        <f t="shared" ref="G136:G199" si="13">G135+TIME(0,15,0)</f>
        <v>44742.020833333016</v>
      </c>
      <c r="H136" s="44"/>
    </row>
    <row r="137" spans="4:8" x14ac:dyDescent="0.45">
      <c r="D137" s="43" t="str">
        <f t="shared" si="12"/>
        <v/>
      </c>
      <c r="G137" s="43">
        <f t="shared" si="13"/>
        <v>44742.03124999968</v>
      </c>
      <c r="H137" s="44"/>
    </row>
    <row r="138" spans="4:8" x14ac:dyDescent="0.45">
      <c r="D138" s="43" t="str">
        <f t="shared" si="12"/>
        <v/>
      </c>
      <c r="G138" s="43">
        <f t="shared" si="13"/>
        <v>44742.041666666344</v>
      </c>
      <c r="H138" s="44"/>
    </row>
    <row r="139" spans="4:8" x14ac:dyDescent="0.45">
      <c r="D139" s="43" t="str">
        <f t="shared" si="12"/>
        <v/>
      </c>
      <c r="G139" s="43">
        <f t="shared" si="13"/>
        <v>44742.052083333008</v>
      </c>
      <c r="H139" s="44"/>
    </row>
    <row r="140" spans="4:8" x14ac:dyDescent="0.45">
      <c r="D140" s="43" t="str">
        <f t="shared" si="12"/>
        <v/>
      </c>
      <c r="G140" s="43">
        <f t="shared" si="13"/>
        <v>44742.062499999673</v>
      </c>
      <c r="H140" s="44"/>
    </row>
    <row r="141" spans="4:8" x14ac:dyDescent="0.45">
      <c r="D141" s="43" t="str">
        <f t="shared" si="12"/>
        <v/>
      </c>
      <c r="G141" s="43">
        <f t="shared" si="13"/>
        <v>44742.072916666337</v>
      </c>
      <c r="H141" s="44"/>
    </row>
    <row r="142" spans="4:8" x14ac:dyDescent="0.45">
      <c r="D142" s="43" t="str">
        <f t="shared" si="12"/>
        <v/>
      </c>
      <c r="G142" s="43">
        <f t="shared" si="13"/>
        <v>44742.083333333001</v>
      </c>
      <c r="H142" s="44"/>
    </row>
    <row r="143" spans="4:8" x14ac:dyDescent="0.45">
      <c r="D143" s="43" t="str">
        <f t="shared" si="12"/>
        <v/>
      </c>
      <c r="G143" s="43">
        <f t="shared" si="13"/>
        <v>44742.093749999665</v>
      </c>
      <c r="H143" s="44"/>
    </row>
    <row r="144" spans="4:8" x14ac:dyDescent="0.45">
      <c r="D144" s="43" t="str">
        <f t="shared" si="12"/>
        <v/>
      </c>
      <c r="G144" s="43">
        <f t="shared" si="13"/>
        <v>44742.10416666633</v>
      </c>
      <c r="H144" s="44"/>
    </row>
    <row r="145" spans="4:8" x14ac:dyDescent="0.45">
      <c r="D145" s="43" t="str">
        <f t="shared" si="12"/>
        <v/>
      </c>
      <c r="G145" s="43">
        <f t="shared" si="13"/>
        <v>44742.114583332994</v>
      </c>
      <c r="H145" s="44"/>
    </row>
    <row r="146" spans="4:8" x14ac:dyDescent="0.45">
      <c r="D146" s="43" t="str">
        <f t="shared" si="12"/>
        <v/>
      </c>
      <c r="G146" s="43">
        <f t="shared" si="13"/>
        <v>44742.124999999658</v>
      </c>
      <c r="H146" s="44"/>
    </row>
    <row r="147" spans="4:8" x14ac:dyDescent="0.45">
      <c r="D147" s="43" t="str">
        <f t="shared" si="12"/>
        <v/>
      </c>
      <c r="G147" s="43">
        <f t="shared" si="13"/>
        <v>44742.135416666322</v>
      </c>
      <c r="H147" s="44"/>
    </row>
    <row r="148" spans="4:8" x14ac:dyDescent="0.45">
      <c r="D148" s="43" t="str">
        <f t="shared" si="12"/>
        <v/>
      </c>
      <c r="G148" s="43">
        <f t="shared" si="13"/>
        <v>44742.145833332987</v>
      </c>
      <c r="H148" s="44"/>
    </row>
    <row r="149" spans="4:8" x14ac:dyDescent="0.45">
      <c r="D149" s="43" t="str">
        <f t="shared" si="12"/>
        <v/>
      </c>
      <c r="G149" s="43">
        <f t="shared" si="13"/>
        <v>44742.156249999651</v>
      </c>
      <c r="H149" s="44"/>
    </row>
    <row r="150" spans="4:8" x14ac:dyDescent="0.45">
      <c r="D150" s="43" t="str">
        <f t="shared" si="12"/>
        <v/>
      </c>
      <c r="G150" s="43">
        <f t="shared" si="13"/>
        <v>44742.166666666315</v>
      </c>
      <c r="H150" s="44"/>
    </row>
    <row r="151" spans="4:8" x14ac:dyDescent="0.45">
      <c r="D151" s="43" t="str">
        <f t="shared" si="12"/>
        <v/>
      </c>
      <c r="G151" s="43">
        <f t="shared" si="13"/>
        <v>44742.177083332979</v>
      </c>
      <c r="H151" s="44"/>
    </row>
    <row r="152" spans="4:8" x14ac:dyDescent="0.45">
      <c r="D152" s="43" t="str">
        <f t="shared" si="12"/>
        <v/>
      </c>
      <c r="G152" s="43">
        <f t="shared" si="13"/>
        <v>44742.187499999643</v>
      </c>
      <c r="H152" s="44"/>
    </row>
    <row r="153" spans="4:8" x14ac:dyDescent="0.45">
      <c r="D153" s="43" t="str">
        <f t="shared" si="12"/>
        <v/>
      </c>
      <c r="G153" s="43">
        <f t="shared" si="13"/>
        <v>44742.197916666308</v>
      </c>
      <c r="H153" s="44"/>
    </row>
    <row r="154" spans="4:8" x14ac:dyDescent="0.45">
      <c r="D154" s="43" t="str">
        <f t="shared" si="12"/>
        <v/>
      </c>
      <c r="G154" s="43">
        <f t="shared" si="13"/>
        <v>44742.208333332972</v>
      </c>
      <c r="H154" s="44"/>
    </row>
    <row r="155" spans="4:8" x14ac:dyDescent="0.45">
      <c r="D155" s="43" t="str">
        <f t="shared" si="12"/>
        <v/>
      </c>
      <c r="G155" s="43">
        <f t="shared" si="13"/>
        <v>44742.218749999636</v>
      </c>
      <c r="H155" s="44"/>
    </row>
    <row r="156" spans="4:8" x14ac:dyDescent="0.45">
      <c r="D156" s="43" t="str">
        <f t="shared" si="12"/>
        <v/>
      </c>
      <c r="G156" s="43">
        <f t="shared" si="13"/>
        <v>44742.2291666663</v>
      </c>
      <c r="H156" s="44"/>
    </row>
    <row r="157" spans="4:8" x14ac:dyDescent="0.45">
      <c r="D157" s="43" t="str">
        <f t="shared" si="12"/>
        <v/>
      </c>
      <c r="G157" s="43">
        <f t="shared" si="13"/>
        <v>44742.239583332965</v>
      </c>
      <c r="H157" s="44"/>
    </row>
    <row r="158" spans="4:8" x14ac:dyDescent="0.45">
      <c r="D158" s="43" t="str">
        <f t="shared" si="12"/>
        <v/>
      </c>
      <c r="G158" s="43">
        <f t="shared" si="13"/>
        <v>44742.249999999629</v>
      </c>
      <c r="H158" s="44"/>
    </row>
    <row r="159" spans="4:8" x14ac:dyDescent="0.45">
      <c r="D159" s="43" t="str">
        <f t="shared" si="12"/>
        <v/>
      </c>
      <c r="G159" s="43">
        <f t="shared" si="13"/>
        <v>44742.260416666293</v>
      </c>
      <c r="H159" s="44"/>
    </row>
    <row r="160" spans="4:8" x14ac:dyDescent="0.45">
      <c r="D160" s="43" t="str">
        <f t="shared" si="12"/>
        <v/>
      </c>
      <c r="G160" s="43">
        <f t="shared" si="13"/>
        <v>44742.270833332957</v>
      </c>
      <c r="H160" s="44"/>
    </row>
    <row r="161" spans="4:8" x14ac:dyDescent="0.45">
      <c r="D161" s="43" t="str">
        <f t="shared" si="12"/>
        <v/>
      </c>
      <c r="G161" s="43">
        <f t="shared" si="13"/>
        <v>44742.281249999622</v>
      </c>
      <c r="H161" s="44"/>
    </row>
    <row r="162" spans="4:8" x14ac:dyDescent="0.45">
      <c r="D162" s="43" t="str">
        <f t="shared" si="12"/>
        <v/>
      </c>
      <c r="G162" s="43">
        <f t="shared" si="13"/>
        <v>44742.291666666286</v>
      </c>
      <c r="H162" s="44"/>
    </row>
    <row r="163" spans="4:8" x14ac:dyDescent="0.45">
      <c r="D163" s="43" t="str">
        <f t="shared" si="12"/>
        <v/>
      </c>
      <c r="G163" s="43">
        <f t="shared" si="13"/>
        <v>44742.30208333295</v>
      </c>
      <c r="H163" s="44"/>
    </row>
    <row r="164" spans="4:8" x14ac:dyDescent="0.45">
      <c r="D164" s="43" t="str">
        <f t="shared" si="12"/>
        <v/>
      </c>
      <c r="G164" s="43">
        <f t="shared" si="13"/>
        <v>44742.312499999614</v>
      </c>
      <c r="H164" s="44"/>
    </row>
    <row r="165" spans="4:8" x14ac:dyDescent="0.45">
      <c r="D165" s="43" t="str">
        <f t="shared" si="12"/>
        <v/>
      </c>
      <c r="G165" s="43">
        <f t="shared" si="13"/>
        <v>44742.322916666279</v>
      </c>
      <c r="H165" s="44"/>
    </row>
    <row r="166" spans="4:8" x14ac:dyDescent="0.45">
      <c r="D166" s="43" t="str">
        <f t="shared" si="12"/>
        <v/>
      </c>
      <c r="G166" s="43">
        <f t="shared" si="13"/>
        <v>44742.333333332943</v>
      </c>
      <c r="H166" s="44"/>
    </row>
    <row r="167" spans="4:8" x14ac:dyDescent="0.45">
      <c r="D167" s="43" t="str">
        <f t="shared" si="12"/>
        <v/>
      </c>
      <c r="G167" s="43">
        <f t="shared" si="13"/>
        <v>44742.343749999607</v>
      </c>
      <c r="H167" s="44"/>
    </row>
    <row r="168" spans="4:8" x14ac:dyDescent="0.45">
      <c r="D168" s="43" t="str">
        <f t="shared" si="12"/>
        <v/>
      </c>
      <c r="G168" s="43">
        <f t="shared" si="13"/>
        <v>44742.354166666271</v>
      </c>
      <c r="H168" s="44"/>
    </row>
    <row r="169" spans="4:8" x14ac:dyDescent="0.45">
      <c r="D169" s="43" t="str">
        <f t="shared" si="12"/>
        <v/>
      </c>
      <c r="G169" s="43">
        <f t="shared" si="13"/>
        <v>44742.364583332936</v>
      </c>
      <c r="H169" s="44"/>
    </row>
    <row r="170" spans="4:8" x14ac:dyDescent="0.45">
      <c r="D170" s="43" t="str">
        <f t="shared" si="12"/>
        <v/>
      </c>
      <c r="G170" s="43">
        <f t="shared" si="13"/>
        <v>44742.3749999996</v>
      </c>
      <c r="H170" s="44"/>
    </row>
    <row r="171" spans="4:8" x14ac:dyDescent="0.45">
      <c r="D171" s="43" t="str">
        <f t="shared" si="12"/>
        <v/>
      </c>
      <c r="G171" s="43">
        <f t="shared" si="13"/>
        <v>44742.385416666264</v>
      </c>
      <c r="H171" s="44"/>
    </row>
    <row r="172" spans="4:8" x14ac:dyDescent="0.45">
      <c r="D172" s="43" t="str">
        <f t="shared" si="12"/>
        <v/>
      </c>
      <c r="G172" s="43">
        <f t="shared" si="13"/>
        <v>44742.395833332928</v>
      </c>
      <c r="H172" s="44"/>
    </row>
    <row r="173" spans="4:8" x14ac:dyDescent="0.45">
      <c r="D173" s="43" t="str">
        <f t="shared" si="12"/>
        <v/>
      </c>
      <c r="G173" s="43">
        <f t="shared" si="13"/>
        <v>44742.406249999593</v>
      </c>
      <c r="H173" s="44"/>
    </row>
    <row r="174" spans="4:8" x14ac:dyDescent="0.45">
      <c r="D174" s="43" t="str">
        <f t="shared" si="12"/>
        <v/>
      </c>
      <c r="G174" s="43">
        <f t="shared" si="13"/>
        <v>44742.416666666257</v>
      </c>
      <c r="H174" s="44"/>
    </row>
    <row r="175" spans="4:8" x14ac:dyDescent="0.45">
      <c r="D175" s="43" t="str">
        <f t="shared" si="12"/>
        <v/>
      </c>
      <c r="G175" s="43">
        <f t="shared" si="13"/>
        <v>44742.427083332921</v>
      </c>
      <c r="H175" s="44"/>
    </row>
    <row r="176" spans="4:8" x14ac:dyDescent="0.45">
      <c r="D176" s="43" t="str">
        <f t="shared" si="12"/>
        <v/>
      </c>
      <c r="G176" s="43">
        <f t="shared" si="13"/>
        <v>44742.437499999585</v>
      </c>
      <c r="H176" s="44"/>
    </row>
    <row r="177" spans="4:8" x14ac:dyDescent="0.45">
      <c r="D177" s="43" t="str">
        <f t="shared" si="12"/>
        <v/>
      </c>
      <c r="G177" s="43">
        <f t="shared" si="13"/>
        <v>44742.44791666625</v>
      </c>
      <c r="H177" s="44"/>
    </row>
    <row r="178" spans="4:8" x14ac:dyDescent="0.45">
      <c r="D178" s="43" t="str">
        <f t="shared" si="12"/>
        <v/>
      </c>
      <c r="G178" s="43">
        <f t="shared" si="13"/>
        <v>44742.458333332914</v>
      </c>
      <c r="H178" s="44"/>
    </row>
    <row r="179" spans="4:8" x14ac:dyDescent="0.45">
      <c r="D179" s="43" t="str">
        <f t="shared" si="12"/>
        <v/>
      </c>
      <c r="G179" s="43">
        <f t="shared" si="13"/>
        <v>44742.468749999578</v>
      </c>
      <c r="H179" s="44"/>
    </row>
    <row r="180" spans="4:8" x14ac:dyDescent="0.45">
      <c r="D180" s="43" t="str">
        <f t="shared" si="12"/>
        <v/>
      </c>
      <c r="G180" s="43">
        <f t="shared" si="13"/>
        <v>44742.479166666242</v>
      </c>
      <c r="H180" s="44"/>
    </row>
    <row r="181" spans="4:8" x14ac:dyDescent="0.45">
      <c r="D181" s="43" t="str">
        <f t="shared" si="12"/>
        <v/>
      </c>
      <c r="G181" s="43">
        <f t="shared" si="13"/>
        <v>44742.489583332906</v>
      </c>
      <c r="H181" s="44"/>
    </row>
    <row r="182" spans="4:8" x14ac:dyDescent="0.45">
      <c r="D182" s="43" t="str">
        <f t="shared" si="12"/>
        <v/>
      </c>
      <c r="G182" s="43">
        <f t="shared" si="13"/>
        <v>44742.499999999571</v>
      </c>
      <c r="H182" s="44"/>
    </row>
    <row r="183" spans="4:8" x14ac:dyDescent="0.45">
      <c r="D183" s="43" t="str">
        <f t="shared" si="12"/>
        <v/>
      </c>
      <c r="G183" s="43">
        <f t="shared" si="13"/>
        <v>44742.510416666235</v>
      </c>
      <c r="H183" s="44"/>
    </row>
    <row r="184" spans="4:8" x14ac:dyDescent="0.45">
      <c r="D184" s="43" t="str">
        <f t="shared" si="12"/>
        <v/>
      </c>
      <c r="G184" s="43">
        <f t="shared" si="13"/>
        <v>44742.520833332899</v>
      </c>
      <c r="H184" s="44"/>
    </row>
    <row r="185" spans="4:8" x14ac:dyDescent="0.45">
      <c r="D185" s="43" t="str">
        <f t="shared" si="12"/>
        <v/>
      </c>
      <c r="G185" s="43">
        <f t="shared" si="13"/>
        <v>44742.531249999563</v>
      </c>
      <c r="H185" s="44"/>
    </row>
    <row r="186" spans="4:8" x14ac:dyDescent="0.45">
      <c r="D186" s="43" t="str">
        <f t="shared" si="12"/>
        <v/>
      </c>
      <c r="G186" s="43">
        <f t="shared" si="13"/>
        <v>44742.541666666228</v>
      </c>
      <c r="H186" s="44"/>
    </row>
    <row r="187" spans="4:8" x14ac:dyDescent="0.45">
      <c r="D187" s="43" t="str">
        <f t="shared" si="12"/>
        <v/>
      </c>
      <c r="G187" s="43">
        <f t="shared" si="13"/>
        <v>44742.552083332892</v>
      </c>
      <c r="H187" s="44"/>
    </row>
    <row r="188" spans="4:8" x14ac:dyDescent="0.45">
      <c r="D188" s="43" t="str">
        <f t="shared" si="12"/>
        <v/>
      </c>
      <c r="G188" s="43">
        <f t="shared" si="13"/>
        <v>44742.562499999556</v>
      </c>
      <c r="H188" s="44"/>
    </row>
    <row r="189" spans="4:8" x14ac:dyDescent="0.45">
      <c r="D189" s="43" t="str">
        <f t="shared" si="12"/>
        <v/>
      </c>
      <c r="G189" s="43">
        <f t="shared" si="13"/>
        <v>44742.57291666622</v>
      </c>
      <c r="H189" s="44"/>
    </row>
    <row r="190" spans="4:8" x14ac:dyDescent="0.45">
      <c r="D190" s="43" t="str">
        <f t="shared" si="12"/>
        <v/>
      </c>
      <c r="G190" s="43">
        <f t="shared" si="13"/>
        <v>44742.583333332885</v>
      </c>
      <c r="H190" s="44"/>
    </row>
    <row r="191" spans="4:8" x14ac:dyDescent="0.45">
      <c r="D191" s="43" t="str">
        <f t="shared" si="12"/>
        <v/>
      </c>
      <c r="G191" s="43">
        <f t="shared" si="13"/>
        <v>44742.593749999549</v>
      </c>
      <c r="H191" s="44"/>
    </row>
    <row r="192" spans="4:8" x14ac:dyDescent="0.45">
      <c r="D192" s="43" t="str">
        <f t="shared" si="12"/>
        <v/>
      </c>
      <c r="G192" s="43">
        <f t="shared" si="13"/>
        <v>44742.604166666213</v>
      </c>
      <c r="H192" s="44"/>
    </row>
    <row r="193" spans="4:8" x14ac:dyDescent="0.45">
      <c r="D193" s="43" t="str">
        <f t="shared" si="12"/>
        <v/>
      </c>
      <c r="G193" s="43">
        <f t="shared" si="13"/>
        <v>44742.614583332877</v>
      </c>
      <c r="H193" s="44"/>
    </row>
    <row r="194" spans="4:8" x14ac:dyDescent="0.45">
      <c r="D194" s="43" t="str">
        <f t="shared" si="12"/>
        <v/>
      </c>
      <c r="G194" s="43">
        <f t="shared" si="13"/>
        <v>44742.624999999542</v>
      </c>
      <c r="H194" s="44"/>
    </row>
    <row r="195" spans="4:8" x14ac:dyDescent="0.45">
      <c r="D195" s="43" t="str">
        <f t="shared" si="12"/>
        <v/>
      </c>
      <c r="G195" s="43">
        <f t="shared" si="13"/>
        <v>44742.635416666206</v>
      </c>
      <c r="H195" s="44"/>
    </row>
    <row r="196" spans="4:8" x14ac:dyDescent="0.45">
      <c r="D196" s="43" t="str">
        <f t="shared" si="12"/>
        <v/>
      </c>
      <c r="G196" s="43">
        <f t="shared" si="13"/>
        <v>44742.64583333287</v>
      </c>
      <c r="H196" s="44"/>
    </row>
    <row r="197" spans="4:8" x14ac:dyDescent="0.45">
      <c r="D197" s="43" t="str">
        <f t="shared" si="12"/>
        <v/>
      </c>
      <c r="G197" s="43">
        <f t="shared" si="13"/>
        <v>44742.656249999534</v>
      </c>
      <c r="H197" s="44"/>
    </row>
    <row r="198" spans="4:8" x14ac:dyDescent="0.45">
      <c r="D198" s="43" t="str">
        <f t="shared" si="12"/>
        <v/>
      </c>
      <c r="G198" s="43">
        <f t="shared" si="13"/>
        <v>44742.666666666199</v>
      </c>
      <c r="H198" s="44"/>
    </row>
    <row r="199" spans="4:8" x14ac:dyDescent="0.45">
      <c r="D199" s="43" t="str">
        <f t="shared" ref="D199:D262" si="14">IFERROR(DATE(LEFT(B199,4),MID(B199,5,2),MID(B199,7,2))+TIME(MID(B199,9,2),MID(B199,11,2),MID(B199,13,2)),"")</f>
        <v/>
      </c>
      <c r="G199" s="43">
        <f t="shared" si="13"/>
        <v>44742.677083332863</v>
      </c>
      <c r="H199" s="44"/>
    </row>
    <row r="200" spans="4:8" x14ac:dyDescent="0.45">
      <c r="D200" s="43" t="str">
        <f t="shared" si="14"/>
        <v/>
      </c>
      <c r="G200" s="43">
        <f t="shared" ref="G200:G263" si="15">G199+TIME(0,15,0)</f>
        <v>44742.687499999527</v>
      </c>
      <c r="H200" s="44"/>
    </row>
    <row r="201" spans="4:8" x14ac:dyDescent="0.45">
      <c r="D201" s="43" t="str">
        <f t="shared" si="14"/>
        <v/>
      </c>
      <c r="G201" s="43">
        <f t="shared" si="15"/>
        <v>44742.697916666191</v>
      </c>
      <c r="H201" s="44"/>
    </row>
    <row r="202" spans="4:8" x14ac:dyDescent="0.45">
      <c r="D202" s="43" t="str">
        <f t="shared" si="14"/>
        <v/>
      </c>
      <c r="G202" s="43">
        <f t="shared" si="15"/>
        <v>44742.708333332856</v>
      </c>
      <c r="H202" s="44"/>
    </row>
    <row r="203" spans="4:8" x14ac:dyDescent="0.45">
      <c r="D203" s="43" t="str">
        <f t="shared" si="14"/>
        <v/>
      </c>
      <c r="G203" s="43">
        <f t="shared" si="15"/>
        <v>44742.71874999952</v>
      </c>
      <c r="H203" s="44"/>
    </row>
    <row r="204" spans="4:8" x14ac:dyDescent="0.45">
      <c r="D204" s="43" t="str">
        <f t="shared" si="14"/>
        <v/>
      </c>
      <c r="G204" s="43">
        <f t="shared" si="15"/>
        <v>44742.729166666184</v>
      </c>
      <c r="H204" s="44"/>
    </row>
    <row r="205" spans="4:8" x14ac:dyDescent="0.45">
      <c r="D205" s="43" t="str">
        <f t="shared" si="14"/>
        <v/>
      </c>
      <c r="G205" s="43">
        <f t="shared" si="15"/>
        <v>44742.739583332848</v>
      </c>
      <c r="H205" s="44"/>
    </row>
    <row r="206" spans="4:8" x14ac:dyDescent="0.45">
      <c r="D206" s="43" t="str">
        <f t="shared" si="14"/>
        <v/>
      </c>
      <c r="G206" s="43">
        <f t="shared" si="15"/>
        <v>44742.749999999513</v>
      </c>
      <c r="H206" s="44"/>
    </row>
    <row r="207" spans="4:8" x14ac:dyDescent="0.45">
      <c r="D207" s="43" t="str">
        <f t="shared" si="14"/>
        <v/>
      </c>
      <c r="G207" s="43">
        <f t="shared" si="15"/>
        <v>44742.760416666177</v>
      </c>
      <c r="H207" s="44"/>
    </row>
    <row r="208" spans="4:8" x14ac:dyDescent="0.45">
      <c r="D208" s="43" t="str">
        <f t="shared" si="14"/>
        <v/>
      </c>
      <c r="G208" s="43">
        <f t="shared" si="15"/>
        <v>44742.770833332841</v>
      </c>
      <c r="H208" s="44"/>
    </row>
    <row r="209" spans="4:8" x14ac:dyDescent="0.45">
      <c r="D209" s="43" t="str">
        <f t="shared" si="14"/>
        <v/>
      </c>
      <c r="G209" s="43">
        <f t="shared" si="15"/>
        <v>44742.781249999505</v>
      </c>
      <c r="H209" s="44"/>
    </row>
    <row r="210" spans="4:8" x14ac:dyDescent="0.45">
      <c r="D210" s="43" t="str">
        <f t="shared" si="14"/>
        <v/>
      </c>
      <c r="G210" s="43">
        <f t="shared" si="15"/>
        <v>44742.791666666169</v>
      </c>
      <c r="H210" s="44"/>
    </row>
    <row r="211" spans="4:8" x14ac:dyDescent="0.45">
      <c r="D211" s="43" t="str">
        <f t="shared" si="14"/>
        <v/>
      </c>
      <c r="G211" s="43">
        <f t="shared" si="15"/>
        <v>44742.802083332834</v>
      </c>
      <c r="H211" s="44"/>
    </row>
    <row r="212" spans="4:8" x14ac:dyDescent="0.45">
      <c r="D212" s="43" t="str">
        <f t="shared" si="14"/>
        <v/>
      </c>
      <c r="G212" s="43">
        <f t="shared" si="15"/>
        <v>44742.812499999498</v>
      </c>
      <c r="H212" s="44"/>
    </row>
    <row r="213" spans="4:8" x14ac:dyDescent="0.45">
      <c r="D213" s="43" t="str">
        <f t="shared" si="14"/>
        <v/>
      </c>
      <c r="G213" s="43">
        <f t="shared" si="15"/>
        <v>44742.822916666162</v>
      </c>
      <c r="H213" s="44"/>
    </row>
    <row r="214" spans="4:8" x14ac:dyDescent="0.45">
      <c r="D214" s="43" t="str">
        <f t="shared" si="14"/>
        <v/>
      </c>
      <c r="G214" s="43">
        <f t="shared" si="15"/>
        <v>44742.833333332826</v>
      </c>
      <c r="H214" s="44"/>
    </row>
    <row r="215" spans="4:8" x14ac:dyDescent="0.45">
      <c r="D215" s="43" t="str">
        <f t="shared" si="14"/>
        <v/>
      </c>
      <c r="G215" s="43">
        <f t="shared" si="15"/>
        <v>44742.843749999491</v>
      </c>
      <c r="H215" s="44"/>
    </row>
    <row r="216" spans="4:8" x14ac:dyDescent="0.45">
      <c r="D216" s="43" t="str">
        <f t="shared" si="14"/>
        <v/>
      </c>
      <c r="G216" s="43">
        <f t="shared" si="15"/>
        <v>44742.854166666155</v>
      </c>
      <c r="H216" s="44"/>
    </row>
    <row r="217" spans="4:8" x14ac:dyDescent="0.45">
      <c r="D217" s="43" t="str">
        <f t="shared" si="14"/>
        <v/>
      </c>
      <c r="G217" s="43">
        <f t="shared" si="15"/>
        <v>44742.864583332819</v>
      </c>
      <c r="H217" s="44"/>
    </row>
    <row r="218" spans="4:8" x14ac:dyDescent="0.45">
      <c r="D218" s="43" t="str">
        <f t="shared" si="14"/>
        <v/>
      </c>
      <c r="G218" s="43">
        <f t="shared" si="15"/>
        <v>44742.874999999483</v>
      </c>
      <c r="H218" s="44"/>
    </row>
    <row r="219" spans="4:8" x14ac:dyDescent="0.45">
      <c r="D219" s="43" t="str">
        <f t="shared" si="14"/>
        <v/>
      </c>
      <c r="G219" s="43">
        <f t="shared" si="15"/>
        <v>44742.885416666148</v>
      </c>
      <c r="H219" s="44"/>
    </row>
    <row r="220" spans="4:8" x14ac:dyDescent="0.45">
      <c r="D220" s="43" t="str">
        <f t="shared" si="14"/>
        <v/>
      </c>
      <c r="G220" s="43">
        <f t="shared" si="15"/>
        <v>44742.895833332812</v>
      </c>
      <c r="H220" s="44"/>
    </row>
    <row r="221" spans="4:8" x14ac:dyDescent="0.45">
      <c r="D221" s="43" t="str">
        <f t="shared" si="14"/>
        <v/>
      </c>
      <c r="G221" s="43">
        <f t="shared" si="15"/>
        <v>44742.906249999476</v>
      </c>
      <c r="H221" s="44"/>
    </row>
    <row r="222" spans="4:8" x14ac:dyDescent="0.45">
      <c r="D222" s="43" t="str">
        <f t="shared" si="14"/>
        <v/>
      </c>
      <c r="G222" s="43">
        <f t="shared" si="15"/>
        <v>44742.91666666614</v>
      </c>
      <c r="H222" s="44"/>
    </row>
    <row r="223" spans="4:8" x14ac:dyDescent="0.45">
      <c r="D223" s="43" t="str">
        <f t="shared" si="14"/>
        <v/>
      </c>
      <c r="G223" s="43">
        <f t="shared" si="15"/>
        <v>44742.927083332805</v>
      </c>
      <c r="H223" s="44"/>
    </row>
    <row r="224" spans="4:8" x14ac:dyDescent="0.45">
      <c r="D224" s="43" t="str">
        <f t="shared" si="14"/>
        <v/>
      </c>
      <c r="G224" s="43">
        <f t="shared" si="15"/>
        <v>44742.937499999469</v>
      </c>
      <c r="H224" s="44"/>
    </row>
    <row r="225" spans="4:8" x14ac:dyDescent="0.45">
      <c r="D225" s="43" t="str">
        <f t="shared" si="14"/>
        <v/>
      </c>
      <c r="G225" s="43">
        <f t="shared" si="15"/>
        <v>44742.947916666133</v>
      </c>
      <c r="H225" s="44"/>
    </row>
    <row r="226" spans="4:8" x14ac:dyDescent="0.45">
      <c r="D226" s="43" t="str">
        <f t="shared" si="14"/>
        <v/>
      </c>
      <c r="G226" s="43">
        <f t="shared" si="15"/>
        <v>44742.958333332797</v>
      </c>
      <c r="H226" s="44"/>
    </row>
    <row r="227" spans="4:8" x14ac:dyDescent="0.45">
      <c r="D227" s="43" t="str">
        <f t="shared" si="14"/>
        <v/>
      </c>
      <c r="G227" s="43">
        <f t="shared" si="15"/>
        <v>44742.968749999462</v>
      </c>
      <c r="H227" s="44"/>
    </row>
    <row r="228" spans="4:8" x14ac:dyDescent="0.45">
      <c r="D228" s="43" t="str">
        <f t="shared" si="14"/>
        <v/>
      </c>
      <c r="G228" s="43">
        <f t="shared" si="15"/>
        <v>44742.979166666126</v>
      </c>
      <c r="H228" s="44"/>
    </row>
    <row r="229" spans="4:8" x14ac:dyDescent="0.45">
      <c r="D229" s="43" t="str">
        <f t="shared" si="14"/>
        <v/>
      </c>
      <c r="G229" s="43">
        <f t="shared" si="15"/>
        <v>44742.98958333279</v>
      </c>
      <c r="H229" s="44"/>
    </row>
    <row r="230" spans="4:8" x14ac:dyDescent="0.45">
      <c r="D230" s="43" t="str">
        <f t="shared" si="14"/>
        <v/>
      </c>
      <c r="G230" s="43">
        <f t="shared" si="15"/>
        <v>44742.999999999454</v>
      </c>
      <c r="H230" s="44"/>
    </row>
    <row r="231" spans="4:8" x14ac:dyDescent="0.45">
      <c r="D231" s="43" t="str">
        <f t="shared" si="14"/>
        <v/>
      </c>
      <c r="G231" s="43">
        <f t="shared" si="15"/>
        <v>44743.010416666119</v>
      </c>
      <c r="H231" s="44"/>
    </row>
    <row r="232" spans="4:8" x14ac:dyDescent="0.45">
      <c r="D232" s="43" t="str">
        <f t="shared" si="14"/>
        <v/>
      </c>
      <c r="G232" s="43">
        <f t="shared" si="15"/>
        <v>44743.020833332783</v>
      </c>
      <c r="H232" s="44"/>
    </row>
    <row r="233" spans="4:8" x14ac:dyDescent="0.45">
      <c r="D233" s="43" t="str">
        <f t="shared" si="14"/>
        <v/>
      </c>
      <c r="G233" s="43">
        <f t="shared" si="15"/>
        <v>44743.031249999447</v>
      </c>
      <c r="H233" s="44"/>
    </row>
    <row r="234" spans="4:8" x14ac:dyDescent="0.45">
      <c r="D234" s="43" t="str">
        <f t="shared" si="14"/>
        <v/>
      </c>
      <c r="G234" s="43">
        <f t="shared" si="15"/>
        <v>44743.041666666111</v>
      </c>
      <c r="H234" s="44"/>
    </row>
    <row r="235" spans="4:8" x14ac:dyDescent="0.45">
      <c r="D235" s="43" t="str">
        <f t="shared" si="14"/>
        <v/>
      </c>
      <c r="G235" s="43">
        <f t="shared" si="15"/>
        <v>44743.052083332776</v>
      </c>
      <c r="H235" s="44"/>
    </row>
    <row r="236" spans="4:8" x14ac:dyDescent="0.45">
      <c r="D236" s="43" t="str">
        <f t="shared" si="14"/>
        <v/>
      </c>
      <c r="G236" s="43">
        <f t="shared" si="15"/>
        <v>44743.06249999944</v>
      </c>
      <c r="H236" s="44"/>
    </row>
    <row r="237" spans="4:8" x14ac:dyDescent="0.45">
      <c r="D237" s="43" t="str">
        <f t="shared" si="14"/>
        <v/>
      </c>
      <c r="G237" s="43">
        <f t="shared" si="15"/>
        <v>44743.072916666104</v>
      </c>
      <c r="H237" s="44"/>
    </row>
    <row r="238" spans="4:8" x14ac:dyDescent="0.45">
      <c r="D238" s="43" t="str">
        <f t="shared" si="14"/>
        <v/>
      </c>
      <c r="G238" s="43">
        <f t="shared" si="15"/>
        <v>44743.083333332768</v>
      </c>
      <c r="H238" s="44"/>
    </row>
    <row r="239" spans="4:8" x14ac:dyDescent="0.45">
      <c r="D239" s="43" t="str">
        <f t="shared" si="14"/>
        <v/>
      </c>
      <c r="G239" s="43">
        <f t="shared" si="15"/>
        <v>44743.093749999432</v>
      </c>
      <c r="H239" s="44"/>
    </row>
    <row r="240" spans="4:8" x14ac:dyDescent="0.45">
      <c r="D240" s="43" t="str">
        <f t="shared" si="14"/>
        <v/>
      </c>
      <c r="G240" s="43">
        <f t="shared" si="15"/>
        <v>44743.104166666097</v>
      </c>
      <c r="H240" s="44"/>
    </row>
    <row r="241" spans="4:8" x14ac:dyDescent="0.45">
      <c r="D241" s="43" t="str">
        <f t="shared" si="14"/>
        <v/>
      </c>
      <c r="G241" s="43">
        <f t="shared" si="15"/>
        <v>44743.114583332761</v>
      </c>
      <c r="H241" s="44"/>
    </row>
    <row r="242" spans="4:8" x14ac:dyDescent="0.45">
      <c r="D242" s="43" t="str">
        <f t="shared" si="14"/>
        <v/>
      </c>
      <c r="G242" s="43">
        <f t="shared" si="15"/>
        <v>44743.124999999425</v>
      </c>
      <c r="H242" s="44"/>
    </row>
    <row r="243" spans="4:8" x14ac:dyDescent="0.45">
      <c r="D243" s="43" t="str">
        <f t="shared" si="14"/>
        <v/>
      </c>
      <c r="G243" s="43">
        <f t="shared" si="15"/>
        <v>44743.135416666089</v>
      </c>
      <c r="H243" s="44"/>
    </row>
    <row r="244" spans="4:8" x14ac:dyDescent="0.45">
      <c r="D244" s="43" t="str">
        <f t="shared" si="14"/>
        <v/>
      </c>
      <c r="G244" s="43">
        <f t="shared" si="15"/>
        <v>44743.145833332754</v>
      </c>
      <c r="H244" s="44"/>
    </row>
    <row r="245" spans="4:8" x14ac:dyDescent="0.45">
      <c r="D245" s="43" t="str">
        <f t="shared" si="14"/>
        <v/>
      </c>
      <c r="G245" s="43">
        <f t="shared" si="15"/>
        <v>44743.156249999418</v>
      </c>
      <c r="H245" s="44"/>
    </row>
    <row r="246" spans="4:8" x14ac:dyDescent="0.45">
      <c r="D246" s="43" t="str">
        <f t="shared" si="14"/>
        <v/>
      </c>
      <c r="G246" s="43">
        <f t="shared" si="15"/>
        <v>44743.166666666082</v>
      </c>
      <c r="H246" s="44"/>
    </row>
    <row r="247" spans="4:8" x14ac:dyDescent="0.45">
      <c r="D247" s="43" t="str">
        <f t="shared" si="14"/>
        <v/>
      </c>
      <c r="G247" s="43">
        <f t="shared" si="15"/>
        <v>44743.177083332746</v>
      </c>
      <c r="H247" s="44"/>
    </row>
    <row r="248" spans="4:8" x14ac:dyDescent="0.45">
      <c r="D248" s="43" t="str">
        <f t="shared" si="14"/>
        <v/>
      </c>
      <c r="G248" s="43">
        <f t="shared" si="15"/>
        <v>44743.187499999411</v>
      </c>
      <c r="H248" s="44"/>
    </row>
    <row r="249" spans="4:8" x14ac:dyDescent="0.45">
      <c r="D249" s="43" t="str">
        <f t="shared" si="14"/>
        <v/>
      </c>
      <c r="G249" s="43">
        <f t="shared" si="15"/>
        <v>44743.197916666075</v>
      </c>
      <c r="H249" s="44"/>
    </row>
    <row r="250" spans="4:8" x14ac:dyDescent="0.45">
      <c r="D250" s="43" t="str">
        <f t="shared" si="14"/>
        <v/>
      </c>
      <c r="G250" s="43">
        <f t="shared" si="15"/>
        <v>44743.208333332739</v>
      </c>
      <c r="H250" s="44"/>
    </row>
    <row r="251" spans="4:8" x14ac:dyDescent="0.45">
      <c r="D251" s="43" t="str">
        <f t="shared" si="14"/>
        <v/>
      </c>
      <c r="G251" s="43">
        <f t="shared" si="15"/>
        <v>44743.218749999403</v>
      </c>
      <c r="H251" s="44"/>
    </row>
    <row r="252" spans="4:8" x14ac:dyDescent="0.45">
      <c r="D252" s="43" t="str">
        <f t="shared" si="14"/>
        <v/>
      </c>
      <c r="G252" s="43">
        <f t="shared" si="15"/>
        <v>44743.229166666068</v>
      </c>
      <c r="H252" s="44"/>
    </row>
    <row r="253" spans="4:8" x14ac:dyDescent="0.45">
      <c r="D253" s="43" t="str">
        <f t="shared" si="14"/>
        <v/>
      </c>
      <c r="G253" s="43">
        <f t="shared" si="15"/>
        <v>44743.239583332732</v>
      </c>
      <c r="H253" s="44"/>
    </row>
    <row r="254" spans="4:8" x14ac:dyDescent="0.45">
      <c r="D254" s="43" t="str">
        <f t="shared" si="14"/>
        <v/>
      </c>
      <c r="G254" s="43">
        <f t="shared" si="15"/>
        <v>44743.249999999396</v>
      </c>
      <c r="H254" s="44"/>
    </row>
    <row r="255" spans="4:8" x14ac:dyDescent="0.45">
      <c r="D255" s="43" t="str">
        <f t="shared" si="14"/>
        <v/>
      </c>
      <c r="G255" s="43">
        <f t="shared" si="15"/>
        <v>44743.26041666606</v>
      </c>
      <c r="H255" s="44"/>
    </row>
    <row r="256" spans="4:8" x14ac:dyDescent="0.45">
      <c r="D256" s="43" t="str">
        <f t="shared" si="14"/>
        <v/>
      </c>
      <c r="G256" s="43">
        <f t="shared" si="15"/>
        <v>44743.270833332725</v>
      </c>
      <c r="H256" s="44"/>
    </row>
    <row r="257" spans="4:8" x14ac:dyDescent="0.45">
      <c r="D257" s="43" t="str">
        <f t="shared" si="14"/>
        <v/>
      </c>
      <c r="G257" s="43">
        <f t="shared" si="15"/>
        <v>44743.281249999389</v>
      </c>
      <c r="H257" s="44"/>
    </row>
    <row r="258" spans="4:8" x14ac:dyDescent="0.45">
      <c r="D258" s="43" t="str">
        <f t="shared" si="14"/>
        <v/>
      </c>
      <c r="G258" s="43">
        <f t="shared" si="15"/>
        <v>44743.291666666053</v>
      </c>
      <c r="H258" s="44"/>
    </row>
    <row r="259" spans="4:8" x14ac:dyDescent="0.45">
      <c r="D259" s="43" t="str">
        <f t="shared" si="14"/>
        <v/>
      </c>
      <c r="G259" s="43">
        <f t="shared" si="15"/>
        <v>44743.302083332717</v>
      </c>
      <c r="H259" s="44"/>
    </row>
    <row r="260" spans="4:8" x14ac:dyDescent="0.45">
      <c r="D260" s="43" t="str">
        <f t="shared" si="14"/>
        <v/>
      </c>
      <c r="G260" s="43">
        <f t="shared" si="15"/>
        <v>44743.312499999382</v>
      </c>
      <c r="H260" s="44"/>
    </row>
    <row r="261" spans="4:8" x14ac:dyDescent="0.45">
      <c r="D261" s="43" t="str">
        <f t="shared" si="14"/>
        <v/>
      </c>
      <c r="G261" s="43">
        <f t="shared" si="15"/>
        <v>44743.322916666046</v>
      </c>
      <c r="H261" s="44"/>
    </row>
    <row r="262" spans="4:8" x14ac:dyDescent="0.45">
      <c r="D262" s="43" t="str">
        <f t="shared" si="14"/>
        <v/>
      </c>
      <c r="G262" s="43">
        <f t="shared" si="15"/>
        <v>44743.33333333271</v>
      </c>
      <c r="H262" s="44"/>
    </row>
    <row r="263" spans="4:8" x14ac:dyDescent="0.45">
      <c r="D263" s="43" t="str">
        <f t="shared" ref="D263:D326" si="16">IFERROR(DATE(LEFT(B263,4),MID(B263,5,2),MID(B263,7,2))+TIME(MID(B263,9,2),MID(B263,11,2),MID(B263,13,2)),"")</f>
        <v/>
      </c>
      <c r="G263" s="43">
        <f t="shared" si="15"/>
        <v>44743.343749999374</v>
      </c>
      <c r="H263" s="44"/>
    </row>
    <row r="264" spans="4:8" x14ac:dyDescent="0.45">
      <c r="D264" s="43" t="str">
        <f t="shared" si="16"/>
        <v/>
      </c>
      <c r="G264" s="43">
        <f t="shared" ref="G264:G327" si="17">G263+TIME(0,15,0)</f>
        <v>44743.354166666039</v>
      </c>
      <c r="H264" s="44"/>
    </row>
    <row r="265" spans="4:8" x14ac:dyDescent="0.45">
      <c r="D265" s="43" t="str">
        <f t="shared" si="16"/>
        <v/>
      </c>
      <c r="G265" s="43">
        <f t="shared" si="17"/>
        <v>44743.364583332703</v>
      </c>
      <c r="H265" s="44"/>
    </row>
    <row r="266" spans="4:8" x14ac:dyDescent="0.45">
      <c r="D266" s="43" t="str">
        <f t="shared" si="16"/>
        <v/>
      </c>
      <c r="G266" s="43">
        <f t="shared" si="17"/>
        <v>44743.374999999367</v>
      </c>
      <c r="H266" s="44"/>
    </row>
    <row r="267" spans="4:8" x14ac:dyDescent="0.45">
      <c r="D267" s="43" t="str">
        <f t="shared" si="16"/>
        <v/>
      </c>
      <c r="G267" s="43">
        <f t="shared" si="17"/>
        <v>44743.385416666031</v>
      </c>
      <c r="H267" s="44"/>
    </row>
    <row r="268" spans="4:8" x14ac:dyDescent="0.45">
      <c r="D268" s="43" t="str">
        <f t="shared" si="16"/>
        <v/>
      </c>
      <c r="G268" s="43">
        <f t="shared" si="17"/>
        <v>44743.395833332695</v>
      </c>
      <c r="H268" s="44"/>
    </row>
    <row r="269" spans="4:8" x14ac:dyDescent="0.45">
      <c r="D269" s="43" t="str">
        <f t="shared" si="16"/>
        <v/>
      </c>
      <c r="G269" s="43">
        <f t="shared" si="17"/>
        <v>44743.40624999936</v>
      </c>
      <c r="H269" s="44"/>
    </row>
    <row r="270" spans="4:8" x14ac:dyDescent="0.45">
      <c r="D270" s="43" t="str">
        <f t="shared" si="16"/>
        <v/>
      </c>
      <c r="G270" s="43">
        <f t="shared" si="17"/>
        <v>44743.416666666024</v>
      </c>
      <c r="H270" s="44"/>
    </row>
    <row r="271" spans="4:8" x14ac:dyDescent="0.45">
      <c r="D271" s="43" t="str">
        <f t="shared" si="16"/>
        <v/>
      </c>
      <c r="G271" s="43">
        <f t="shared" si="17"/>
        <v>44743.427083332688</v>
      </c>
      <c r="H271" s="44"/>
    </row>
    <row r="272" spans="4:8" x14ac:dyDescent="0.45">
      <c r="D272" s="43" t="str">
        <f t="shared" si="16"/>
        <v/>
      </c>
      <c r="G272" s="43">
        <f t="shared" si="17"/>
        <v>44743.437499999352</v>
      </c>
      <c r="H272" s="44"/>
    </row>
    <row r="273" spans="4:8" x14ac:dyDescent="0.45">
      <c r="D273" s="43" t="str">
        <f t="shared" si="16"/>
        <v/>
      </c>
      <c r="G273" s="43">
        <f t="shared" si="17"/>
        <v>44743.447916666017</v>
      </c>
      <c r="H273" s="44"/>
    </row>
    <row r="274" spans="4:8" x14ac:dyDescent="0.45">
      <c r="D274" s="43" t="str">
        <f t="shared" si="16"/>
        <v/>
      </c>
      <c r="G274" s="43">
        <f t="shared" si="17"/>
        <v>44743.458333332681</v>
      </c>
      <c r="H274" s="44"/>
    </row>
    <row r="275" spans="4:8" x14ac:dyDescent="0.45">
      <c r="D275" s="43" t="str">
        <f t="shared" si="16"/>
        <v/>
      </c>
      <c r="G275" s="43">
        <f t="shared" si="17"/>
        <v>44743.468749999345</v>
      </c>
      <c r="H275" s="44"/>
    </row>
    <row r="276" spans="4:8" x14ac:dyDescent="0.45">
      <c r="D276" s="43" t="str">
        <f t="shared" si="16"/>
        <v/>
      </c>
      <c r="G276" s="43">
        <f t="shared" si="17"/>
        <v>44743.479166666009</v>
      </c>
      <c r="H276" s="44"/>
    </row>
    <row r="277" spans="4:8" x14ac:dyDescent="0.45">
      <c r="D277" s="43" t="str">
        <f t="shared" si="16"/>
        <v/>
      </c>
      <c r="G277" s="43">
        <f t="shared" si="17"/>
        <v>44743.489583332674</v>
      </c>
      <c r="H277" s="44"/>
    </row>
    <row r="278" spans="4:8" x14ac:dyDescent="0.45">
      <c r="D278" s="43" t="str">
        <f t="shared" si="16"/>
        <v/>
      </c>
      <c r="G278" s="43">
        <f t="shared" si="17"/>
        <v>44743.499999999338</v>
      </c>
      <c r="H278" s="44"/>
    </row>
    <row r="279" spans="4:8" x14ac:dyDescent="0.45">
      <c r="D279" s="43" t="str">
        <f t="shared" si="16"/>
        <v/>
      </c>
      <c r="G279" s="43">
        <f t="shared" si="17"/>
        <v>44743.510416666002</v>
      </c>
      <c r="H279" s="44"/>
    </row>
    <row r="280" spans="4:8" x14ac:dyDescent="0.45">
      <c r="D280" s="43" t="str">
        <f t="shared" si="16"/>
        <v/>
      </c>
      <c r="G280" s="43">
        <f t="shared" si="17"/>
        <v>44743.520833332666</v>
      </c>
      <c r="H280" s="44"/>
    </row>
    <row r="281" spans="4:8" x14ac:dyDescent="0.45">
      <c r="D281" s="43" t="str">
        <f t="shared" si="16"/>
        <v/>
      </c>
      <c r="G281" s="43">
        <f t="shared" si="17"/>
        <v>44743.531249999331</v>
      </c>
      <c r="H281" s="44"/>
    </row>
    <row r="282" spans="4:8" x14ac:dyDescent="0.45">
      <c r="D282" s="43" t="str">
        <f t="shared" si="16"/>
        <v/>
      </c>
      <c r="G282" s="43">
        <f t="shared" si="17"/>
        <v>44743.541666665995</v>
      </c>
      <c r="H282" s="44"/>
    </row>
    <row r="283" spans="4:8" x14ac:dyDescent="0.45">
      <c r="D283" s="43" t="str">
        <f t="shared" si="16"/>
        <v/>
      </c>
      <c r="G283" s="43">
        <f t="shared" si="17"/>
        <v>44743.552083332659</v>
      </c>
      <c r="H283" s="44"/>
    </row>
    <row r="284" spans="4:8" x14ac:dyDescent="0.45">
      <c r="D284" s="43" t="str">
        <f t="shared" si="16"/>
        <v/>
      </c>
      <c r="G284" s="43">
        <f t="shared" si="17"/>
        <v>44743.562499999323</v>
      </c>
      <c r="H284" s="44"/>
    </row>
    <row r="285" spans="4:8" x14ac:dyDescent="0.45">
      <c r="D285" s="43" t="str">
        <f t="shared" si="16"/>
        <v/>
      </c>
      <c r="G285" s="43">
        <f t="shared" si="17"/>
        <v>44743.572916665988</v>
      </c>
      <c r="H285" s="44"/>
    </row>
    <row r="286" spans="4:8" x14ac:dyDescent="0.45">
      <c r="D286" s="43" t="str">
        <f t="shared" si="16"/>
        <v/>
      </c>
      <c r="G286" s="43">
        <f t="shared" si="17"/>
        <v>44743.583333332652</v>
      </c>
      <c r="H286" s="44"/>
    </row>
    <row r="287" spans="4:8" x14ac:dyDescent="0.45">
      <c r="D287" s="43" t="str">
        <f t="shared" si="16"/>
        <v/>
      </c>
      <c r="G287" s="43">
        <f t="shared" si="17"/>
        <v>44743.593749999316</v>
      </c>
      <c r="H287" s="44"/>
    </row>
    <row r="288" spans="4:8" x14ac:dyDescent="0.45">
      <c r="D288" s="43" t="str">
        <f t="shared" si="16"/>
        <v/>
      </c>
      <c r="G288" s="43">
        <f t="shared" si="17"/>
        <v>44743.60416666598</v>
      </c>
      <c r="H288" s="44"/>
    </row>
    <row r="289" spans="4:8" x14ac:dyDescent="0.45">
      <c r="D289" s="43" t="str">
        <f t="shared" si="16"/>
        <v/>
      </c>
      <c r="G289" s="43">
        <f t="shared" si="17"/>
        <v>44743.614583332645</v>
      </c>
      <c r="H289" s="44"/>
    </row>
    <row r="290" spans="4:8" x14ac:dyDescent="0.45">
      <c r="D290" s="43" t="str">
        <f t="shared" si="16"/>
        <v/>
      </c>
      <c r="G290" s="43">
        <f t="shared" si="17"/>
        <v>44743.624999999309</v>
      </c>
      <c r="H290" s="44"/>
    </row>
    <row r="291" spans="4:8" x14ac:dyDescent="0.45">
      <c r="D291" s="43" t="str">
        <f t="shared" si="16"/>
        <v/>
      </c>
      <c r="G291" s="43">
        <f t="shared" si="17"/>
        <v>44743.635416665973</v>
      </c>
      <c r="H291" s="44"/>
    </row>
    <row r="292" spans="4:8" x14ac:dyDescent="0.45">
      <c r="D292" s="43" t="str">
        <f t="shared" si="16"/>
        <v/>
      </c>
      <c r="G292" s="43">
        <f t="shared" si="17"/>
        <v>44743.645833332637</v>
      </c>
      <c r="H292" s="44"/>
    </row>
    <row r="293" spans="4:8" x14ac:dyDescent="0.45">
      <c r="D293" s="43" t="str">
        <f t="shared" si="16"/>
        <v/>
      </c>
      <c r="G293" s="43">
        <f t="shared" si="17"/>
        <v>44743.656249999302</v>
      </c>
      <c r="H293" s="44"/>
    </row>
    <row r="294" spans="4:8" x14ac:dyDescent="0.45">
      <c r="D294" s="43" t="str">
        <f t="shared" si="16"/>
        <v/>
      </c>
      <c r="G294" s="43">
        <f t="shared" si="17"/>
        <v>44743.666666665966</v>
      </c>
      <c r="H294" s="44"/>
    </row>
    <row r="295" spans="4:8" x14ac:dyDescent="0.45">
      <c r="D295" s="43" t="str">
        <f t="shared" si="16"/>
        <v/>
      </c>
      <c r="G295" s="43">
        <f t="shared" si="17"/>
        <v>44743.67708333263</v>
      </c>
      <c r="H295" s="44"/>
    </row>
    <row r="296" spans="4:8" x14ac:dyDescent="0.45">
      <c r="D296" s="43" t="str">
        <f t="shared" si="16"/>
        <v/>
      </c>
      <c r="G296" s="43">
        <f t="shared" si="17"/>
        <v>44743.687499999294</v>
      </c>
      <c r="H296" s="44"/>
    </row>
    <row r="297" spans="4:8" x14ac:dyDescent="0.45">
      <c r="D297" s="43" t="str">
        <f t="shared" si="16"/>
        <v/>
      </c>
      <c r="G297" s="43">
        <f t="shared" si="17"/>
        <v>44743.697916665958</v>
      </c>
      <c r="H297" s="44"/>
    </row>
    <row r="298" spans="4:8" x14ac:dyDescent="0.45">
      <c r="D298" s="43" t="str">
        <f t="shared" si="16"/>
        <v/>
      </c>
      <c r="G298" s="43">
        <f t="shared" si="17"/>
        <v>44743.708333332623</v>
      </c>
      <c r="H298" s="44"/>
    </row>
    <row r="299" spans="4:8" x14ac:dyDescent="0.45">
      <c r="D299" s="43" t="str">
        <f t="shared" si="16"/>
        <v/>
      </c>
      <c r="G299" s="43">
        <f t="shared" si="17"/>
        <v>44743.718749999287</v>
      </c>
      <c r="H299" s="44"/>
    </row>
    <row r="300" spans="4:8" x14ac:dyDescent="0.45">
      <c r="D300" s="43" t="str">
        <f t="shared" si="16"/>
        <v/>
      </c>
      <c r="G300" s="43">
        <f t="shared" si="17"/>
        <v>44743.729166665951</v>
      </c>
      <c r="H300" s="44"/>
    </row>
    <row r="301" spans="4:8" x14ac:dyDescent="0.45">
      <c r="D301" s="43" t="str">
        <f t="shared" si="16"/>
        <v/>
      </c>
      <c r="G301" s="43">
        <f t="shared" si="17"/>
        <v>44743.739583332615</v>
      </c>
      <c r="H301" s="44"/>
    </row>
    <row r="302" spans="4:8" x14ac:dyDescent="0.45">
      <c r="D302" s="43" t="str">
        <f t="shared" si="16"/>
        <v/>
      </c>
      <c r="G302" s="43">
        <f t="shared" si="17"/>
        <v>44743.74999999928</v>
      </c>
      <c r="H302" s="44"/>
    </row>
    <row r="303" spans="4:8" x14ac:dyDescent="0.45">
      <c r="D303" s="43" t="str">
        <f t="shared" si="16"/>
        <v/>
      </c>
      <c r="G303" s="43">
        <f t="shared" si="17"/>
        <v>44743.760416665944</v>
      </c>
      <c r="H303" s="44"/>
    </row>
    <row r="304" spans="4:8" x14ac:dyDescent="0.45">
      <c r="D304" s="43" t="str">
        <f t="shared" si="16"/>
        <v/>
      </c>
      <c r="G304" s="43">
        <f t="shared" si="17"/>
        <v>44743.770833332608</v>
      </c>
      <c r="H304" s="44"/>
    </row>
    <row r="305" spans="4:8" x14ac:dyDescent="0.45">
      <c r="D305" s="43" t="str">
        <f t="shared" si="16"/>
        <v/>
      </c>
      <c r="G305" s="43">
        <f t="shared" si="17"/>
        <v>44743.781249999272</v>
      </c>
      <c r="H305" s="44"/>
    </row>
    <row r="306" spans="4:8" x14ac:dyDescent="0.45">
      <c r="D306" s="43" t="str">
        <f t="shared" si="16"/>
        <v/>
      </c>
      <c r="G306" s="43">
        <f t="shared" si="17"/>
        <v>44743.791666665937</v>
      </c>
      <c r="H306" s="44"/>
    </row>
    <row r="307" spans="4:8" x14ac:dyDescent="0.45">
      <c r="D307" s="43" t="str">
        <f t="shared" si="16"/>
        <v/>
      </c>
      <c r="G307" s="43">
        <f t="shared" si="17"/>
        <v>44743.802083332601</v>
      </c>
      <c r="H307" s="44"/>
    </row>
    <row r="308" spans="4:8" x14ac:dyDescent="0.45">
      <c r="D308" s="43" t="str">
        <f t="shared" si="16"/>
        <v/>
      </c>
      <c r="G308" s="43">
        <f t="shared" si="17"/>
        <v>44743.812499999265</v>
      </c>
      <c r="H308" s="44"/>
    </row>
    <row r="309" spans="4:8" x14ac:dyDescent="0.45">
      <c r="D309" s="43" t="str">
        <f t="shared" si="16"/>
        <v/>
      </c>
      <c r="G309" s="43">
        <f t="shared" si="17"/>
        <v>44743.822916665929</v>
      </c>
      <c r="H309" s="44"/>
    </row>
    <row r="310" spans="4:8" x14ac:dyDescent="0.45">
      <c r="D310" s="43" t="str">
        <f t="shared" si="16"/>
        <v/>
      </c>
      <c r="G310" s="43">
        <f t="shared" si="17"/>
        <v>44743.833333332594</v>
      </c>
      <c r="H310" s="44"/>
    </row>
    <row r="311" spans="4:8" x14ac:dyDescent="0.45">
      <c r="D311" s="43" t="str">
        <f t="shared" si="16"/>
        <v/>
      </c>
      <c r="G311" s="43">
        <f t="shared" si="17"/>
        <v>44743.843749999258</v>
      </c>
      <c r="H311" s="44"/>
    </row>
    <row r="312" spans="4:8" x14ac:dyDescent="0.45">
      <c r="D312" s="43" t="str">
        <f t="shared" si="16"/>
        <v/>
      </c>
      <c r="G312" s="43">
        <f t="shared" si="17"/>
        <v>44743.854166665922</v>
      </c>
      <c r="H312" s="44"/>
    </row>
    <row r="313" spans="4:8" x14ac:dyDescent="0.45">
      <c r="D313" s="43" t="str">
        <f t="shared" si="16"/>
        <v/>
      </c>
      <c r="G313" s="43">
        <f t="shared" si="17"/>
        <v>44743.864583332586</v>
      </c>
      <c r="H313" s="44"/>
    </row>
    <row r="314" spans="4:8" x14ac:dyDescent="0.45">
      <c r="D314" s="43" t="str">
        <f t="shared" si="16"/>
        <v/>
      </c>
      <c r="G314" s="43">
        <f t="shared" si="17"/>
        <v>44743.874999999251</v>
      </c>
      <c r="H314" s="44"/>
    </row>
    <row r="315" spans="4:8" x14ac:dyDescent="0.45">
      <c r="D315" s="43" t="str">
        <f t="shared" si="16"/>
        <v/>
      </c>
      <c r="G315" s="43">
        <f t="shared" si="17"/>
        <v>44743.885416665915</v>
      </c>
      <c r="H315" s="44"/>
    </row>
    <row r="316" spans="4:8" x14ac:dyDescent="0.45">
      <c r="D316" s="43" t="str">
        <f t="shared" si="16"/>
        <v/>
      </c>
      <c r="G316" s="43">
        <f t="shared" si="17"/>
        <v>44743.895833332579</v>
      </c>
      <c r="H316" s="44"/>
    </row>
    <row r="317" spans="4:8" x14ac:dyDescent="0.45">
      <c r="D317" s="43" t="str">
        <f t="shared" si="16"/>
        <v/>
      </c>
      <c r="G317" s="43">
        <f t="shared" si="17"/>
        <v>44743.906249999243</v>
      </c>
      <c r="H317" s="44"/>
    </row>
    <row r="318" spans="4:8" x14ac:dyDescent="0.45">
      <c r="D318" s="43" t="str">
        <f t="shared" si="16"/>
        <v/>
      </c>
      <c r="G318" s="43">
        <f t="shared" si="17"/>
        <v>44743.916666665908</v>
      </c>
      <c r="H318" s="44"/>
    </row>
    <row r="319" spans="4:8" x14ac:dyDescent="0.45">
      <c r="D319" s="43" t="str">
        <f t="shared" si="16"/>
        <v/>
      </c>
      <c r="G319" s="43">
        <f t="shared" si="17"/>
        <v>44743.927083332572</v>
      </c>
      <c r="H319" s="44"/>
    </row>
    <row r="320" spans="4:8" x14ac:dyDescent="0.45">
      <c r="D320" s="43" t="str">
        <f t="shared" si="16"/>
        <v/>
      </c>
      <c r="G320" s="43">
        <f t="shared" si="17"/>
        <v>44743.937499999236</v>
      </c>
      <c r="H320" s="44"/>
    </row>
    <row r="321" spans="4:8" x14ac:dyDescent="0.45">
      <c r="D321" s="43" t="str">
        <f t="shared" si="16"/>
        <v/>
      </c>
      <c r="G321" s="43">
        <f t="shared" si="17"/>
        <v>44743.9479166659</v>
      </c>
      <c r="H321" s="44"/>
    </row>
    <row r="322" spans="4:8" x14ac:dyDescent="0.45">
      <c r="D322" s="43" t="str">
        <f t="shared" si="16"/>
        <v/>
      </c>
      <c r="G322" s="43">
        <f t="shared" si="17"/>
        <v>44743.958333332565</v>
      </c>
      <c r="H322" s="44"/>
    </row>
    <row r="323" spans="4:8" x14ac:dyDescent="0.45">
      <c r="D323" s="43" t="str">
        <f t="shared" si="16"/>
        <v/>
      </c>
      <c r="G323" s="43">
        <f t="shared" si="17"/>
        <v>44743.968749999229</v>
      </c>
      <c r="H323" s="44"/>
    </row>
    <row r="324" spans="4:8" x14ac:dyDescent="0.45">
      <c r="D324" s="43" t="str">
        <f t="shared" si="16"/>
        <v/>
      </c>
      <c r="G324" s="43">
        <f t="shared" si="17"/>
        <v>44743.979166665893</v>
      </c>
      <c r="H324" s="44"/>
    </row>
    <row r="325" spans="4:8" x14ac:dyDescent="0.45">
      <c r="D325" s="43" t="str">
        <f t="shared" si="16"/>
        <v/>
      </c>
      <c r="G325" s="43">
        <f t="shared" si="17"/>
        <v>44743.989583332557</v>
      </c>
      <c r="H325" s="44"/>
    </row>
    <row r="326" spans="4:8" x14ac:dyDescent="0.45">
      <c r="D326" s="43" t="str">
        <f t="shared" si="16"/>
        <v/>
      </c>
      <c r="G326" s="43">
        <f t="shared" si="17"/>
        <v>44743.999999999221</v>
      </c>
      <c r="H326" s="44"/>
    </row>
    <row r="327" spans="4:8" x14ac:dyDescent="0.45">
      <c r="D327" s="43" t="str">
        <f t="shared" ref="D327:D390" si="18">IFERROR(DATE(LEFT(B327,4),MID(B327,5,2),MID(B327,7,2))+TIME(MID(B327,9,2),MID(B327,11,2),MID(B327,13,2)),"")</f>
        <v/>
      </c>
      <c r="G327" s="43">
        <f t="shared" si="17"/>
        <v>44744.010416665886</v>
      </c>
      <c r="H327" s="44"/>
    </row>
    <row r="328" spans="4:8" x14ac:dyDescent="0.45">
      <c r="D328" s="43" t="str">
        <f t="shared" si="18"/>
        <v/>
      </c>
      <c r="G328" s="43">
        <f t="shared" ref="G328:G339" si="19">G327+TIME(0,15,0)</f>
        <v>44744.02083333255</v>
      </c>
      <c r="H328" s="44"/>
    </row>
    <row r="329" spans="4:8" x14ac:dyDescent="0.45">
      <c r="D329" s="43" t="str">
        <f t="shared" si="18"/>
        <v/>
      </c>
      <c r="G329" s="43">
        <f t="shared" si="19"/>
        <v>44744.031249999214</v>
      </c>
      <c r="H329" s="44"/>
    </row>
    <row r="330" spans="4:8" x14ac:dyDescent="0.45">
      <c r="D330" s="43" t="str">
        <f t="shared" si="18"/>
        <v/>
      </c>
      <c r="G330" s="43">
        <f t="shared" si="19"/>
        <v>44744.041666665878</v>
      </c>
      <c r="H330" s="44"/>
    </row>
    <row r="331" spans="4:8" x14ac:dyDescent="0.45">
      <c r="D331" s="43" t="str">
        <f t="shared" si="18"/>
        <v/>
      </c>
      <c r="G331" s="43">
        <f t="shared" si="19"/>
        <v>44744.052083332543</v>
      </c>
      <c r="H331" s="44"/>
    </row>
    <row r="332" spans="4:8" x14ac:dyDescent="0.45">
      <c r="D332" s="43" t="str">
        <f t="shared" si="18"/>
        <v/>
      </c>
      <c r="G332" s="43">
        <f t="shared" si="19"/>
        <v>44744.062499999207</v>
      </c>
      <c r="H332" s="44"/>
    </row>
    <row r="333" spans="4:8" x14ac:dyDescent="0.45">
      <c r="D333" s="43" t="str">
        <f t="shared" si="18"/>
        <v/>
      </c>
      <c r="G333" s="43">
        <f t="shared" si="19"/>
        <v>44744.072916665871</v>
      </c>
      <c r="H333" s="44"/>
    </row>
    <row r="334" spans="4:8" x14ac:dyDescent="0.45">
      <c r="D334" s="43" t="str">
        <f t="shared" si="18"/>
        <v/>
      </c>
      <c r="G334" s="43">
        <f t="shared" si="19"/>
        <v>44744.083333332535</v>
      </c>
      <c r="H334" s="44"/>
    </row>
    <row r="335" spans="4:8" x14ac:dyDescent="0.45">
      <c r="D335" s="43" t="str">
        <f t="shared" si="18"/>
        <v/>
      </c>
      <c r="G335" s="43">
        <f t="shared" si="19"/>
        <v>44744.0937499992</v>
      </c>
      <c r="H335" s="44"/>
    </row>
    <row r="336" spans="4:8" x14ac:dyDescent="0.45">
      <c r="D336" s="43" t="str">
        <f t="shared" si="18"/>
        <v/>
      </c>
      <c r="G336" s="43">
        <f t="shared" si="19"/>
        <v>44744.104166665864</v>
      </c>
      <c r="H336" s="44"/>
    </row>
    <row r="337" spans="4:8" x14ac:dyDescent="0.45">
      <c r="D337" s="43" t="str">
        <f t="shared" si="18"/>
        <v/>
      </c>
      <c r="G337" s="43">
        <f t="shared" si="19"/>
        <v>44744.114583332528</v>
      </c>
      <c r="H337" s="44"/>
    </row>
    <row r="338" spans="4:8" x14ac:dyDescent="0.45">
      <c r="D338" s="43" t="str">
        <f t="shared" si="18"/>
        <v/>
      </c>
      <c r="G338" s="43">
        <f t="shared" si="19"/>
        <v>44744.124999999192</v>
      </c>
      <c r="H338" s="44"/>
    </row>
    <row r="339" spans="4:8" x14ac:dyDescent="0.45">
      <c r="D339" s="43" t="str">
        <f t="shared" si="18"/>
        <v/>
      </c>
      <c r="G339" s="43">
        <f t="shared" si="19"/>
        <v>44744.135416665857</v>
      </c>
      <c r="H339" s="44"/>
    </row>
    <row r="340" spans="4:8" x14ac:dyDescent="0.45">
      <c r="D340" s="30" t="str">
        <f t="shared" si="18"/>
        <v/>
      </c>
    </row>
    <row r="341" spans="4:8" x14ac:dyDescent="0.45">
      <c r="D341" s="30" t="str">
        <f t="shared" si="18"/>
        <v/>
      </c>
    </row>
    <row r="342" spans="4:8" x14ac:dyDescent="0.45">
      <c r="D342" s="30" t="str">
        <f t="shared" si="18"/>
        <v/>
      </c>
    </row>
    <row r="343" spans="4:8" x14ac:dyDescent="0.45">
      <c r="D343" s="30" t="str">
        <f t="shared" si="18"/>
        <v/>
      </c>
    </row>
    <row r="344" spans="4:8" x14ac:dyDescent="0.45">
      <c r="D344" s="30" t="str">
        <f t="shared" si="18"/>
        <v/>
      </c>
    </row>
    <row r="345" spans="4:8" x14ac:dyDescent="0.45">
      <c r="D345" s="30" t="str">
        <f t="shared" si="18"/>
        <v/>
      </c>
    </row>
    <row r="346" spans="4:8" x14ac:dyDescent="0.45">
      <c r="D346" s="30" t="str">
        <f t="shared" si="18"/>
        <v/>
      </c>
    </row>
    <row r="347" spans="4:8" x14ac:dyDescent="0.45">
      <c r="D347" s="30" t="str">
        <f t="shared" si="18"/>
        <v/>
      </c>
    </row>
    <row r="348" spans="4:8" x14ac:dyDescent="0.45">
      <c r="D348" s="30" t="str">
        <f t="shared" si="18"/>
        <v/>
      </c>
    </row>
    <row r="349" spans="4:8" x14ac:dyDescent="0.45">
      <c r="D349" s="30" t="str">
        <f t="shared" si="18"/>
        <v/>
      </c>
    </row>
    <row r="350" spans="4:8" x14ac:dyDescent="0.45">
      <c r="D350" s="30" t="str">
        <f t="shared" si="18"/>
        <v/>
      </c>
    </row>
    <row r="351" spans="4:8" x14ac:dyDescent="0.45">
      <c r="D351" s="30" t="str">
        <f t="shared" si="18"/>
        <v/>
      </c>
    </row>
    <row r="352" spans="4:8" x14ac:dyDescent="0.45">
      <c r="D352" s="30" t="str">
        <f t="shared" si="18"/>
        <v/>
      </c>
    </row>
    <row r="353" spans="4:4" x14ac:dyDescent="0.45">
      <c r="D353" s="30" t="str">
        <f t="shared" si="18"/>
        <v/>
      </c>
    </row>
    <row r="354" spans="4:4" x14ac:dyDescent="0.45">
      <c r="D354" s="30" t="str">
        <f t="shared" si="18"/>
        <v/>
      </c>
    </row>
    <row r="355" spans="4:4" x14ac:dyDescent="0.45">
      <c r="D355" s="30" t="str">
        <f t="shared" si="18"/>
        <v/>
      </c>
    </row>
    <row r="356" spans="4:4" x14ac:dyDescent="0.45">
      <c r="D356" s="30" t="str">
        <f t="shared" si="18"/>
        <v/>
      </c>
    </row>
    <row r="357" spans="4:4" x14ac:dyDescent="0.45">
      <c r="D357" s="30" t="str">
        <f t="shared" si="18"/>
        <v/>
      </c>
    </row>
    <row r="358" spans="4:4" x14ac:dyDescent="0.45">
      <c r="D358" s="30" t="str">
        <f t="shared" si="18"/>
        <v/>
      </c>
    </row>
    <row r="359" spans="4:4" x14ac:dyDescent="0.45">
      <c r="D359" s="30" t="str">
        <f t="shared" si="18"/>
        <v/>
      </c>
    </row>
    <row r="360" spans="4:4" x14ac:dyDescent="0.45">
      <c r="D360" s="30" t="str">
        <f t="shared" si="18"/>
        <v/>
      </c>
    </row>
    <row r="361" spans="4:4" x14ac:dyDescent="0.45">
      <c r="D361" s="30" t="str">
        <f t="shared" si="18"/>
        <v/>
      </c>
    </row>
    <row r="362" spans="4:4" x14ac:dyDescent="0.45">
      <c r="D362" s="30" t="str">
        <f t="shared" si="18"/>
        <v/>
      </c>
    </row>
    <row r="363" spans="4:4" x14ac:dyDescent="0.45">
      <c r="D363" s="30" t="str">
        <f t="shared" si="18"/>
        <v/>
      </c>
    </row>
    <row r="364" spans="4:4" x14ac:dyDescent="0.45">
      <c r="D364" s="30" t="str">
        <f t="shared" si="18"/>
        <v/>
      </c>
    </row>
    <row r="365" spans="4:4" x14ac:dyDescent="0.45">
      <c r="D365" s="30" t="str">
        <f t="shared" si="18"/>
        <v/>
      </c>
    </row>
    <row r="366" spans="4:4" x14ac:dyDescent="0.45">
      <c r="D366" s="30" t="str">
        <f t="shared" si="18"/>
        <v/>
      </c>
    </row>
    <row r="367" spans="4:4" x14ac:dyDescent="0.45">
      <c r="D367" s="30" t="str">
        <f t="shared" si="18"/>
        <v/>
      </c>
    </row>
    <row r="368" spans="4:4" x14ac:dyDescent="0.45">
      <c r="D368" s="30" t="str">
        <f t="shared" si="18"/>
        <v/>
      </c>
    </row>
    <row r="369" spans="4:4" x14ac:dyDescent="0.45">
      <c r="D369" s="30" t="str">
        <f t="shared" si="18"/>
        <v/>
      </c>
    </row>
    <row r="370" spans="4:4" x14ac:dyDescent="0.45">
      <c r="D370" s="30" t="str">
        <f t="shared" si="18"/>
        <v/>
      </c>
    </row>
    <row r="371" spans="4:4" x14ac:dyDescent="0.45">
      <c r="D371" s="30" t="str">
        <f t="shared" si="18"/>
        <v/>
      </c>
    </row>
    <row r="372" spans="4:4" x14ac:dyDescent="0.45">
      <c r="D372" s="30" t="str">
        <f t="shared" si="18"/>
        <v/>
      </c>
    </row>
    <row r="373" spans="4:4" x14ac:dyDescent="0.45">
      <c r="D373" s="30" t="str">
        <f t="shared" si="18"/>
        <v/>
      </c>
    </row>
    <row r="374" spans="4:4" x14ac:dyDescent="0.45">
      <c r="D374" s="30" t="str">
        <f t="shared" si="18"/>
        <v/>
      </c>
    </row>
    <row r="375" spans="4:4" x14ac:dyDescent="0.45">
      <c r="D375" s="30" t="str">
        <f t="shared" si="18"/>
        <v/>
      </c>
    </row>
    <row r="376" spans="4:4" x14ac:dyDescent="0.45">
      <c r="D376" s="30" t="str">
        <f t="shared" si="18"/>
        <v/>
      </c>
    </row>
    <row r="377" spans="4:4" x14ac:dyDescent="0.45">
      <c r="D377" s="30" t="str">
        <f t="shared" si="18"/>
        <v/>
      </c>
    </row>
    <row r="378" spans="4:4" x14ac:dyDescent="0.45">
      <c r="D378" s="30" t="str">
        <f t="shared" si="18"/>
        <v/>
      </c>
    </row>
    <row r="379" spans="4:4" x14ac:dyDescent="0.45">
      <c r="D379" s="30" t="str">
        <f t="shared" si="18"/>
        <v/>
      </c>
    </row>
    <row r="380" spans="4:4" x14ac:dyDescent="0.45">
      <c r="D380" s="30" t="str">
        <f t="shared" si="18"/>
        <v/>
      </c>
    </row>
    <row r="381" spans="4:4" x14ac:dyDescent="0.45">
      <c r="D381" s="30" t="str">
        <f t="shared" si="18"/>
        <v/>
      </c>
    </row>
    <row r="382" spans="4:4" x14ac:dyDescent="0.45">
      <c r="D382" s="30" t="str">
        <f t="shared" si="18"/>
        <v/>
      </c>
    </row>
    <row r="383" spans="4:4" x14ac:dyDescent="0.45">
      <c r="D383" s="30" t="str">
        <f t="shared" si="18"/>
        <v/>
      </c>
    </row>
    <row r="384" spans="4:4" x14ac:dyDescent="0.45">
      <c r="D384" s="30" t="str">
        <f t="shared" si="18"/>
        <v/>
      </c>
    </row>
    <row r="385" spans="4:4" x14ac:dyDescent="0.45">
      <c r="D385" s="30" t="str">
        <f t="shared" si="18"/>
        <v/>
      </c>
    </row>
    <row r="386" spans="4:4" x14ac:dyDescent="0.45">
      <c r="D386" s="30" t="str">
        <f t="shared" si="18"/>
        <v/>
      </c>
    </row>
    <row r="387" spans="4:4" x14ac:dyDescent="0.45">
      <c r="D387" s="30" t="str">
        <f t="shared" si="18"/>
        <v/>
      </c>
    </row>
    <row r="388" spans="4:4" x14ac:dyDescent="0.45">
      <c r="D388" s="30" t="str">
        <f t="shared" si="18"/>
        <v/>
      </c>
    </row>
    <row r="389" spans="4:4" x14ac:dyDescent="0.45">
      <c r="D389" s="30" t="str">
        <f t="shared" si="18"/>
        <v/>
      </c>
    </row>
    <row r="390" spans="4:4" x14ac:dyDescent="0.45">
      <c r="D390" s="30" t="str">
        <f t="shared" si="18"/>
        <v/>
      </c>
    </row>
    <row r="391" spans="4:4" x14ac:dyDescent="0.45">
      <c r="D391" s="30" t="str">
        <f t="shared" ref="D391:D454" si="20">IFERROR(DATE(LEFT(B391,4),MID(B391,5,2),MID(B391,7,2))+TIME(MID(B391,9,2),MID(B391,11,2),MID(B391,13,2)),"")</f>
        <v/>
      </c>
    </row>
    <row r="392" spans="4:4" x14ac:dyDescent="0.45">
      <c r="D392" s="30" t="str">
        <f t="shared" si="20"/>
        <v/>
      </c>
    </row>
    <row r="393" spans="4:4" x14ac:dyDescent="0.45">
      <c r="D393" s="30" t="str">
        <f t="shared" si="20"/>
        <v/>
      </c>
    </row>
    <row r="394" spans="4:4" x14ac:dyDescent="0.45">
      <c r="D394" s="30" t="str">
        <f t="shared" si="20"/>
        <v/>
      </c>
    </row>
    <row r="395" spans="4:4" x14ac:dyDescent="0.45">
      <c r="D395" s="30" t="str">
        <f t="shared" si="20"/>
        <v/>
      </c>
    </row>
    <row r="396" spans="4:4" x14ac:dyDescent="0.45">
      <c r="D396" s="30" t="str">
        <f t="shared" si="20"/>
        <v/>
      </c>
    </row>
    <row r="397" spans="4:4" x14ac:dyDescent="0.45">
      <c r="D397" s="30" t="str">
        <f t="shared" si="20"/>
        <v/>
      </c>
    </row>
    <row r="398" spans="4:4" x14ac:dyDescent="0.45">
      <c r="D398" s="30" t="str">
        <f t="shared" si="20"/>
        <v/>
      </c>
    </row>
    <row r="399" spans="4:4" x14ac:dyDescent="0.45">
      <c r="D399" s="30" t="str">
        <f t="shared" si="20"/>
        <v/>
      </c>
    </row>
    <row r="400" spans="4:4" x14ac:dyDescent="0.45">
      <c r="D400" s="30" t="str">
        <f t="shared" si="20"/>
        <v/>
      </c>
    </row>
    <row r="401" spans="4:4" x14ac:dyDescent="0.45">
      <c r="D401" s="30" t="str">
        <f t="shared" si="20"/>
        <v/>
      </c>
    </row>
    <row r="402" spans="4:4" x14ac:dyDescent="0.45">
      <c r="D402" s="30" t="str">
        <f t="shared" si="20"/>
        <v/>
      </c>
    </row>
    <row r="403" spans="4:4" x14ac:dyDescent="0.45">
      <c r="D403" s="30" t="str">
        <f t="shared" si="20"/>
        <v/>
      </c>
    </row>
    <row r="404" spans="4:4" x14ac:dyDescent="0.45">
      <c r="D404" s="30" t="str">
        <f t="shared" si="20"/>
        <v/>
      </c>
    </row>
    <row r="405" spans="4:4" x14ac:dyDescent="0.45">
      <c r="D405" s="30" t="str">
        <f t="shared" si="20"/>
        <v/>
      </c>
    </row>
    <row r="406" spans="4:4" x14ac:dyDescent="0.45">
      <c r="D406" s="30" t="str">
        <f t="shared" si="20"/>
        <v/>
      </c>
    </row>
    <row r="407" spans="4:4" x14ac:dyDescent="0.45">
      <c r="D407" s="30" t="str">
        <f t="shared" si="20"/>
        <v/>
      </c>
    </row>
    <row r="408" spans="4:4" x14ac:dyDescent="0.45">
      <c r="D408" s="30" t="str">
        <f t="shared" si="20"/>
        <v/>
      </c>
    </row>
    <row r="409" spans="4:4" x14ac:dyDescent="0.45">
      <c r="D409" s="30" t="str">
        <f t="shared" si="20"/>
        <v/>
      </c>
    </row>
    <row r="410" spans="4:4" x14ac:dyDescent="0.45">
      <c r="D410" s="30" t="str">
        <f t="shared" si="20"/>
        <v/>
      </c>
    </row>
    <row r="411" spans="4:4" x14ac:dyDescent="0.45">
      <c r="D411" s="30" t="str">
        <f t="shared" si="20"/>
        <v/>
      </c>
    </row>
    <row r="412" spans="4:4" x14ac:dyDescent="0.45">
      <c r="D412" s="30" t="str">
        <f t="shared" si="20"/>
        <v/>
      </c>
    </row>
    <row r="413" spans="4:4" x14ac:dyDescent="0.45">
      <c r="D413" s="30" t="str">
        <f t="shared" si="20"/>
        <v/>
      </c>
    </row>
    <row r="414" spans="4:4" x14ac:dyDescent="0.45">
      <c r="D414" s="30" t="str">
        <f t="shared" si="20"/>
        <v/>
      </c>
    </row>
    <row r="415" spans="4:4" x14ac:dyDescent="0.45">
      <c r="D415" s="30" t="str">
        <f t="shared" si="20"/>
        <v/>
      </c>
    </row>
    <row r="416" spans="4:4" x14ac:dyDescent="0.45">
      <c r="D416" s="30" t="str">
        <f t="shared" si="20"/>
        <v/>
      </c>
    </row>
    <row r="417" spans="4:4" x14ac:dyDescent="0.45">
      <c r="D417" s="30" t="str">
        <f t="shared" si="20"/>
        <v/>
      </c>
    </row>
    <row r="418" spans="4:4" x14ac:dyDescent="0.45">
      <c r="D418" s="30" t="str">
        <f t="shared" si="20"/>
        <v/>
      </c>
    </row>
    <row r="419" spans="4:4" x14ac:dyDescent="0.45">
      <c r="D419" s="30" t="str">
        <f t="shared" si="20"/>
        <v/>
      </c>
    </row>
    <row r="420" spans="4:4" x14ac:dyDescent="0.45">
      <c r="D420" s="30" t="str">
        <f t="shared" si="20"/>
        <v/>
      </c>
    </row>
    <row r="421" spans="4:4" x14ac:dyDescent="0.45">
      <c r="D421" s="30" t="str">
        <f t="shared" si="20"/>
        <v/>
      </c>
    </row>
    <row r="422" spans="4:4" x14ac:dyDescent="0.45">
      <c r="D422" s="30" t="str">
        <f t="shared" si="20"/>
        <v/>
      </c>
    </row>
    <row r="423" spans="4:4" x14ac:dyDescent="0.45">
      <c r="D423" s="30" t="str">
        <f t="shared" si="20"/>
        <v/>
      </c>
    </row>
    <row r="424" spans="4:4" x14ac:dyDescent="0.45">
      <c r="D424" s="30" t="str">
        <f t="shared" si="20"/>
        <v/>
      </c>
    </row>
    <row r="425" spans="4:4" x14ac:dyDescent="0.45">
      <c r="D425" s="30" t="str">
        <f t="shared" si="20"/>
        <v/>
      </c>
    </row>
    <row r="426" spans="4:4" x14ac:dyDescent="0.45">
      <c r="D426" s="30" t="str">
        <f t="shared" si="20"/>
        <v/>
      </c>
    </row>
    <row r="427" spans="4:4" x14ac:dyDescent="0.45">
      <c r="D427" s="30" t="str">
        <f t="shared" si="20"/>
        <v/>
      </c>
    </row>
    <row r="428" spans="4:4" x14ac:dyDescent="0.45">
      <c r="D428" s="30" t="str">
        <f t="shared" si="20"/>
        <v/>
      </c>
    </row>
    <row r="429" spans="4:4" x14ac:dyDescent="0.45">
      <c r="D429" s="30" t="str">
        <f t="shared" si="20"/>
        <v/>
      </c>
    </row>
    <row r="430" spans="4:4" x14ac:dyDescent="0.45">
      <c r="D430" s="30" t="str">
        <f t="shared" si="20"/>
        <v/>
      </c>
    </row>
    <row r="431" spans="4:4" x14ac:dyDescent="0.45">
      <c r="D431" s="30" t="str">
        <f t="shared" si="20"/>
        <v/>
      </c>
    </row>
    <row r="432" spans="4:4" x14ac:dyDescent="0.45">
      <c r="D432" s="30" t="str">
        <f t="shared" si="20"/>
        <v/>
      </c>
    </row>
    <row r="433" spans="4:4" x14ac:dyDescent="0.45">
      <c r="D433" s="30" t="str">
        <f t="shared" si="20"/>
        <v/>
      </c>
    </row>
    <row r="434" spans="4:4" x14ac:dyDescent="0.45">
      <c r="D434" s="30" t="str">
        <f t="shared" si="20"/>
        <v/>
      </c>
    </row>
    <row r="435" spans="4:4" x14ac:dyDescent="0.45">
      <c r="D435" s="30" t="str">
        <f t="shared" si="20"/>
        <v/>
      </c>
    </row>
    <row r="436" spans="4:4" x14ac:dyDescent="0.45">
      <c r="D436" s="30" t="str">
        <f t="shared" si="20"/>
        <v/>
      </c>
    </row>
    <row r="437" spans="4:4" x14ac:dyDescent="0.45">
      <c r="D437" s="30" t="str">
        <f t="shared" si="20"/>
        <v/>
      </c>
    </row>
    <row r="438" spans="4:4" x14ac:dyDescent="0.45">
      <c r="D438" s="30" t="str">
        <f t="shared" si="20"/>
        <v/>
      </c>
    </row>
    <row r="439" spans="4:4" x14ac:dyDescent="0.45">
      <c r="D439" s="30" t="str">
        <f t="shared" si="20"/>
        <v/>
      </c>
    </row>
    <row r="440" spans="4:4" x14ac:dyDescent="0.45">
      <c r="D440" s="30" t="str">
        <f t="shared" si="20"/>
        <v/>
      </c>
    </row>
    <row r="441" spans="4:4" x14ac:dyDescent="0.45">
      <c r="D441" s="30" t="str">
        <f t="shared" si="20"/>
        <v/>
      </c>
    </row>
    <row r="442" spans="4:4" x14ac:dyDescent="0.45">
      <c r="D442" s="30" t="str">
        <f t="shared" si="20"/>
        <v/>
      </c>
    </row>
    <row r="443" spans="4:4" x14ac:dyDescent="0.45">
      <c r="D443" s="30" t="str">
        <f t="shared" si="20"/>
        <v/>
      </c>
    </row>
    <row r="444" spans="4:4" x14ac:dyDescent="0.45">
      <c r="D444" s="30" t="str">
        <f t="shared" si="20"/>
        <v/>
      </c>
    </row>
    <row r="445" spans="4:4" x14ac:dyDescent="0.45">
      <c r="D445" s="30" t="str">
        <f t="shared" si="20"/>
        <v/>
      </c>
    </row>
    <row r="446" spans="4:4" x14ac:dyDescent="0.45">
      <c r="D446" s="30" t="str">
        <f t="shared" si="20"/>
        <v/>
      </c>
    </row>
    <row r="447" spans="4:4" x14ac:dyDescent="0.45">
      <c r="D447" s="30" t="str">
        <f t="shared" si="20"/>
        <v/>
      </c>
    </row>
    <row r="448" spans="4:4" x14ac:dyDescent="0.45">
      <c r="D448" s="30" t="str">
        <f t="shared" si="20"/>
        <v/>
      </c>
    </row>
    <row r="449" spans="4:4" x14ac:dyDescent="0.45">
      <c r="D449" s="30" t="str">
        <f t="shared" si="20"/>
        <v/>
      </c>
    </row>
    <row r="450" spans="4:4" x14ac:dyDescent="0.45">
      <c r="D450" s="30" t="str">
        <f t="shared" si="20"/>
        <v/>
      </c>
    </row>
    <row r="451" spans="4:4" x14ac:dyDescent="0.45">
      <c r="D451" s="30" t="str">
        <f t="shared" si="20"/>
        <v/>
      </c>
    </row>
    <row r="452" spans="4:4" x14ac:dyDescent="0.45">
      <c r="D452" s="30" t="str">
        <f t="shared" si="20"/>
        <v/>
      </c>
    </row>
    <row r="453" spans="4:4" x14ac:dyDescent="0.45">
      <c r="D453" s="30" t="str">
        <f t="shared" si="20"/>
        <v/>
      </c>
    </row>
    <row r="454" spans="4:4" x14ac:dyDescent="0.45">
      <c r="D454" s="30" t="str">
        <f t="shared" si="20"/>
        <v/>
      </c>
    </row>
    <row r="455" spans="4:4" x14ac:dyDescent="0.45">
      <c r="D455" s="30" t="str">
        <f t="shared" ref="D455:D500" si="21">IFERROR(DATE(LEFT(B455,4),MID(B455,5,2),MID(B455,7,2))+TIME(MID(B455,9,2),MID(B455,11,2),MID(B455,13,2)),"")</f>
        <v/>
      </c>
    </row>
    <row r="456" spans="4:4" x14ac:dyDescent="0.45">
      <c r="D456" s="30" t="str">
        <f t="shared" si="21"/>
        <v/>
      </c>
    </row>
    <row r="457" spans="4:4" x14ac:dyDescent="0.45">
      <c r="D457" s="30" t="str">
        <f t="shared" si="21"/>
        <v/>
      </c>
    </row>
    <row r="458" spans="4:4" x14ac:dyDescent="0.45">
      <c r="D458" s="30" t="str">
        <f t="shared" si="21"/>
        <v/>
      </c>
    </row>
    <row r="459" spans="4:4" x14ac:dyDescent="0.45">
      <c r="D459" s="30" t="str">
        <f t="shared" si="21"/>
        <v/>
      </c>
    </row>
    <row r="460" spans="4:4" x14ac:dyDescent="0.45">
      <c r="D460" s="30" t="str">
        <f t="shared" si="21"/>
        <v/>
      </c>
    </row>
    <row r="461" spans="4:4" x14ac:dyDescent="0.45">
      <c r="D461" s="30" t="str">
        <f t="shared" si="21"/>
        <v/>
      </c>
    </row>
    <row r="462" spans="4:4" x14ac:dyDescent="0.45">
      <c r="D462" s="30" t="str">
        <f t="shared" si="21"/>
        <v/>
      </c>
    </row>
    <row r="463" spans="4:4" x14ac:dyDescent="0.45">
      <c r="D463" s="30" t="str">
        <f t="shared" si="21"/>
        <v/>
      </c>
    </row>
    <row r="464" spans="4:4" x14ac:dyDescent="0.45">
      <c r="D464" s="30" t="str">
        <f t="shared" si="21"/>
        <v/>
      </c>
    </row>
    <row r="465" spans="4:4" x14ac:dyDescent="0.45">
      <c r="D465" s="30" t="str">
        <f t="shared" si="21"/>
        <v/>
      </c>
    </row>
    <row r="466" spans="4:4" x14ac:dyDescent="0.45">
      <c r="D466" s="30" t="str">
        <f t="shared" si="21"/>
        <v/>
      </c>
    </row>
    <row r="467" spans="4:4" x14ac:dyDescent="0.45">
      <c r="D467" s="30" t="str">
        <f t="shared" si="21"/>
        <v/>
      </c>
    </row>
    <row r="468" spans="4:4" x14ac:dyDescent="0.45">
      <c r="D468" s="30" t="str">
        <f t="shared" si="21"/>
        <v/>
      </c>
    </row>
    <row r="469" spans="4:4" x14ac:dyDescent="0.45">
      <c r="D469" s="30" t="str">
        <f t="shared" si="21"/>
        <v/>
      </c>
    </row>
    <row r="470" spans="4:4" x14ac:dyDescent="0.45">
      <c r="D470" s="30" t="str">
        <f t="shared" si="21"/>
        <v/>
      </c>
    </row>
    <row r="471" spans="4:4" x14ac:dyDescent="0.45">
      <c r="D471" s="30" t="str">
        <f t="shared" si="21"/>
        <v/>
      </c>
    </row>
    <row r="472" spans="4:4" x14ac:dyDescent="0.45">
      <c r="D472" s="30" t="str">
        <f t="shared" si="21"/>
        <v/>
      </c>
    </row>
    <row r="473" spans="4:4" x14ac:dyDescent="0.45">
      <c r="D473" s="30" t="str">
        <f t="shared" si="21"/>
        <v/>
      </c>
    </row>
    <row r="474" spans="4:4" x14ac:dyDescent="0.45">
      <c r="D474" s="30" t="str">
        <f t="shared" si="21"/>
        <v/>
      </c>
    </row>
    <row r="475" spans="4:4" x14ac:dyDescent="0.45">
      <c r="D475" s="30" t="str">
        <f t="shared" si="21"/>
        <v/>
      </c>
    </row>
    <row r="476" spans="4:4" x14ac:dyDescent="0.45">
      <c r="D476" s="30" t="str">
        <f t="shared" si="21"/>
        <v/>
      </c>
    </row>
    <row r="477" spans="4:4" x14ac:dyDescent="0.45">
      <c r="D477" s="30" t="str">
        <f t="shared" si="21"/>
        <v/>
      </c>
    </row>
    <row r="478" spans="4:4" x14ac:dyDescent="0.45">
      <c r="D478" s="30" t="str">
        <f t="shared" si="21"/>
        <v/>
      </c>
    </row>
    <row r="479" spans="4:4" x14ac:dyDescent="0.45">
      <c r="D479" s="30" t="str">
        <f t="shared" si="21"/>
        <v/>
      </c>
    </row>
    <row r="480" spans="4:4" x14ac:dyDescent="0.45">
      <c r="D480" s="30" t="str">
        <f t="shared" si="21"/>
        <v/>
      </c>
    </row>
    <row r="481" spans="4:4" x14ac:dyDescent="0.45">
      <c r="D481" s="30" t="str">
        <f t="shared" si="21"/>
        <v/>
      </c>
    </row>
    <row r="482" spans="4:4" x14ac:dyDescent="0.45">
      <c r="D482" s="30" t="str">
        <f t="shared" si="21"/>
        <v/>
      </c>
    </row>
    <row r="483" spans="4:4" x14ac:dyDescent="0.45">
      <c r="D483" s="30" t="str">
        <f t="shared" si="21"/>
        <v/>
      </c>
    </row>
    <row r="484" spans="4:4" x14ac:dyDescent="0.45">
      <c r="D484" s="30" t="str">
        <f t="shared" si="21"/>
        <v/>
      </c>
    </row>
    <row r="485" spans="4:4" x14ac:dyDescent="0.45">
      <c r="D485" s="30" t="str">
        <f t="shared" si="21"/>
        <v/>
      </c>
    </row>
    <row r="486" spans="4:4" x14ac:dyDescent="0.45">
      <c r="D486" s="30" t="str">
        <f t="shared" si="21"/>
        <v/>
      </c>
    </row>
    <row r="487" spans="4:4" x14ac:dyDescent="0.45">
      <c r="D487" s="30" t="str">
        <f t="shared" si="21"/>
        <v/>
      </c>
    </row>
    <row r="488" spans="4:4" x14ac:dyDescent="0.45">
      <c r="D488" s="30" t="str">
        <f t="shared" si="21"/>
        <v/>
      </c>
    </row>
    <row r="489" spans="4:4" x14ac:dyDescent="0.45">
      <c r="D489" s="30" t="str">
        <f t="shared" si="21"/>
        <v/>
      </c>
    </row>
    <row r="490" spans="4:4" x14ac:dyDescent="0.45">
      <c r="D490" s="30" t="str">
        <f t="shared" si="21"/>
        <v/>
      </c>
    </row>
    <row r="491" spans="4:4" x14ac:dyDescent="0.45">
      <c r="D491" s="30" t="str">
        <f t="shared" si="21"/>
        <v/>
      </c>
    </row>
    <row r="492" spans="4:4" x14ac:dyDescent="0.45">
      <c r="D492" s="30" t="str">
        <f t="shared" si="21"/>
        <v/>
      </c>
    </row>
    <row r="493" spans="4:4" x14ac:dyDescent="0.45">
      <c r="D493" s="30" t="str">
        <f t="shared" si="21"/>
        <v/>
      </c>
    </row>
    <row r="494" spans="4:4" x14ac:dyDescent="0.45">
      <c r="D494" s="30" t="str">
        <f t="shared" si="21"/>
        <v/>
      </c>
    </row>
    <row r="495" spans="4:4" x14ac:dyDescent="0.45">
      <c r="D495" s="30" t="str">
        <f t="shared" si="21"/>
        <v/>
      </c>
    </row>
    <row r="496" spans="4:4" x14ac:dyDescent="0.45">
      <c r="D496" s="30" t="str">
        <f t="shared" si="21"/>
        <v/>
      </c>
    </row>
    <row r="497" spans="4:4" x14ac:dyDescent="0.45">
      <c r="D497" s="30" t="str">
        <f t="shared" si="21"/>
        <v/>
      </c>
    </row>
    <row r="498" spans="4:4" x14ac:dyDescent="0.45">
      <c r="D498" s="30" t="str">
        <f t="shared" si="21"/>
        <v/>
      </c>
    </row>
    <row r="499" spans="4:4" x14ac:dyDescent="0.45">
      <c r="D499" s="30" t="str">
        <f t="shared" si="21"/>
        <v/>
      </c>
    </row>
    <row r="500" spans="4:4" x14ac:dyDescent="0.45">
      <c r="D500" s="30" t="str">
        <f t="shared" si="21"/>
        <v/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EEC3C-AFA0-4AAD-9726-2A88CEF4F27D}">
  <dimension ref="A1:R47"/>
  <sheetViews>
    <sheetView zoomScaleNormal="100" workbookViewId="0">
      <selection activeCell="R29" sqref="R29"/>
    </sheetView>
  </sheetViews>
  <sheetFormatPr defaultColWidth="8.58203125" defaultRowHeight="18" x14ac:dyDescent="0.45"/>
  <cols>
    <col min="1" max="1" width="11.58203125" style="1" customWidth="1"/>
    <col min="2" max="2" width="13.08203125" style="1" customWidth="1"/>
    <col min="3" max="3" width="8.58203125" style="1"/>
    <col min="4" max="4" width="11.33203125" style="1" customWidth="1"/>
    <col min="5" max="5" width="23" style="1" customWidth="1"/>
    <col min="6" max="6" width="35.75" style="1" customWidth="1"/>
    <col min="7" max="7" width="28.08203125" style="1" customWidth="1"/>
    <col min="8" max="16384" width="8.58203125" style="1"/>
  </cols>
  <sheetData>
    <row r="1" spans="1:18" ht="18.5" thickBot="1" x14ac:dyDescent="0.5">
      <c r="A1" s="1" t="s">
        <v>66</v>
      </c>
    </row>
    <row r="2" spans="1:18" x14ac:dyDescent="0.45">
      <c r="A2" s="2" t="s">
        <v>67</v>
      </c>
      <c r="B2" s="3" t="s">
        <v>68</v>
      </c>
      <c r="C2" s="3" t="s">
        <v>69</v>
      </c>
      <c r="D2" s="3" t="s">
        <v>70</v>
      </c>
      <c r="E2" s="3" t="s">
        <v>71</v>
      </c>
      <c r="F2" s="4" t="s">
        <v>72</v>
      </c>
    </row>
    <row r="3" spans="1:18" x14ac:dyDescent="0.45">
      <c r="A3" s="5" t="s">
        <v>73</v>
      </c>
      <c r="B3" s="6" t="s">
        <v>74</v>
      </c>
      <c r="C3" s="6">
        <v>100</v>
      </c>
      <c r="D3" s="6">
        <v>1</v>
      </c>
      <c r="E3" s="7" t="s">
        <v>75</v>
      </c>
      <c r="F3" s="8" t="s">
        <v>76</v>
      </c>
    </row>
    <row r="4" spans="1:18" x14ac:dyDescent="0.45">
      <c r="A4" s="5" t="s">
        <v>77</v>
      </c>
      <c r="B4" s="6" t="s">
        <v>78</v>
      </c>
      <c r="C4" s="6">
        <v>4</v>
      </c>
      <c r="D4" s="6">
        <v>1</v>
      </c>
      <c r="E4" s="7">
        <v>1</v>
      </c>
      <c r="F4" s="8" t="s">
        <v>78</v>
      </c>
    </row>
    <row r="5" spans="1:18" x14ac:dyDescent="0.45">
      <c r="A5" s="5" t="s">
        <v>79</v>
      </c>
      <c r="B5" s="6" t="s">
        <v>80</v>
      </c>
      <c r="C5" s="6">
        <v>4</v>
      </c>
      <c r="D5" s="6">
        <v>1</v>
      </c>
      <c r="E5" s="7">
        <v>10</v>
      </c>
      <c r="F5" s="8" t="s">
        <v>81</v>
      </c>
    </row>
    <row r="6" spans="1:18" x14ac:dyDescent="0.45">
      <c r="A6" s="5" t="s">
        <v>82</v>
      </c>
      <c r="B6" s="6" t="s">
        <v>83</v>
      </c>
      <c r="C6" s="6">
        <v>2</v>
      </c>
      <c r="D6" s="6">
        <v>0</v>
      </c>
      <c r="E6" s="7" t="s">
        <v>84</v>
      </c>
      <c r="F6" s="8" t="s">
        <v>85</v>
      </c>
    </row>
    <row r="7" spans="1:18" x14ac:dyDescent="0.45">
      <c r="A7" s="5" t="s">
        <v>86</v>
      </c>
      <c r="B7" s="6" t="s">
        <v>87</v>
      </c>
      <c r="C7" s="6">
        <v>2</v>
      </c>
      <c r="D7" s="6">
        <v>0</v>
      </c>
      <c r="E7" s="7">
        <v>11</v>
      </c>
      <c r="F7" s="8" t="s">
        <v>88</v>
      </c>
    </row>
    <row r="8" spans="1:18" x14ac:dyDescent="0.45">
      <c r="A8" s="1" t="s">
        <v>89</v>
      </c>
    </row>
    <row r="10" spans="1:18" ht="18.5" thickBot="1" x14ac:dyDescent="0.5">
      <c r="A10" s="1" t="s">
        <v>90</v>
      </c>
    </row>
    <row r="11" spans="1:18" x14ac:dyDescent="0.45">
      <c r="A11" s="2" t="s">
        <v>67</v>
      </c>
      <c r="B11" s="3" t="s">
        <v>68</v>
      </c>
      <c r="C11" s="3" t="s">
        <v>91</v>
      </c>
      <c r="D11" s="3" t="s">
        <v>92</v>
      </c>
      <c r="E11" s="3" t="s">
        <v>71</v>
      </c>
      <c r="F11" s="4" t="s">
        <v>72</v>
      </c>
      <c r="R11" s="8" t="s">
        <v>93</v>
      </c>
    </row>
    <row r="12" spans="1:18" x14ac:dyDescent="0.45">
      <c r="A12" s="5" t="s">
        <v>94</v>
      </c>
      <c r="B12" s="6" t="s">
        <v>95</v>
      </c>
      <c r="C12" s="6">
        <v>2</v>
      </c>
      <c r="D12" s="6">
        <v>1</v>
      </c>
      <c r="E12" s="7">
        <v>0</v>
      </c>
      <c r="F12" s="8" t="s">
        <v>95</v>
      </c>
      <c r="R12" s="8" t="s">
        <v>96</v>
      </c>
    </row>
    <row r="13" spans="1:18" x14ac:dyDescent="0.45">
      <c r="A13" s="5" t="s">
        <v>97</v>
      </c>
      <c r="B13" s="6" t="s">
        <v>98</v>
      </c>
      <c r="C13" s="6">
        <v>50</v>
      </c>
      <c r="D13" s="6">
        <v>1</v>
      </c>
      <c r="E13" s="7" t="s">
        <v>99</v>
      </c>
      <c r="F13" s="8" t="s">
        <v>98</v>
      </c>
      <c r="R13" s="8" t="s">
        <v>100</v>
      </c>
    </row>
    <row r="14" spans="1:18" x14ac:dyDescent="0.45">
      <c r="A14" s="5" t="s">
        <v>101</v>
      </c>
      <c r="B14" s="6" t="s">
        <v>102</v>
      </c>
      <c r="C14" s="6">
        <v>9</v>
      </c>
      <c r="D14" s="6">
        <v>1</v>
      </c>
      <c r="E14" s="7">
        <v>12000</v>
      </c>
      <c r="F14" s="8" t="s">
        <v>103</v>
      </c>
      <c r="R14" s="8" t="s">
        <v>104</v>
      </c>
    </row>
    <row r="15" spans="1:18" x14ac:dyDescent="0.45">
      <c r="A15" s="5" t="s">
        <v>77</v>
      </c>
      <c r="B15" s="6" t="s">
        <v>78</v>
      </c>
      <c r="C15" s="6">
        <v>5</v>
      </c>
      <c r="D15" s="6">
        <v>1</v>
      </c>
      <c r="E15" s="7">
        <v>1</v>
      </c>
      <c r="F15" s="8" t="s">
        <v>105</v>
      </c>
      <c r="R15" s="8" t="s">
        <v>106</v>
      </c>
    </row>
    <row r="16" spans="1:18" x14ac:dyDescent="0.45">
      <c r="A16" s="5" t="s">
        <v>79</v>
      </c>
      <c r="B16" s="6" t="s">
        <v>80</v>
      </c>
      <c r="C16" s="6">
        <v>5</v>
      </c>
      <c r="D16" s="6">
        <v>1</v>
      </c>
      <c r="E16" s="7">
        <v>10</v>
      </c>
      <c r="F16" s="8" t="s">
        <v>107</v>
      </c>
      <c r="R16" s="8" t="s">
        <v>108</v>
      </c>
    </row>
    <row r="17" spans="1:18" x14ac:dyDescent="0.45">
      <c r="A17" s="5" t="s">
        <v>109</v>
      </c>
      <c r="B17" s="6" t="s">
        <v>110</v>
      </c>
      <c r="C17" s="6"/>
      <c r="D17" s="6" t="s">
        <v>111</v>
      </c>
      <c r="E17" s="7"/>
      <c r="F17" s="8" t="s">
        <v>110</v>
      </c>
      <c r="R17" s="8" t="s">
        <v>112</v>
      </c>
    </row>
    <row r="18" spans="1:18" x14ac:dyDescent="0.45">
      <c r="A18" s="9" t="s">
        <v>113</v>
      </c>
      <c r="B18" s="10" t="s">
        <v>114</v>
      </c>
      <c r="C18" s="10">
        <v>100</v>
      </c>
      <c r="D18" s="10">
        <v>1</v>
      </c>
      <c r="E18" s="11" t="s">
        <v>115</v>
      </c>
      <c r="F18" s="12" t="s">
        <v>114</v>
      </c>
      <c r="R18" s="8" t="s">
        <v>116</v>
      </c>
    </row>
    <row r="19" spans="1:18" x14ac:dyDescent="0.45">
      <c r="A19" s="9" t="s">
        <v>117</v>
      </c>
      <c r="B19" s="10" t="s">
        <v>118</v>
      </c>
      <c r="C19" s="10">
        <v>8</v>
      </c>
      <c r="D19" s="10">
        <v>1</v>
      </c>
      <c r="E19" s="11">
        <v>28260005</v>
      </c>
      <c r="F19" s="12" t="s">
        <v>118</v>
      </c>
      <c r="R19" s="8" t="s">
        <v>119</v>
      </c>
    </row>
    <row r="20" spans="1:18" x14ac:dyDescent="0.45">
      <c r="A20" s="9" t="s">
        <v>120</v>
      </c>
      <c r="B20" s="10" t="s">
        <v>121</v>
      </c>
      <c r="C20" s="10">
        <v>2</v>
      </c>
      <c r="D20" s="10">
        <v>1</v>
      </c>
      <c r="E20" s="11">
        <v>2</v>
      </c>
      <c r="F20" s="12" t="s">
        <v>121</v>
      </c>
      <c r="R20" s="8" t="s">
        <v>122</v>
      </c>
    </row>
    <row r="21" spans="1:18" x14ac:dyDescent="0.45">
      <c r="A21" s="9" t="s">
        <v>123</v>
      </c>
      <c r="B21" s="10" t="s">
        <v>124</v>
      </c>
      <c r="C21" s="10">
        <v>2</v>
      </c>
      <c r="D21" s="10">
        <v>1</v>
      </c>
      <c r="E21" s="11">
        <v>3</v>
      </c>
      <c r="F21" s="12" t="s">
        <v>124</v>
      </c>
      <c r="G21" s="13" t="s">
        <v>125</v>
      </c>
      <c r="R21" s="8" t="s">
        <v>126</v>
      </c>
    </row>
    <row r="22" spans="1:18" x14ac:dyDescent="0.45">
      <c r="A22" s="5" t="s">
        <v>127</v>
      </c>
      <c r="B22" s="6" t="s">
        <v>128</v>
      </c>
      <c r="C22" s="6">
        <v>200</v>
      </c>
      <c r="D22" s="6">
        <v>1</v>
      </c>
      <c r="E22" s="7" t="s">
        <v>129</v>
      </c>
      <c r="F22" s="8" t="s">
        <v>130</v>
      </c>
      <c r="G22" s="13"/>
      <c r="R22" s="8" t="s">
        <v>131</v>
      </c>
    </row>
    <row r="23" spans="1:18" x14ac:dyDescent="0.45">
      <c r="A23" s="5" t="s">
        <v>132</v>
      </c>
      <c r="B23" s="6" t="s">
        <v>133</v>
      </c>
      <c r="C23" s="6">
        <v>200</v>
      </c>
      <c r="D23" s="6">
        <v>0</v>
      </c>
      <c r="E23" s="7" t="s">
        <v>134</v>
      </c>
      <c r="F23" s="8" t="s">
        <v>135</v>
      </c>
      <c r="G23" s="13"/>
      <c r="R23" s="8" t="s">
        <v>136</v>
      </c>
    </row>
    <row r="24" spans="1:18" x14ac:dyDescent="0.45">
      <c r="A24" s="9" t="s">
        <v>137</v>
      </c>
      <c r="B24" s="10" t="s">
        <v>138</v>
      </c>
      <c r="C24" s="10">
        <v>15</v>
      </c>
      <c r="D24" s="10">
        <v>1</v>
      </c>
      <c r="E24" s="11">
        <v>37.56962</v>
      </c>
      <c r="F24" s="12" t="s">
        <v>139</v>
      </c>
      <c r="G24" s="13"/>
      <c r="R24" s="8" t="s">
        <v>140</v>
      </c>
    </row>
    <row r="25" spans="1:18" x14ac:dyDescent="0.45">
      <c r="A25" s="9" t="s">
        <v>141</v>
      </c>
      <c r="B25" s="10" t="s">
        <v>142</v>
      </c>
      <c r="C25" s="10">
        <v>15</v>
      </c>
      <c r="D25" s="10">
        <v>1</v>
      </c>
      <c r="E25" s="11">
        <v>126.64197299999999</v>
      </c>
      <c r="F25" s="12" t="s">
        <v>143</v>
      </c>
      <c r="G25" s="13"/>
      <c r="R25" s="8" t="s">
        <v>144</v>
      </c>
    </row>
    <row r="26" spans="1:18" x14ac:dyDescent="0.45">
      <c r="A26" s="9" t="s">
        <v>145</v>
      </c>
      <c r="B26" s="10" t="s">
        <v>146</v>
      </c>
      <c r="C26" s="10">
        <v>100</v>
      </c>
      <c r="D26" s="10">
        <v>1</v>
      </c>
      <c r="E26" s="11" t="s">
        <v>147</v>
      </c>
      <c r="F26" s="12" t="s">
        <v>148</v>
      </c>
      <c r="R26" s="8" t="s">
        <v>149</v>
      </c>
    </row>
    <row r="27" spans="1:18" x14ac:dyDescent="0.45">
      <c r="A27" s="5" t="s">
        <v>150</v>
      </c>
      <c r="B27" s="6" t="s">
        <v>151</v>
      </c>
      <c r="C27" s="6">
        <v>2</v>
      </c>
      <c r="D27" s="6">
        <v>1</v>
      </c>
      <c r="E27" s="7" t="s">
        <v>152</v>
      </c>
      <c r="F27" s="8" t="s">
        <v>151</v>
      </c>
      <c r="R27" s="8" t="s">
        <v>153</v>
      </c>
    </row>
    <row r="28" spans="1:18" x14ac:dyDescent="0.45">
      <c r="A28" s="9" t="s">
        <v>154</v>
      </c>
      <c r="B28" s="10" t="s">
        <v>155</v>
      </c>
      <c r="C28" s="10">
        <v>100</v>
      </c>
      <c r="D28" s="10">
        <v>1</v>
      </c>
      <c r="E28" s="11" t="s">
        <v>156</v>
      </c>
      <c r="F28" s="12" t="s">
        <v>155</v>
      </c>
      <c r="R28" s="8" t="s">
        <v>157</v>
      </c>
    </row>
    <row r="29" spans="1:18" x14ac:dyDescent="0.45">
      <c r="A29" s="9" t="s">
        <v>158</v>
      </c>
      <c r="B29" s="10" t="s">
        <v>159</v>
      </c>
      <c r="C29" s="10">
        <v>100</v>
      </c>
      <c r="D29" s="10">
        <v>1</v>
      </c>
      <c r="E29" s="11" t="s">
        <v>160</v>
      </c>
      <c r="F29" s="12" t="s">
        <v>159</v>
      </c>
      <c r="R29" s="8" t="s">
        <v>161</v>
      </c>
    </row>
    <row r="30" spans="1:18" x14ac:dyDescent="0.45">
      <c r="A30" s="5" t="s">
        <v>162</v>
      </c>
      <c r="B30" s="6" t="s">
        <v>163</v>
      </c>
      <c r="C30" s="6">
        <v>50</v>
      </c>
      <c r="D30" s="6">
        <v>1</v>
      </c>
      <c r="E30" s="7" t="s">
        <v>164</v>
      </c>
      <c r="F30" s="8" t="s">
        <v>165</v>
      </c>
      <c r="R30" s="8" t="s">
        <v>166</v>
      </c>
    </row>
    <row r="31" spans="1:18" x14ac:dyDescent="0.45">
      <c r="A31" s="9" t="s">
        <v>167</v>
      </c>
      <c r="B31" s="10" t="s">
        <v>168</v>
      </c>
      <c r="C31" s="10">
        <v>1</v>
      </c>
      <c r="D31" s="10">
        <v>1</v>
      </c>
      <c r="E31" s="11">
        <v>2</v>
      </c>
      <c r="F31" s="12" t="s">
        <v>168</v>
      </c>
      <c r="G31" s="13" t="s">
        <v>169</v>
      </c>
      <c r="R31" s="8" t="s">
        <v>170</v>
      </c>
    </row>
    <row r="32" spans="1:18" x14ac:dyDescent="0.45">
      <c r="A32" s="9" t="s">
        <v>171</v>
      </c>
      <c r="B32" s="10" t="s">
        <v>172</v>
      </c>
      <c r="C32" s="10">
        <v>14</v>
      </c>
      <c r="D32" s="10">
        <v>1</v>
      </c>
      <c r="E32" s="11" t="s">
        <v>173</v>
      </c>
      <c r="F32" s="12" t="s">
        <v>174</v>
      </c>
      <c r="R32" s="8" t="s">
        <v>175</v>
      </c>
    </row>
    <row r="33" spans="1:18" x14ac:dyDescent="0.45">
      <c r="A33" s="9" t="s">
        <v>176</v>
      </c>
      <c r="B33" s="10" t="s">
        <v>177</v>
      </c>
      <c r="C33" s="10">
        <v>14</v>
      </c>
      <c r="D33" s="10">
        <v>0</v>
      </c>
      <c r="E33" s="11" t="s">
        <v>178</v>
      </c>
      <c r="F33" s="12" t="s">
        <v>177</v>
      </c>
      <c r="R33" s="8" t="s">
        <v>179</v>
      </c>
    </row>
    <row r="34" spans="1:18" x14ac:dyDescent="0.45">
      <c r="A34" s="9" t="s">
        <v>180</v>
      </c>
      <c r="B34" s="10" t="s">
        <v>181</v>
      </c>
      <c r="C34" s="10">
        <v>14</v>
      </c>
      <c r="D34" s="10">
        <v>0</v>
      </c>
      <c r="E34" s="11" t="s">
        <v>182</v>
      </c>
      <c r="F34" s="12" t="s">
        <v>181</v>
      </c>
      <c r="R34" s="8" t="s">
        <v>183</v>
      </c>
    </row>
    <row r="35" spans="1:18" x14ac:dyDescent="0.45">
      <c r="A35" s="9" t="s">
        <v>184</v>
      </c>
      <c r="B35" s="10" t="s">
        <v>185</v>
      </c>
      <c r="C35" s="10">
        <v>14</v>
      </c>
      <c r="D35" s="10">
        <v>0</v>
      </c>
      <c r="E35" s="11" t="s">
        <v>186</v>
      </c>
      <c r="F35" s="12" t="s">
        <v>185</v>
      </c>
      <c r="R35" s="8" t="s">
        <v>187</v>
      </c>
    </row>
    <row r="36" spans="1:18" x14ac:dyDescent="0.45">
      <c r="A36" s="9" t="s">
        <v>188</v>
      </c>
      <c r="B36" s="10" t="s">
        <v>189</v>
      </c>
      <c r="C36" s="10">
        <v>5</v>
      </c>
      <c r="D36" s="10">
        <v>0</v>
      </c>
      <c r="E36" s="11">
        <v>50</v>
      </c>
      <c r="F36" s="12" t="s">
        <v>190</v>
      </c>
      <c r="R36" s="8" t="s">
        <v>191</v>
      </c>
    </row>
    <row r="37" spans="1:18" x14ac:dyDescent="0.45">
      <c r="A37" s="9" t="s">
        <v>192</v>
      </c>
      <c r="B37" s="10" t="s">
        <v>193</v>
      </c>
      <c r="C37" s="10">
        <v>10</v>
      </c>
      <c r="D37" s="10">
        <v>0</v>
      </c>
      <c r="E37" s="11" t="s">
        <v>194</v>
      </c>
      <c r="F37" s="12" t="s">
        <v>195</v>
      </c>
      <c r="R37" s="8" t="s">
        <v>196</v>
      </c>
    </row>
    <row r="38" spans="1:18" x14ac:dyDescent="0.45">
      <c r="A38" s="9" t="s">
        <v>86</v>
      </c>
      <c r="B38" s="10" t="s">
        <v>197</v>
      </c>
      <c r="C38" s="10">
        <v>2</v>
      </c>
      <c r="D38" s="10">
        <v>1</v>
      </c>
      <c r="E38" s="11">
        <v>28</v>
      </c>
      <c r="F38" s="12" t="s">
        <v>88</v>
      </c>
      <c r="R38" s="8" t="s">
        <v>198</v>
      </c>
    </row>
    <row r="39" spans="1:18" x14ac:dyDescent="0.45">
      <c r="A39" s="9" t="s">
        <v>199</v>
      </c>
      <c r="B39" s="10" t="s">
        <v>200</v>
      </c>
      <c r="C39" s="10">
        <v>1</v>
      </c>
      <c r="D39" s="10">
        <v>0</v>
      </c>
      <c r="E39" s="11" t="s">
        <v>201</v>
      </c>
      <c r="F39" s="12" t="s">
        <v>202</v>
      </c>
      <c r="G39" s="1" t="s">
        <v>203</v>
      </c>
      <c r="R39" s="8" t="s">
        <v>204</v>
      </c>
    </row>
    <row r="40" spans="1:18" x14ac:dyDescent="0.45">
      <c r="A40" s="9" t="s">
        <v>205</v>
      </c>
      <c r="B40" s="10" t="s">
        <v>206</v>
      </c>
      <c r="C40" s="10">
        <v>200</v>
      </c>
      <c r="D40" s="10">
        <v>0</v>
      </c>
      <c r="E40" s="11" t="s">
        <v>207</v>
      </c>
      <c r="F40" s="12" t="s">
        <v>208</v>
      </c>
      <c r="R40" s="8" t="s">
        <v>209</v>
      </c>
    </row>
    <row r="41" spans="1:18" x14ac:dyDescent="0.45">
      <c r="A41" s="9" t="s">
        <v>210</v>
      </c>
      <c r="B41" s="10" t="s">
        <v>211</v>
      </c>
      <c r="C41" s="10">
        <v>1</v>
      </c>
      <c r="D41" s="10">
        <v>1</v>
      </c>
      <c r="E41" s="11" t="s">
        <v>201</v>
      </c>
      <c r="F41" s="12" t="s">
        <v>212</v>
      </c>
    </row>
    <row r="42" spans="1:18" x14ac:dyDescent="0.45">
      <c r="A42" s="9" t="s">
        <v>213</v>
      </c>
      <c r="B42" s="10" t="s">
        <v>214</v>
      </c>
      <c r="C42" s="10">
        <v>100</v>
      </c>
      <c r="D42" s="10">
        <v>0</v>
      </c>
      <c r="E42" s="11" t="s">
        <v>215</v>
      </c>
      <c r="F42" s="12" t="s">
        <v>214</v>
      </c>
    </row>
    <row r="43" spans="1:18" x14ac:dyDescent="0.45">
      <c r="A43" s="9" t="s">
        <v>216</v>
      </c>
      <c r="B43" s="10" t="s">
        <v>217</v>
      </c>
      <c r="C43" s="10">
        <v>1</v>
      </c>
      <c r="D43" s="10">
        <v>1</v>
      </c>
      <c r="E43" s="11" t="s">
        <v>201</v>
      </c>
      <c r="F43" s="12" t="s">
        <v>218</v>
      </c>
      <c r="G43" s="1" t="s">
        <v>219</v>
      </c>
    </row>
    <row r="44" spans="1:18" x14ac:dyDescent="0.45">
      <c r="A44" s="9" t="s">
        <v>220</v>
      </c>
      <c r="B44" s="10" t="s">
        <v>221</v>
      </c>
      <c r="C44" s="10">
        <v>100</v>
      </c>
      <c r="D44" s="10">
        <v>0</v>
      </c>
      <c r="E44" s="11" t="s">
        <v>222</v>
      </c>
      <c r="F44" s="12" t="s">
        <v>223</v>
      </c>
    </row>
    <row r="45" spans="1:18" x14ac:dyDescent="0.45">
      <c r="A45" s="14"/>
      <c r="B45" s="14"/>
      <c r="C45" s="14"/>
      <c r="D45" s="14"/>
      <c r="E45" s="15"/>
      <c r="F45" s="14"/>
    </row>
    <row r="46" spans="1:18" x14ac:dyDescent="0.45">
      <c r="A46" s="14"/>
      <c r="B46" s="14"/>
      <c r="C46" s="14"/>
      <c r="D46" s="14"/>
      <c r="E46" s="15"/>
      <c r="F46" s="14"/>
    </row>
    <row r="47" spans="1:18" x14ac:dyDescent="0.45">
      <c r="A47" s="1" t="s">
        <v>89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7FB20-F232-4B63-9FB0-F525CC8D3701}">
  <dimension ref="A3:K39"/>
  <sheetViews>
    <sheetView zoomScaleNormal="100" workbookViewId="0">
      <selection activeCell="C5" sqref="C5"/>
    </sheetView>
  </sheetViews>
  <sheetFormatPr defaultColWidth="8.58203125" defaultRowHeight="18" x14ac:dyDescent="0.45"/>
  <cols>
    <col min="1" max="1" width="14.83203125" style="1" customWidth="1"/>
    <col min="2" max="2" width="14.33203125" style="1" customWidth="1"/>
    <col min="3" max="5" width="8.58203125" style="1"/>
    <col min="6" max="6" width="24.58203125" style="1" customWidth="1"/>
    <col min="7" max="13" width="8.58203125" style="1"/>
    <col min="14" max="14" width="29.08203125" style="1" customWidth="1"/>
    <col min="15" max="15" width="10.25" style="1" bestFit="1" customWidth="1"/>
    <col min="16" max="17" width="8.58203125" style="1"/>
    <col min="18" max="18" width="29.75" style="1" customWidth="1"/>
    <col min="19" max="19" width="10.25" style="1" bestFit="1" customWidth="1"/>
    <col min="20" max="21" width="8.58203125" style="1"/>
    <col min="22" max="22" width="18.08203125" style="1" customWidth="1"/>
    <col min="23" max="23" width="10.25" style="1" bestFit="1" customWidth="1"/>
    <col min="24" max="16384" width="8.58203125" style="1"/>
  </cols>
  <sheetData>
    <row r="3" spans="1:11" ht="18.5" thickBot="1" x14ac:dyDescent="0.5">
      <c r="A3" s="1" t="s">
        <v>226</v>
      </c>
      <c r="E3" s="1" t="s">
        <v>227</v>
      </c>
      <c r="I3" s="1" t="s">
        <v>228</v>
      </c>
    </row>
    <row r="4" spans="1:11" ht="18.5" thickBot="1" x14ac:dyDescent="0.5">
      <c r="A4" s="16" t="s">
        <v>231</v>
      </c>
      <c r="B4" s="17" t="s">
        <v>232</v>
      </c>
      <c r="E4" s="16" t="s">
        <v>231</v>
      </c>
      <c r="F4" s="16" t="s">
        <v>232</v>
      </c>
      <c r="I4" s="16" t="s">
        <v>231</v>
      </c>
      <c r="J4" s="16" t="s">
        <v>232</v>
      </c>
    </row>
    <row r="5" spans="1:11" ht="18.5" thickBot="1" x14ac:dyDescent="0.5">
      <c r="A5" s="18">
        <v>11</v>
      </c>
      <c r="B5" s="19" t="s">
        <v>233</v>
      </c>
      <c r="C5" s="20"/>
      <c r="E5" s="16">
        <v>1</v>
      </c>
      <c r="F5" s="16" t="s">
        <v>234</v>
      </c>
      <c r="G5" s="20"/>
      <c r="I5" s="16">
        <v>1</v>
      </c>
      <c r="J5" s="16" t="s">
        <v>235</v>
      </c>
      <c r="K5" s="20"/>
    </row>
    <row r="6" spans="1:11" ht="18.5" thickBot="1" x14ac:dyDescent="0.5">
      <c r="A6" s="18">
        <v>26</v>
      </c>
      <c r="B6" s="19" t="s">
        <v>236</v>
      </c>
      <c r="C6" s="20"/>
      <c r="E6" s="16">
        <v>2</v>
      </c>
      <c r="F6" s="16" t="s">
        <v>237</v>
      </c>
      <c r="G6" s="20"/>
      <c r="I6" s="16">
        <v>2</v>
      </c>
      <c r="J6" s="16" t="s">
        <v>238</v>
      </c>
      <c r="K6" s="20"/>
    </row>
    <row r="7" spans="1:11" ht="18.5" thickBot="1" x14ac:dyDescent="0.5">
      <c r="A7" s="18">
        <v>27</v>
      </c>
      <c r="B7" s="19" t="s">
        <v>239</v>
      </c>
      <c r="C7" s="20"/>
      <c r="E7" s="16">
        <v>3</v>
      </c>
      <c r="F7" s="16" t="s">
        <v>240</v>
      </c>
      <c r="G7" s="20"/>
      <c r="I7" s="16">
        <v>3</v>
      </c>
      <c r="J7" s="16" t="s">
        <v>241</v>
      </c>
      <c r="K7" s="20"/>
    </row>
    <row r="8" spans="1:11" ht="18.5" thickBot="1" x14ac:dyDescent="0.5">
      <c r="A8" s="18">
        <v>28</v>
      </c>
      <c r="B8" s="19" t="s">
        <v>242</v>
      </c>
      <c r="C8" s="20"/>
      <c r="E8" s="16">
        <v>4</v>
      </c>
      <c r="F8" s="16" t="s">
        <v>243</v>
      </c>
      <c r="G8" s="20"/>
      <c r="I8" s="16">
        <v>4</v>
      </c>
      <c r="J8" s="16" t="s">
        <v>244</v>
      </c>
      <c r="K8" s="20"/>
    </row>
    <row r="9" spans="1:11" ht="18.5" thickBot="1" x14ac:dyDescent="0.5">
      <c r="A9" s="18">
        <v>29</v>
      </c>
      <c r="B9" s="19" t="s">
        <v>245</v>
      </c>
      <c r="C9" s="20"/>
      <c r="E9" s="16">
        <v>5</v>
      </c>
      <c r="F9" s="16" t="s">
        <v>246</v>
      </c>
      <c r="G9" s="20"/>
      <c r="I9" s="16">
        <v>5</v>
      </c>
      <c r="J9" s="16" t="s">
        <v>247</v>
      </c>
      <c r="K9" s="20"/>
    </row>
    <row r="10" spans="1:11" ht="18.5" thickBot="1" x14ac:dyDescent="0.5">
      <c r="A10" s="18">
        <v>30</v>
      </c>
      <c r="B10" s="19" t="s">
        <v>248</v>
      </c>
      <c r="C10" s="20"/>
      <c r="E10" s="16">
        <v>6</v>
      </c>
      <c r="F10" s="16" t="s">
        <v>249</v>
      </c>
      <c r="G10" s="20"/>
      <c r="I10" s="16">
        <v>9</v>
      </c>
      <c r="J10" s="16" t="s">
        <v>250</v>
      </c>
      <c r="K10" s="20"/>
    </row>
    <row r="11" spans="1:11" ht="18.5" thickBot="1" x14ac:dyDescent="0.5">
      <c r="A11" s="18">
        <v>31</v>
      </c>
      <c r="B11" s="19" t="s">
        <v>251</v>
      </c>
      <c r="C11" s="20"/>
      <c r="E11" s="16">
        <v>7</v>
      </c>
      <c r="F11" s="16" t="s">
        <v>252</v>
      </c>
      <c r="G11" s="20"/>
      <c r="K11" s="20"/>
    </row>
    <row r="12" spans="1:11" ht="18.5" thickBot="1" x14ac:dyDescent="0.5">
      <c r="A12" s="18">
        <v>36</v>
      </c>
      <c r="B12" s="19" t="s">
        <v>253</v>
      </c>
      <c r="C12" s="20"/>
      <c r="G12" s="20"/>
    </row>
    <row r="13" spans="1:11" ht="18.5" thickBot="1" x14ac:dyDescent="0.5">
      <c r="A13" s="18">
        <v>41</v>
      </c>
      <c r="B13" s="19" t="s">
        <v>254</v>
      </c>
      <c r="C13" s="20"/>
    </row>
    <row r="14" spans="1:11" ht="18.5" thickBot="1" x14ac:dyDescent="0.5">
      <c r="A14" s="18">
        <v>42</v>
      </c>
      <c r="B14" s="19" t="s">
        <v>255</v>
      </c>
      <c r="C14" s="20"/>
    </row>
    <row r="15" spans="1:11" ht="18.5" thickBot="1" x14ac:dyDescent="0.5">
      <c r="A15" s="18">
        <v>43</v>
      </c>
      <c r="B15" s="19" t="s">
        <v>256</v>
      </c>
      <c r="C15" s="20"/>
    </row>
    <row r="16" spans="1:11" ht="18.5" thickBot="1" x14ac:dyDescent="0.5">
      <c r="A16" s="18">
        <v>44</v>
      </c>
      <c r="B16" s="19" t="s">
        <v>257</v>
      </c>
      <c r="C16" s="20"/>
    </row>
    <row r="17" spans="1:10" ht="18.5" thickBot="1" x14ac:dyDescent="0.5">
      <c r="A17" s="18">
        <v>45</v>
      </c>
      <c r="B17" s="19" t="s">
        <v>258</v>
      </c>
      <c r="C17" s="20"/>
    </row>
    <row r="18" spans="1:10" ht="18.5" thickBot="1" x14ac:dyDescent="0.5">
      <c r="A18" s="18">
        <v>46</v>
      </c>
      <c r="B18" s="19" t="s">
        <v>259</v>
      </c>
      <c r="C18" s="20"/>
    </row>
    <row r="19" spans="1:10" ht="18.5" thickBot="1" x14ac:dyDescent="0.5">
      <c r="A19" s="18">
        <v>47</v>
      </c>
      <c r="B19" s="19" t="s">
        <v>260</v>
      </c>
      <c r="C19" s="20"/>
    </row>
    <row r="20" spans="1:10" ht="18.5" thickBot="1" x14ac:dyDescent="0.5">
      <c r="A20" s="18">
        <v>48</v>
      </c>
      <c r="B20" s="19" t="s">
        <v>261</v>
      </c>
      <c r="C20" s="20"/>
    </row>
    <row r="21" spans="1:10" ht="18.5" thickBot="1" x14ac:dyDescent="0.5">
      <c r="A21" s="18">
        <v>50</v>
      </c>
      <c r="B21" s="19" t="s">
        <v>262</v>
      </c>
      <c r="C21" s="20"/>
    </row>
    <row r="22" spans="1:10" x14ac:dyDescent="0.45">
      <c r="C22" s="20"/>
    </row>
    <row r="24" spans="1:10" ht="18.5" thickBot="1" x14ac:dyDescent="0.5"/>
    <row r="25" spans="1:10" ht="18.5" thickBot="1" x14ac:dyDescent="0.5">
      <c r="A25" s="16" t="s">
        <v>224</v>
      </c>
      <c r="E25" s="16" t="s">
        <v>225</v>
      </c>
      <c r="I25" s="16" t="s">
        <v>263</v>
      </c>
    </row>
    <row r="26" spans="1:10" ht="18.5" thickBot="1" x14ac:dyDescent="0.5">
      <c r="A26" s="16" t="s">
        <v>229</v>
      </c>
      <c r="B26" s="20"/>
      <c r="E26" s="16" t="s">
        <v>230</v>
      </c>
      <c r="F26" s="20"/>
      <c r="I26" s="16">
        <v>1</v>
      </c>
      <c r="J26" s="20"/>
    </row>
    <row r="27" spans="1:10" ht="18.5" thickBot="1" x14ac:dyDescent="0.5">
      <c r="A27" s="16" t="s">
        <v>264</v>
      </c>
      <c r="B27" s="20"/>
      <c r="E27" s="16" t="s">
        <v>265</v>
      </c>
      <c r="F27" s="20"/>
      <c r="I27" s="16">
        <v>3</v>
      </c>
      <c r="J27" s="20"/>
    </row>
    <row r="28" spans="1:10" ht="18.5" thickBot="1" x14ac:dyDescent="0.5">
      <c r="A28" s="16" t="s">
        <v>266</v>
      </c>
      <c r="B28" s="20"/>
      <c r="E28" s="16" t="s">
        <v>266</v>
      </c>
      <c r="F28" s="20"/>
      <c r="I28" s="16">
        <v>7</v>
      </c>
      <c r="J28" s="20"/>
    </row>
    <row r="29" spans="1:10" ht="18.5" thickBot="1" x14ac:dyDescent="0.5">
      <c r="B29" s="21"/>
      <c r="F29" s="21"/>
      <c r="I29" s="16">
        <v>14</v>
      </c>
      <c r="J29" s="20"/>
    </row>
    <row r="30" spans="1:10" ht="18.5" thickBot="1" x14ac:dyDescent="0.5">
      <c r="I30" s="16">
        <v>40</v>
      </c>
      <c r="J30" s="20"/>
    </row>
    <row r="31" spans="1:10" ht="18.5" thickBot="1" x14ac:dyDescent="0.5">
      <c r="I31" s="16">
        <v>50</v>
      </c>
      <c r="J31" s="20"/>
    </row>
    <row r="32" spans="1:10" ht="18.5" thickBot="1" x14ac:dyDescent="0.5">
      <c r="I32" s="16">
        <v>100</v>
      </c>
      <c r="J32" s="20"/>
    </row>
    <row r="33" spans="9:10" ht="18.5" thickBot="1" x14ac:dyDescent="0.5">
      <c r="I33" s="16">
        <v>175</v>
      </c>
      <c r="J33" s="20"/>
    </row>
    <row r="34" spans="9:10" ht="18.5" thickBot="1" x14ac:dyDescent="0.5">
      <c r="I34" s="16">
        <v>200</v>
      </c>
      <c r="J34" s="20"/>
    </row>
    <row r="35" spans="9:10" ht="18.5" thickBot="1" x14ac:dyDescent="0.5">
      <c r="I35" s="16">
        <v>260</v>
      </c>
      <c r="J35" s="20"/>
    </row>
    <row r="36" spans="9:10" ht="18.5" thickBot="1" x14ac:dyDescent="0.5">
      <c r="I36" s="16">
        <v>320</v>
      </c>
      <c r="J36" s="20"/>
    </row>
    <row r="37" spans="9:10" ht="18.5" thickBot="1" x14ac:dyDescent="0.5">
      <c r="I37" s="16">
        <v>350</v>
      </c>
      <c r="J37" s="20"/>
    </row>
    <row r="38" spans="9:10" ht="18.5" thickBot="1" x14ac:dyDescent="0.5">
      <c r="I38" s="16" t="s">
        <v>266</v>
      </c>
      <c r="J38" s="20"/>
    </row>
    <row r="39" spans="9:10" x14ac:dyDescent="0.45">
      <c r="J39" s="21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수집기록</vt:lpstr>
      <vt:lpstr>docx명세</vt:lpstr>
      <vt:lpstr>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Dayeon</cp:lastModifiedBy>
  <dcterms:created xsi:type="dcterms:W3CDTF">2019-12-15T06:17:58Z</dcterms:created>
  <dcterms:modified xsi:type="dcterms:W3CDTF">2022-06-30T04:24:53Z</dcterms:modified>
</cp:coreProperties>
</file>