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work\_Coding\_scheduler\output_STAT_1m\"/>
    </mc:Choice>
  </mc:AlternateContent>
  <xr:revisionPtr revIDLastSave="0" documentId="13_ncr:1_{EFC81317-592B-4B9A-9771-C9C940E45C57}" xr6:coauthVersionLast="47" xr6:coauthVersionMax="47" xr10:uidLastSave="{00000000-0000-0000-0000-000000000000}"/>
  <bookViews>
    <workbookView xWindow="1452" yWindow="-96" windowWidth="21684" windowHeight="13152" xr2:uid="{D9F33B70-83F9-4843-8F63-9AE9E1D727A9}"/>
  </bookViews>
  <sheets>
    <sheet name="수집기록" sheetId="1" r:id="rId1"/>
    <sheet name="docx명세" sheetId="2" r:id="rId2"/>
    <sheet name="코드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" l="1" a="1"/>
  <c r="B3" i="1" s="1"/>
  <c r="N6" i="1"/>
  <c r="J1" i="1"/>
  <c r="K6" i="1" l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6" i="1"/>
  <c r="J7" i="1"/>
  <c r="K7" i="1" s="1"/>
  <c r="G7" i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P5" i="1" l="1"/>
  <c r="N7" i="1"/>
  <c r="J8" i="1"/>
  <c r="L6" i="1"/>
  <c r="M6" i="1" s="1"/>
  <c r="N8" i="1" l="1"/>
  <c r="K8" i="1"/>
  <c r="L7" i="1"/>
  <c r="M7" i="1" s="1"/>
  <c r="J9" i="1"/>
  <c r="N9" i="1" l="1"/>
  <c r="K9" i="1"/>
  <c r="L8" i="1"/>
  <c r="M8" i="1" s="1"/>
  <c r="J10" i="1"/>
  <c r="N10" i="1" l="1"/>
  <c r="K10" i="1"/>
  <c r="L9" i="1"/>
  <c r="M9" i="1" s="1"/>
  <c r="J11" i="1"/>
  <c r="N11" i="1" l="1"/>
  <c r="K11" i="1"/>
  <c r="L10" i="1"/>
  <c r="M10" i="1" s="1"/>
  <c r="J12" i="1"/>
  <c r="N12" i="1" l="1"/>
  <c r="K12" i="1"/>
  <c r="L11" i="1"/>
  <c r="M11" i="1" s="1"/>
  <c r="J13" i="1"/>
  <c r="N13" i="1" l="1"/>
  <c r="K13" i="1"/>
  <c r="L12" i="1"/>
  <c r="M12" i="1" s="1"/>
  <c r="J14" i="1"/>
  <c r="N14" i="1" l="1"/>
  <c r="K14" i="1"/>
  <c r="L13" i="1"/>
  <c r="M13" i="1" s="1"/>
  <c r="J15" i="1"/>
  <c r="N15" i="1" l="1"/>
  <c r="K15" i="1"/>
  <c r="L14" i="1"/>
  <c r="M14" i="1" s="1"/>
  <c r="J16" i="1"/>
  <c r="N16" i="1" l="1"/>
  <c r="K16" i="1"/>
  <c r="L15" i="1"/>
  <c r="M15" i="1" s="1"/>
  <c r="J17" i="1"/>
  <c r="N17" i="1" l="1"/>
  <c r="K17" i="1"/>
  <c r="L16" i="1"/>
  <c r="M16" i="1" s="1"/>
  <c r="J18" i="1"/>
  <c r="N18" i="1" l="1"/>
  <c r="K18" i="1"/>
  <c r="L17" i="1"/>
  <c r="M17" i="1" s="1"/>
  <c r="J19" i="1"/>
  <c r="N19" i="1" l="1"/>
  <c r="K19" i="1"/>
  <c r="L18" i="1"/>
  <c r="M18" i="1" s="1"/>
  <c r="J20" i="1"/>
  <c r="N20" i="1" l="1"/>
  <c r="K20" i="1"/>
  <c r="L19" i="1"/>
  <c r="M19" i="1" s="1"/>
  <c r="J21" i="1"/>
  <c r="N21" i="1" l="1"/>
  <c r="K21" i="1"/>
  <c r="L20" i="1"/>
  <c r="M20" i="1" s="1"/>
  <c r="J22" i="1"/>
  <c r="L21" i="1" s="1"/>
  <c r="M21" i="1" s="1"/>
  <c r="N22" i="1" l="1"/>
  <c r="K22" i="1"/>
  <c r="J23" i="1"/>
  <c r="N23" i="1" l="1"/>
  <c r="K23" i="1"/>
  <c r="L22" i="1"/>
  <c r="M22" i="1" s="1"/>
  <c r="J24" i="1"/>
  <c r="L23" i="1" s="1"/>
  <c r="M23" i="1" s="1"/>
  <c r="N24" i="1" l="1"/>
  <c r="K24" i="1"/>
  <c r="J25" i="1"/>
  <c r="N25" i="1" l="1"/>
  <c r="K25" i="1"/>
  <c r="L24" i="1"/>
  <c r="M24" i="1" s="1"/>
  <c r="J26" i="1"/>
  <c r="N26" i="1" l="1"/>
  <c r="K26" i="1"/>
  <c r="L25" i="1"/>
  <c r="M25" i="1" s="1"/>
  <c r="J27" i="1"/>
  <c r="N27" i="1" l="1"/>
  <c r="K27" i="1"/>
  <c r="L26" i="1"/>
  <c r="M26" i="1" s="1"/>
  <c r="J28" i="1"/>
  <c r="N28" i="1" l="1"/>
  <c r="K28" i="1"/>
  <c r="L27" i="1"/>
  <c r="M27" i="1" s="1"/>
  <c r="J29" i="1"/>
  <c r="N29" i="1" l="1"/>
  <c r="K29" i="1"/>
  <c r="L28" i="1"/>
  <c r="M28" i="1" s="1"/>
  <c r="J30" i="1"/>
  <c r="N30" i="1" l="1"/>
  <c r="K30" i="1"/>
  <c r="L29" i="1"/>
  <c r="M29" i="1" s="1"/>
  <c r="J31" i="1"/>
  <c r="N31" i="1" l="1"/>
  <c r="K31" i="1"/>
  <c r="L30" i="1"/>
  <c r="M30" i="1" s="1"/>
  <c r="J32" i="1"/>
  <c r="N32" i="1" l="1"/>
  <c r="K32" i="1"/>
  <c r="L31" i="1"/>
  <c r="M31" i="1" s="1"/>
  <c r="J33" i="1"/>
  <c r="N33" i="1" l="1"/>
  <c r="K33" i="1"/>
  <c r="L32" i="1"/>
  <c r="M32" i="1" s="1"/>
  <c r="J34" i="1"/>
  <c r="N34" i="1" l="1"/>
  <c r="K34" i="1"/>
  <c r="M34" i="1" s="1"/>
  <c r="L33" i="1"/>
  <c r="M33" i="1" s="1"/>
  <c r="J35" i="1"/>
  <c r="N35" i="1" l="1"/>
  <c r="K35" i="1"/>
  <c r="M35" i="1" s="1"/>
  <c r="L34" i="1"/>
  <c r="J36" i="1"/>
  <c r="N36" i="1" l="1"/>
  <c r="K36" i="1"/>
  <c r="M36" i="1" s="1"/>
  <c r="L35" i="1"/>
  <c r="J37" i="1"/>
  <c r="N37" i="1" l="1"/>
  <c r="K37" i="1"/>
  <c r="M37" i="1" s="1"/>
  <c r="L36" i="1"/>
  <c r="J38" i="1"/>
  <c r="N38" i="1" l="1"/>
  <c r="K38" i="1"/>
  <c r="M38" i="1" s="1"/>
  <c r="L37" i="1"/>
  <c r="J39" i="1"/>
  <c r="N39" i="1" l="1"/>
  <c r="K39" i="1"/>
  <c r="M39" i="1" s="1"/>
  <c r="L38" i="1"/>
  <c r="J40" i="1"/>
  <c r="N40" i="1" l="1"/>
  <c r="K40" i="1"/>
  <c r="M40" i="1" s="1"/>
  <c r="L39" i="1"/>
  <c r="J41" i="1"/>
  <c r="N41" i="1" l="1"/>
  <c r="K41" i="1"/>
  <c r="M41" i="1" s="1"/>
  <c r="L40" i="1"/>
  <c r="J42" i="1"/>
  <c r="N42" i="1" l="1"/>
  <c r="K42" i="1"/>
  <c r="M42" i="1" s="1"/>
  <c r="L41" i="1"/>
  <c r="J43" i="1"/>
  <c r="N43" i="1" l="1"/>
  <c r="K43" i="1"/>
  <c r="M43" i="1" s="1"/>
  <c r="L42" i="1"/>
  <c r="J44" i="1"/>
  <c r="N44" i="1" l="1"/>
  <c r="K44" i="1"/>
  <c r="M44" i="1" s="1"/>
  <c r="L43" i="1"/>
  <c r="J45" i="1"/>
  <c r="L44" i="1" s="1"/>
  <c r="N45" i="1" l="1"/>
  <c r="K45" i="1"/>
  <c r="M45" i="1" s="1"/>
  <c r="J46" i="1"/>
  <c r="N46" i="1" l="1"/>
  <c r="K46" i="1"/>
  <c r="M46" i="1" s="1"/>
  <c r="L45" i="1"/>
  <c r="J47" i="1"/>
  <c r="N47" i="1" l="1"/>
  <c r="K47" i="1"/>
  <c r="M47" i="1" s="1"/>
  <c r="L46" i="1"/>
  <c r="J48" i="1"/>
  <c r="N48" i="1" l="1"/>
  <c r="K48" i="1"/>
  <c r="M48" i="1" s="1"/>
  <c r="L47" i="1"/>
  <c r="J49" i="1"/>
  <c r="N49" i="1" l="1"/>
  <c r="K49" i="1"/>
  <c r="M49" i="1" s="1"/>
  <c r="L48" i="1"/>
  <c r="J50" i="1"/>
  <c r="N50" i="1" l="1"/>
  <c r="K50" i="1"/>
  <c r="M50" i="1" s="1"/>
  <c r="L49" i="1"/>
  <c r="J51" i="1"/>
  <c r="L50" i="1" s="1"/>
  <c r="N51" i="1" l="1"/>
  <c r="K51" i="1"/>
  <c r="M51" i="1" s="1"/>
  <c r="J2" i="1"/>
  <c r="J52" i="1"/>
  <c r="N52" i="1" l="1"/>
  <c r="K52" i="1"/>
  <c r="M52" i="1" s="1"/>
  <c r="L51" i="1"/>
  <c r="J53" i="1"/>
  <c r="N53" i="1" l="1"/>
  <c r="K53" i="1"/>
  <c r="M53" i="1" s="1"/>
  <c r="L52" i="1"/>
  <c r="J54" i="1"/>
  <c r="L53" i="1" s="1"/>
  <c r="N54" i="1" l="1"/>
  <c r="K54" i="1"/>
  <c r="M54" i="1" s="1"/>
  <c r="J55" i="1"/>
  <c r="N55" i="1" l="1"/>
  <c r="K55" i="1"/>
  <c r="M55" i="1" s="1"/>
  <c r="L54" i="1"/>
  <c r="J56" i="1"/>
  <c r="L55" i="1" s="1"/>
  <c r="N56" i="1" l="1"/>
  <c r="K56" i="1"/>
  <c r="M56" i="1" s="1"/>
  <c r="J57" i="1"/>
  <c r="N57" i="1" l="1"/>
  <c r="K57" i="1"/>
  <c r="M57" i="1" s="1"/>
  <c r="L56" i="1"/>
  <c r="J58" i="1"/>
  <c r="L57" i="1" s="1"/>
  <c r="N58" i="1" l="1"/>
  <c r="K58" i="1"/>
  <c r="M58" i="1" s="1"/>
  <c r="J59" i="1"/>
  <c r="N59" i="1" l="1"/>
  <c r="K59" i="1"/>
  <c r="M59" i="1" s="1"/>
  <c r="L58" i="1"/>
  <c r="J60" i="1"/>
  <c r="N60" i="1" l="1"/>
  <c r="K60" i="1"/>
  <c r="M60" i="1" s="1"/>
  <c r="L59" i="1"/>
  <c r="J61" i="1"/>
  <c r="N61" i="1" l="1"/>
  <c r="K61" i="1"/>
  <c r="M61" i="1" s="1"/>
  <c r="L60" i="1"/>
  <c r="J62" i="1"/>
  <c r="N62" i="1" l="1"/>
  <c r="K62" i="1"/>
  <c r="M62" i="1" s="1"/>
  <c r="L61" i="1"/>
  <c r="J63" i="1"/>
  <c r="N63" i="1" l="1"/>
  <c r="K63" i="1"/>
  <c r="M63" i="1" s="1"/>
  <c r="L62" i="1"/>
  <c r="J64" i="1"/>
  <c r="N64" i="1" l="1"/>
  <c r="K64" i="1"/>
  <c r="M64" i="1" s="1"/>
  <c r="L63" i="1"/>
  <c r="J65" i="1"/>
  <c r="N65" i="1" l="1"/>
  <c r="K65" i="1"/>
  <c r="M65" i="1" s="1"/>
  <c r="L64" i="1"/>
  <c r="J66" i="1"/>
  <c r="N66" i="1" l="1"/>
  <c r="K66" i="1"/>
  <c r="M66" i="1" s="1"/>
  <c r="L65" i="1"/>
  <c r="J67" i="1"/>
  <c r="N67" i="1" l="1"/>
  <c r="K67" i="1"/>
  <c r="M67" i="1" s="1"/>
  <c r="L66" i="1"/>
  <c r="J68" i="1"/>
  <c r="L67" i="1" s="1"/>
  <c r="N68" i="1" l="1"/>
  <c r="K68" i="1"/>
  <c r="M68" i="1" s="1"/>
  <c r="J69" i="1"/>
  <c r="N69" i="1" l="1"/>
  <c r="K69" i="1"/>
  <c r="M69" i="1" s="1"/>
  <c r="L68" i="1"/>
  <c r="J70" i="1"/>
  <c r="N70" i="1" l="1"/>
  <c r="K70" i="1"/>
  <c r="M70" i="1" s="1"/>
  <c r="L69" i="1"/>
  <c r="J71" i="1"/>
  <c r="N71" i="1" l="1"/>
  <c r="K71" i="1"/>
  <c r="M71" i="1" s="1"/>
  <c r="L70" i="1"/>
  <c r="J72" i="1"/>
  <c r="N72" i="1" l="1"/>
  <c r="K72" i="1"/>
  <c r="M72" i="1" s="1"/>
  <c r="L71" i="1"/>
  <c r="J73" i="1"/>
  <c r="L72" i="1" s="1"/>
  <c r="N73" i="1" l="1"/>
  <c r="K73" i="1"/>
  <c r="M73" i="1" s="1"/>
  <c r="J74" i="1"/>
  <c r="N74" i="1" l="1"/>
  <c r="K74" i="1"/>
  <c r="M74" i="1" s="1"/>
  <c r="L73" i="1"/>
  <c r="J75" i="1"/>
  <c r="L74" i="1" s="1"/>
  <c r="N75" i="1" l="1"/>
  <c r="K75" i="1"/>
  <c r="M75" i="1" s="1"/>
  <c r="J76" i="1"/>
  <c r="N76" i="1" l="1"/>
  <c r="K76" i="1"/>
  <c r="M76" i="1" s="1"/>
  <c r="L75" i="1"/>
  <c r="J77" i="1"/>
  <c r="N77" i="1" l="1"/>
  <c r="K77" i="1"/>
  <c r="M77" i="1" s="1"/>
  <c r="L76" i="1"/>
  <c r="J78" i="1"/>
  <c r="N78" i="1" l="1"/>
  <c r="K78" i="1"/>
  <c r="M78" i="1" s="1"/>
  <c r="L77" i="1"/>
  <c r="J79" i="1"/>
  <c r="N79" i="1" l="1"/>
  <c r="K79" i="1"/>
  <c r="M79" i="1" s="1"/>
  <c r="L78" i="1"/>
  <c r="J80" i="1"/>
  <c r="N80" i="1" l="1"/>
  <c r="K80" i="1"/>
  <c r="M80" i="1" s="1"/>
  <c r="L79" i="1"/>
  <c r="J81" i="1"/>
  <c r="N81" i="1" l="1"/>
  <c r="K81" i="1"/>
  <c r="M81" i="1" s="1"/>
  <c r="L80" i="1"/>
  <c r="J82" i="1"/>
  <c r="L81" i="1" s="1"/>
  <c r="N82" i="1" l="1"/>
  <c r="K82" i="1"/>
  <c r="M82" i="1" s="1"/>
  <c r="J83" i="1"/>
  <c r="N83" i="1" l="1"/>
  <c r="K83" i="1"/>
  <c r="M83" i="1" s="1"/>
  <c r="L82" i="1"/>
  <c r="J84" i="1"/>
  <c r="N84" i="1" l="1"/>
  <c r="K84" i="1"/>
  <c r="M84" i="1" s="1"/>
  <c r="L83" i="1"/>
  <c r="J85" i="1"/>
  <c r="L84" i="1" s="1"/>
  <c r="N85" i="1" l="1"/>
  <c r="K85" i="1"/>
  <c r="M85" i="1" s="1"/>
  <c r="J86" i="1"/>
  <c r="L85" i="1" s="1"/>
  <c r="N86" i="1" l="1"/>
  <c r="K86" i="1"/>
  <c r="M86" i="1" s="1"/>
  <c r="J87" i="1"/>
  <c r="N87" i="1" l="1"/>
  <c r="K87" i="1"/>
  <c r="M87" i="1" s="1"/>
  <c r="L86" i="1"/>
  <c r="J88" i="1"/>
  <c r="N88" i="1" l="1"/>
  <c r="K88" i="1"/>
  <c r="M88" i="1" s="1"/>
  <c r="L87" i="1"/>
  <c r="J89" i="1"/>
  <c r="N89" i="1" l="1"/>
  <c r="K89" i="1"/>
  <c r="M89" i="1" s="1"/>
  <c r="L88" i="1"/>
  <c r="J90" i="1"/>
  <c r="N90" i="1" l="1"/>
  <c r="K90" i="1"/>
  <c r="M90" i="1" s="1"/>
  <c r="L89" i="1"/>
  <c r="J91" i="1"/>
  <c r="N91" i="1" l="1"/>
  <c r="K91" i="1"/>
  <c r="M91" i="1" s="1"/>
  <c r="L90" i="1"/>
  <c r="J92" i="1"/>
  <c r="N92" i="1" l="1"/>
  <c r="K92" i="1"/>
  <c r="M92" i="1" s="1"/>
  <c r="L91" i="1"/>
  <c r="J93" i="1"/>
  <c r="N93" i="1" l="1"/>
  <c r="K93" i="1"/>
  <c r="M93" i="1" s="1"/>
  <c r="L92" i="1"/>
  <c r="J94" i="1"/>
  <c r="N94" i="1" l="1"/>
  <c r="K94" i="1"/>
  <c r="M94" i="1" s="1"/>
  <c r="L93" i="1"/>
  <c r="J95" i="1"/>
  <c r="N95" i="1" l="1"/>
  <c r="K95" i="1"/>
  <c r="M95" i="1" s="1"/>
  <c r="L94" i="1"/>
  <c r="J96" i="1"/>
  <c r="J97" i="1" l="1"/>
  <c r="L96" i="1" s="1"/>
  <c r="N96" i="1"/>
  <c r="K96" i="1"/>
  <c r="M96" i="1" s="1"/>
  <c r="L95" i="1"/>
  <c r="P7" i="1"/>
  <c r="P8" i="1" s="1"/>
  <c r="P10" i="1" s="1"/>
  <c r="N97" i="1" l="1"/>
  <c r="K97" i="1"/>
  <c r="M97" i="1" s="1"/>
  <c r="J98" i="1"/>
  <c r="L97" i="1" s="1"/>
  <c r="P11" i="1"/>
  <c r="P12" i="1" s="1"/>
  <c r="K98" i="1" l="1"/>
  <c r="M98" i="1" s="1"/>
  <c r="N98" i="1"/>
  <c r="J99" i="1"/>
  <c r="L98" i="1"/>
  <c r="J100" i="1" l="1"/>
  <c r="L99" i="1" s="1"/>
  <c r="N99" i="1"/>
  <c r="K99" i="1"/>
  <c r="M99" i="1" s="1"/>
  <c r="J101" i="1" l="1"/>
  <c r="N100" i="1"/>
  <c r="K100" i="1"/>
  <c r="M100" i="1" s="1"/>
  <c r="L100" i="1"/>
  <c r="N101" i="1" l="1"/>
  <c r="J102" i="1"/>
  <c r="L101" i="1" s="1"/>
  <c r="K101" i="1"/>
  <c r="M101" i="1" s="1"/>
  <c r="K102" i="1" l="1"/>
  <c r="M102" i="1" s="1"/>
  <c r="N102" i="1"/>
  <c r="J103" i="1"/>
  <c r="K103" i="1" l="1"/>
  <c r="M103" i="1" s="1"/>
  <c r="N103" i="1"/>
  <c r="J104" i="1"/>
  <c r="L103" i="1" s="1"/>
  <c r="L102" i="1"/>
  <c r="K104" i="1" l="1"/>
  <c r="M104" i="1" s="1"/>
  <c r="N104" i="1"/>
  <c r="J105" i="1"/>
  <c r="J106" i="1" l="1"/>
  <c r="N105" i="1"/>
  <c r="K105" i="1"/>
  <c r="M105" i="1" s="1"/>
  <c r="L104" i="1"/>
  <c r="L105" i="1" l="1"/>
  <c r="J107" i="1"/>
  <c r="N106" i="1"/>
  <c r="K106" i="1"/>
  <c r="M106" i="1" s="1"/>
  <c r="L106" i="1"/>
  <c r="N107" i="1" l="1"/>
  <c r="J108" i="1"/>
  <c r="L107" i="1" s="1"/>
  <c r="K107" i="1"/>
  <c r="M107" i="1" s="1"/>
  <c r="N108" i="1" l="1"/>
  <c r="J109" i="1"/>
  <c r="K108" i="1"/>
  <c r="M108" i="1" s="1"/>
  <c r="L108" i="1"/>
  <c r="J110" i="1" l="1"/>
  <c r="N109" i="1"/>
  <c r="K109" i="1"/>
  <c r="M109" i="1" s="1"/>
  <c r="L109" i="1" l="1"/>
  <c r="J111" i="1"/>
  <c r="K110" i="1"/>
  <c r="M110" i="1" s="1"/>
  <c r="N110" i="1"/>
  <c r="L110" i="1"/>
  <c r="J112" i="1" l="1"/>
  <c r="N111" i="1"/>
  <c r="K111" i="1"/>
  <c r="M111" i="1" s="1"/>
  <c r="L111" i="1"/>
  <c r="J113" i="1" l="1"/>
  <c r="L112" i="1" s="1"/>
  <c r="N112" i="1"/>
  <c r="K112" i="1"/>
  <c r="M112" i="1" s="1"/>
  <c r="N113" i="1" l="1"/>
  <c r="J114" i="1"/>
  <c r="L113" i="1" s="1"/>
  <c r="K113" i="1"/>
  <c r="M113" i="1" s="1"/>
  <c r="J115" i="1" l="1"/>
  <c r="K114" i="1"/>
  <c r="M114" i="1" s="1"/>
  <c r="N114" i="1"/>
  <c r="L114" i="1"/>
  <c r="J116" i="1" l="1"/>
  <c r="K115" i="1"/>
  <c r="M115" i="1" s="1"/>
  <c r="N115" i="1"/>
  <c r="L115" i="1"/>
  <c r="N116" i="1" l="1"/>
  <c r="J117" i="1"/>
  <c r="L116" i="1" s="1"/>
  <c r="K116" i="1"/>
  <c r="M116" i="1" s="1"/>
  <c r="J118" i="1" l="1"/>
  <c r="K117" i="1"/>
  <c r="M117" i="1" s="1"/>
  <c r="N117" i="1"/>
  <c r="L117" i="1"/>
  <c r="J119" i="1" l="1"/>
  <c r="K118" i="1"/>
  <c r="M118" i="1" s="1"/>
  <c r="N118" i="1"/>
  <c r="L118" i="1"/>
  <c r="N119" i="1" l="1"/>
  <c r="J120" i="1"/>
  <c r="K119" i="1"/>
  <c r="M119" i="1" s="1"/>
  <c r="L119" i="1"/>
  <c r="J121" i="1" l="1"/>
  <c r="K120" i="1"/>
  <c r="M120" i="1" s="1"/>
  <c r="N120" i="1"/>
  <c r="L120" i="1"/>
  <c r="K121" i="1" l="1"/>
  <c r="M121" i="1" s="1"/>
  <c r="N121" i="1"/>
  <c r="J122" i="1"/>
  <c r="L121" i="1" s="1"/>
  <c r="K122" i="1" l="1"/>
  <c r="M122" i="1" s="1"/>
  <c r="J123" i="1"/>
  <c r="L122" i="1" s="1"/>
  <c r="N122" i="1"/>
  <c r="J124" i="1" l="1"/>
  <c r="K123" i="1"/>
  <c r="M123" i="1" s="1"/>
  <c r="N123" i="1"/>
  <c r="L123" i="1"/>
  <c r="N124" i="1" l="1"/>
  <c r="K124" i="1"/>
  <c r="M124" i="1" s="1"/>
  <c r="J125" i="1"/>
  <c r="L124" i="1"/>
  <c r="N125" i="1" l="1"/>
  <c r="K125" i="1"/>
  <c r="M125" i="1" s="1"/>
  <c r="J126" i="1"/>
  <c r="L125" i="1" l="1"/>
  <c r="N126" i="1"/>
  <c r="J127" i="1"/>
  <c r="K126" i="1"/>
  <c r="M126" i="1" s="1"/>
  <c r="L126" i="1" l="1"/>
  <c r="N127" i="1"/>
  <c r="J128" i="1"/>
  <c r="L127" i="1" s="1"/>
  <c r="K127" i="1"/>
  <c r="M127" i="1" s="1"/>
  <c r="J129" i="1" l="1"/>
  <c r="K128" i="1"/>
  <c r="M128" i="1" s="1"/>
  <c r="L128" i="1"/>
  <c r="N128" i="1"/>
  <c r="N129" i="1" l="1"/>
  <c r="J130" i="1"/>
  <c r="K129" i="1"/>
  <c r="M129" i="1" s="1"/>
  <c r="L129" i="1" l="1"/>
  <c r="N130" i="1"/>
  <c r="J131" i="1"/>
  <c r="L130" i="1" s="1"/>
  <c r="K130" i="1"/>
  <c r="M130" i="1" s="1"/>
  <c r="J132" i="1" l="1"/>
  <c r="N131" i="1"/>
  <c r="K131" i="1"/>
  <c r="M131" i="1" s="1"/>
  <c r="L131" i="1"/>
  <c r="J133" i="1" l="1"/>
  <c r="N132" i="1"/>
  <c r="K132" i="1"/>
  <c r="M132" i="1" s="1"/>
  <c r="L132" i="1"/>
  <c r="N133" i="1" l="1"/>
  <c r="K133" i="1"/>
  <c r="M133" i="1" s="1"/>
  <c r="J134" i="1"/>
  <c r="L133" i="1" s="1"/>
  <c r="J135" i="1" l="1"/>
  <c r="N134" i="1"/>
  <c r="K134" i="1"/>
  <c r="M134" i="1" s="1"/>
  <c r="L134" i="1"/>
  <c r="N135" i="1" l="1"/>
  <c r="J136" i="1"/>
  <c r="K135" i="1"/>
  <c r="M135" i="1" s="1"/>
  <c r="J137" i="1" l="1"/>
  <c r="N136" i="1"/>
  <c r="K136" i="1"/>
  <c r="M136" i="1" s="1"/>
  <c r="L136" i="1"/>
  <c r="L135" i="1"/>
  <c r="J138" i="1" l="1"/>
  <c r="K137" i="1"/>
  <c r="M137" i="1" s="1"/>
  <c r="N137" i="1"/>
  <c r="L137" i="1"/>
  <c r="N138" i="1" l="1"/>
  <c r="K138" i="1"/>
  <c r="M138" i="1" s="1"/>
  <c r="J139" i="1"/>
  <c r="L138" i="1" l="1"/>
  <c r="N139" i="1"/>
  <c r="K139" i="1"/>
  <c r="M139" i="1" s="1"/>
  <c r="J140" i="1"/>
  <c r="J141" i="1" l="1"/>
  <c r="K140" i="1"/>
  <c r="M140" i="1" s="1"/>
  <c r="N140" i="1"/>
  <c r="L140" i="1"/>
  <c r="L139" i="1"/>
  <c r="N141" i="1" l="1"/>
  <c r="J142" i="1"/>
  <c r="L141" i="1" s="1"/>
  <c r="K141" i="1"/>
  <c r="M141" i="1" s="1"/>
  <c r="J143" i="1" l="1"/>
  <c r="K142" i="1"/>
  <c r="M142" i="1" s="1"/>
  <c r="N142" i="1"/>
  <c r="L142" i="1" l="1"/>
  <c r="K143" i="1"/>
  <c r="M143" i="1" s="1"/>
  <c r="N143" i="1"/>
  <c r="J144" i="1"/>
  <c r="L143" i="1" s="1"/>
  <c r="J145" i="1" l="1"/>
  <c r="N144" i="1"/>
  <c r="K144" i="1"/>
  <c r="M144" i="1" s="1"/>
  <c r="J146" i="1" l="1"/>
  <c r="K145" i="1"/>
  <c r="M145" i="1" s="1"/>
  <c r="N145" i="1"/>
  <c r="L144" i="1"/>
  <c r="L145" i="1" l="1"/>
  <c r="N146" i="1"/>
  <c r="J147" i="1"/>
  <c r="L146" i="1" s="1"/>
  <c r="K146" i="1"/>
  <c r="M146" i="1" s="1"/>
  <c r="J148" i="1" l="1"/>
  <c r="N147" i="1"/>
  <c r="K147" i="1"/>
  <c r="M147" i="1" s="1"/>
  <c r="L147" i="1"/>
  <c r="K148" i="1" l="1"/>
  <c r="M148" i="1" s="1"/>
  <c r="J149" i="1"/>
  <c r="L148" i="1" s="1"/>
  <c r="N148" i="1"/>
  <c r="N149" i="1" l="1"/>
  <c r="K149" i="1"/>
  <c r="M149" i="1" s="1"/>
  <c r="J150" i="1"/>
  <c r="L149" i="1" s="1"/>
  <c r="J151" i="1" l="1"/>
  <c r="K150" i="1"/>
  <c r="M150" i="1" s="1"/>
  <c r="N150" i="1"/>
  <c r="L150" i="1"/>
  <c r="N151" i="1" l="1"/>
  <c r="J152" i="1"/>
  <c r="L151" i="1" s="1"/>
  <c r="K151" i="1"/>
  <c r="M151" i="1" s="1"/>
  <c r="N152" i="1" l="1"/>
  <c r="J153" i="1"/>
  <c r="K152" i="1"/>
  <c r="M152" i="1" s="1"/>
  <c r="L152" i="1"/>
  <c r="N153" i="1" l="1"/>
  <c r="K153" i="1"/>
  <c r="M153" i="1" s="1"/>
  <c r="J154" i="1"/>
  <c r="L153" i="1" l="1"/>
  <c r="J155" i="1"/>
  <c r="K154" i="1"/>
  <c r="M154" i="1" s="1"/>
  <c r="N154" i="1"/>
  <c r="L154" i="1"/>
  <c r="N155" i="1" l="1"/>
  <c r="J156" i="1"/>
  <c r="K155" i="1"/>
  <c r="M155" i="1" s="1"/>
  <c r="L155" i="1"/>
  <c r="J157" i="1" l="1"/>
  <c r="N156" i="1"/>
  <c r="K156" i="1"/>
  <c r="M156" i="1" s="1"/>
  <c r="L156" i="1"/>
  <c r="J158" i="1" l="1"/>
  <c r="N157" i="1"/>
  <c r="K157" i="1"/>
  <c r="M157" i="1" s="1"/>
  <c r="L157" i="1"/>
  <c r="N158" i="1" l="1"/>
  <c r="K158" i="1"/>
  <c r="M158" i="1" s="1"/>
  <c r="J159" i="1"/>
  <c r="L158" i="1" s="1"/>
  <c r="J160" i="1" l="1"/>
  <c r="L159" i="1" s="1"/>
  <c r="N159" i="1"/>
  <c r="K159" i="1"/>
  <c r="M159" i="1" s="1"/>
  <c r="J161" i="1" l="1"/>
  <c r="K160" i="1"/>
  <c r="M160" i="1" s="1"/>
  <c r="N160" i="1"/>
  <c r="N161" i="1" l="1"/>
  <c r="J162" i="1"/>
  <c r="K161" i="1"/>
  <c r="M161" i="1" s="1"/>
  <c r="L160" i="1"/>
  <c r="L161" i="1" l="1"/>
  <c r="N162" i="1"/>
  <c r="K162" i="1"/>
  <c r="M162" i="1" s="1"/>
  <c r="J163" i="1"/>
  <c r="L162" i="1"/>
  <c r="J164" i="1" l="1"/>
  <c r="N163" i="1"/>
  <c r="K163" i="1"/>
  <c r="M163" i="1" s="1"/>
  <c r="L163" i="1"/>
  <c r="J165" i="1" l="1"/>
  <c r="K164" i="1"/>
  <c r="M164" i="1" s="1"/>
  <c r="N164" i="1"/>
  <c r="L164" i="1"/>
  <c r="N165" i="1" l="1"/>
  <c r="J166" i="1"/>
  <c r="L165" i="1" s="1"/>
  <c r="K165" i="1"/>
  <c r="M165" i="1" s="1"/>
  <c r="N166" i="1" l="1"/>
  <c r="J167" i="1"/>
  <c r="L166" i="1" s="1"/>
  <c r="K166" i="1"/>
  <c r="M166" i="1" s="1"/>
  <c r="N167" i="1" l="1"/>
  <c r="J168" i="1"/>
  <c r="L167" i="1" s="1"/>
  <c r="K167" i="1"/>
  <c r="M167" i="1" s="1"/>
  <c r="K168" i="1" l="1"/>
  <c r="M168" i="1" s="1"/>
  <c r="N168" i="1"/>
  <c r="J169" i="1"/>
  <c r="L168" i="1" s="1"/>
  <c r="N169" i="1" l="1"/>
  <c r="K169" i="1"/>
  <c r="M169" i="1" s="1"/>
  <c r="J170" i="1"/>
  <c r="L169" i="1" s="1"/>
  <c r="N170" i="1" l="1"/>
  <c r="J171" i="1"/>
  <c r="L170" i="1" s="1"/>
  <c r="K170" i="1"/>
  <c r="M170" i="1" s="1"/>
  <c r="N171" i="1" l="1"/>
  <c r="J172" i="1"/>
  <c r="L171" i="1" s="1"/>
  <c r="K171" i="1"/>
  <c r="M171" i="1" s="1"/>
  <c r="J173" i="1" l="1"/>
  <c r="N172" i="1"/>
  <c r="K172" i="1"/>
  <c r="M172" i="1" s="1"/>
  <c r="L172" i="1"/>
  <c r="N173" i="1" l="1"/>
  <c r="J174" i="1"/>
  <c r="L173" i="1" s="1"/>
  <c r="K173" i="1"/>
  <c r="M173" i="1" s="1"/>
  <c r="J175" i="1" l="1"/>
  <c r="L174" i="1"/>
  <c r="K174" i="1"/>
  <c r="M174" i="1" s="1"/>
  <c r="N174" i="1"/>
  <c r="J176" i="1" l="1"/>
  <c r="N175" i="1"/>
  <c r="K175" i="1"/>
  <c r="M175" i="1" s="1"/>
  <c r="L175" i="1"/>
  <c r="J177" i="1" l="1"/>
  <c r="L176" i="1" s="1"/>
  <c r="N176" i="1"/>
  <c r="K176" i="1"/>
  <c r="M176" i="1" s="1"/>
  <c r="N177" i="1" l="1"/>
  <c r="K177" i="1"/>
  <c r="M177" i="1" s="1"/>
  <c r="J178" i="1"/>
  <c r="L177" i="1" l="1"/>
  <c r="K178" i="1"/>
  <c r="M178" i="1" s="1"/>
  <c r="N178" i="1"/>
  <c r="J179" i="1"/>
  <c r="N179" i="1" l="1"/>
  <c r="J180" i="1"/>
  <c r="L179" i="1" s="1"/>
  <c r="K179" i="1"/>
  <c r="M179" i="1" s="1"/>
  <c r="L178" i="1"/>
  <c r="J181" i="1" l="1"/>
  <c r="N180" i="1"/>
  <c r="K180" i="1"/>
  <c r="M180" i="1" s="1"/>
  <c r="L180" i="1"/>
  <c r="N181" i="1" l="1"/>
  <c r="K181" i="1"/>
  <c r="M181" i="1" s="1"/>
  <c r="J182" i="1"/>
  <c r="L181" i="1"/>
  <c r="N182" i="1" l="1"/>
  <c r="K182" i="1"/>
  <c r="M182" i="1" s="1"/>
  <c r="J183" i="1"/>
  <c r="L182" i="1" s="1"/>
  <c r="N183" i="1" l="1"/>
  <c r="J184" i="1"/>
  <c r="L183" i="1" s="1"/>
  <c r="K183" i="1"/>
  <c r="M183" i="1" s="1"/>
  <c r="K184" i="1" l="1"/>
  <c r="M184" i="1" s="1"/>
  <c r="N184" i="1"/>
  <c r="J185" i="1"/>
  <c r="L184" i="1" s="1"/>
  <c r="K185" i="1" l="1"/>
  <c r="M185" i="1" s="1"/>
  <c r="N185" i="1"/>
  <c r="J186" i="1"/>
  <c r="L185" i="1" l="1"/>
  <c r="N186" i="1"/>
  <c r="J187" i="1"/>
  <c r="K186" i="1"/>
  <c r="M186" i="1" s="1"/>
  <c r="L186" i="1"/>
  <c r="N187" i="1" l="1"/>
  <c r="K187" i="1"/>
  <c r="M187" i="1" s="1"/>
  <c r="J188" i="1"/>
  <c r="L187" i="1" s="1"/>
  <c r="J189" i="1" l="1"/>
  <c r="L188" i="1" s="1"/>
  <c r="N188" i="1"/>
  <c r="K188" i="1"/>
  <c r="M188" i="1" s="1"/>
  <c r="J190" i="1" l="1"/>
  <c r="K189" i="1"/>
  <c r="M189" i="1" s="1"/>
  <c r="N189" i="1"/>
  <c r="L189" i="1"/>
  <c r="N190" i="1" l="1"/>
  <c r="J191" i="1"/>
  <c r="K190" i="1"/>
  <c r="M190" i="1" s="1"/>
  <c r="N191" i="1" l="1"/>
  <c r="K191" i="1"/>
  <c r="M191" i="1" s="1"/>
  <c r="J192" i="1"/>
  <c r="L190" i="1"/>
  <c r="J193" i="1" l="1"/>
  <c r="L192" i="1" s="1"/>
  <c r="N192" i="1"/>
  <c r="K192" i="1"/>
  <c r="M192" i="1" s="1"/>
  <c r="L191" i="1"/>
  <c r="K193" i="1" l="1"/>
  <c r="M193" i="1" s="1"/>
  <c r="N193" i="1"/>
  <c r="J194" i="1"/>
  <c r="L193" i="1" l="1"/>
  <c r="J195" i="1"/>
  <c r="K194" i="1"/>
  <c r="M194" i="1" s="1"/>
  <c r="N194" i="1"/>
  <c r="L194" i="1"/>
  <c r="J196" i="1" l="1"/>
  <c r="N195" i="1"/>
  <c r="K195" i="1"/>
  <c r="M195" i="1" s="1"/>
  <c r="L195" i="1"/>
  <c r="J197" i="1" l="1"/>
  <c r="N196" i="1"/>
  <c r="K196" i="1"/>
  <c r="M196" i="1" s="1"/>
  <c r="L196" i="1"/>
  <c r="J198" i="1" l="1"/>
  <c r="K197" i="1"/>
  <c r="M197" i="1" s="1"/>
  <c r="N197" i="1"/>
  <c r="L197" i="1"/>
  <c r="K198" i="1" l="1"/>
  <c r="M198" i="1" s="1"/>
  <c r="N198" i="1"/>
  <c r="J199" i="1"/>
  <c r="L198" i="1"/>
  <c r="N199" i="1" l="1"/>
  <c r="J200" i="1"/>
  <c r="K199" i="1"/>
  <c r="M199" i="1" s="1"/>
  <c r="K200" i="1" l="1"/>
  <c r="M200" i="1" s="1"/>
  <c r="N200" i="1"/>
  <c r="J201" i="1"/>
  <c r="L199" i="1"/>
  <c r="K201" i="1" l="1"/>
  <c r="M201" i="1" s="1"/>
  <c r="J202" i="1"/>
  <c r="N201" i="1"/>
  <c r="L200" i="1"/>
  <c r="L201" i="1" l="1"/>
  <c r="N202" i="1"/>
  <c r="K202" i="1"/>
  <c r="M202" i="1" s="1"/>
  <c r="J203" i="1"/>
  <c r="L202" i="1"/>
  <c r="N203" i="1" l="1"/>
  <c r="J204" i="1"/>
  <c r="K203" i="1"/>
  <c r="M203" i="1" s="1"/>
  <c r="L203" i="1"/>
  <c r="J205" i="1" l="1"/>
  <c r="K204" i="1"/>
  <c r="M204" i="1" s="1"/>
  <c r="N204" i="1"/>
  <c r="L204" i="1"/>
  <c r="N205" i="1" l="1"/>
  <c r="K205" i="1"/>
  <c r="M205" i="1" s="1"/>
  <c r="J206" i="1"/>
  <c r="L205" i="1" l="1"/>
  <c r="N206" i="1"/>
  <c r="K206" i="1"/>
  <c r="M206" i="1" s="1"/>
  <c r="J207" i="1"/>
  <c r="L206" i="1" l="1"/>
  <c r="K207" i="1"/>
  <c r="M207" i="1" s="1"/>
  <c r="N207" i="1"/>
  <c r="J208" i="1"/>
  <c r="N208" i="1" l="1"/>
  <c r="J209" i="1"/>
  <c r="L208" i="1" s="1"/>
  <c r="K208" i="1"/>
  <c r="M208" i="1" s="1"/>
  <c r="L207" i="1"/>
  <c r="N209" i="1" l="1"/>
  <c r="J210" i="1"/>
  <c r="K209" i="1"/>
  <c r="M209" i="1" s="1"/>
  <c r="L209" i="1" l="1"/>
  <c r="N210" i="1"/>
  <c r="K210" i="1"/>
  <c r="M210" i="1" s="1"/>
  <c r="J211" i="1"/>
  <c r="L210" i="1" s="1"/>
  <c r="J212" i="1" l="1"/>
  <c r="N211" i="1"/>
  <c r="K211" i="1"/>
  <c r="M211" i="1" s="1"/>
  <c r="L211" i="1"/>
  <c r="N212" i="1" l="1"/>
  <c r="K212" i="1"/>
  <c r="M212" i="1" s="1"/>
  <c r="J213" i="1"/>
  <c r="L212" i="1" s="1"/>
  <c r="N213" i="1" l="1"/>
  <c r="J214" i="1"/>
  <c r="K213" i="1"/>
  <c r="M213" i="1" s="1"/>
  <c r="L213" i="1"/>
  <c r="K214" i="1" l="1"/>
  <c r="M214" i="1" s="1"/>
  <c r="N214" i="1"/>
  <c r="J215" i="1"/>
  <c r="L214" i="1" s="1"/>
  <c r="N215" i="1" l="1"/>
  <c r="J216" i="1"/>
  <c r="K215" i="1"/>
  <c r="M215" i="1" s="1"/>
  <c r="L215" i="1"/>
  <c r="N216" i="1" l="1"/>
  <c r="J217" i="1"/>
  <c r="K216" i="1"/>
  <c r="M216" i="1" s="1"/>
  <c r="L216" i="1"/>
  <c r="K217" i="1" l="1"/>
  <c r="M217" i="1" s="1"/>
  <c r="N217" i="1"/>
  <c r="J218" i="1"/>
  <c r="K218" i="1" l="1"/>
  <c r="M218" i="1" s="1"/>
  <c r="N218" i="1"/>
  <c r="J219" i="1"/>
  <c r="L218" i="1" s="1"/>
  <c r="L217" i="1"/>
  <c r="N219" i="1" l="1"/>
  <c r="K219" i="1"/>
  <c r="M219" i="1" s="1"/>
  <c r="J220" i="1"/>
  <c r="J221" i="1" l="1"/>
  <c r="L220" i="1" s="1"/>
  <c r="N220" i="1"/>
  <c r="K220" i="1"/>
  <c r="M220" i="1" s="1"/>
  <c r="L219" i="1"/>
  <c r="J222" i="1" l="1"/>
  <c r="L221" i="1" s="1"/>
  <c r="N221" i="1"/>
  <c r="K221" i="1"/>
  <c r="M221" i="1" s="1"/>
  <c r="N222" i="1" l="1"/>
  <c r="J223" i="1"/>
  <c r="K222" i="1"/>
  <c r="M222" i="1" s="1"/>
  <c r="L222" i="1" l="1"/>
  <c r="N223" i="1"/>
  <c r="J224" i="1"/>
  <c r="K223" i="1"/>
  <c r="M223" i="1" s="1"/>
  <c r="L223" i="1"/>
  <c r="J225" i="1" l="1"/>
  <c r="L224" i="1" s="1"/>
  <c r="N224" i="1"/>
  <c r="K224" i="1"/>
  <c r="M224" i="1" s="1"/>
  <c r="J226" i="1" l="1"/>
  <c r="N225" i="1"/>
  <c r="K225" i="1"/>
  <c r="M225" i="1" s="1"/>
  <c r="L225" i="1" l="1"/>
  <c r="J227" i="1"/>
  <c r="K226" i="1"/>
  <c r="M226" i="1" s="1"/>
  <c r="N226" i="1"/>
  <c r="L226" i="1"/>
  <c r="N227" i="1" l="1"/>
  <c r="J228" i="1"/>
  <c r="L227" i="1" s="1"/>
  <c r="K227" i="1"/>
  <c r="M227" i="1" s="1"/>
  <c r="J229" i="1" l="1"/>
  <c r="N228" i="1"/>
  <c r="K228" i="1"/>
  <c r="M228" i="1" s="1"/>
  <c r="L228" i="1"/>
  <c r="J230" i="1" l="1"/>
  <c r="K229" i="1"/>
  <c r="M229" i="1" s="1"/>
  <c r="N229" i="1"/>
  <c r="L229" i="1"/>
  <c r="N230" i="1" l="1"/>
  <c r="J231" i="1"/>
  <c r="K230" i="1"/>
  <c r="M230" i="1" s="1"/>
  <c r="L230" i="1"/>
  <c r="J232" i="1" l="1"/>
  <c r="N231" i="1"/>
  <c r="K231" i="1"/>
  <c r="M231" i="1" s="1"/>
  <c r="L231" i="1"/>
  <c r="N232" i="1" l="1"/>
  <c r="K232" i="1"/>
  <c r="M232" i="1" s="1"/>
  <c r="J233" i="1"/>
  <c r="K233" i="1" l="1"/>
  <c r="M233" i="1" s="1"/>
  <c r="J234" i="1"/>
  <c r="N233" i="1"/>
  <c r="L232" i="1"/>
  <c r="L233" i="1" l="1"/>
  <c r="N234" i="1"/>
  <c r="K234" i="1"/>
  <c r="M234" i="1" s="1"/>
  <c r="J235" i="1"/>
  <c r="L234" i="1" s="1"/>
  <c r="N235" i="1" l="1"/>
  <c r="K235" i="1"/>
  <c r="M235" i="1" s="1"/>
  <c r="J236" i="1"/>
  <c r="N236" i="1" l="1"/>
  <c r="J237" i="1"/>
  <c r="K236" i="1"/>
  <c r="M236" i="1" s="1"/>
  <c r="L236" i="1"/>
  <c r="L235" i="1"/>
  <c r="N237" i="1" l="1"/>
  <c r="K237" i="1"/>
  <c r="M237" i="1" s="1"/>
  <c r="J238" i="1"/>
  <c r="L237" i="1" l="1"/>
  <c r="N238" i="1"/>
  <c r="K238" i="1"/>
  <c r="M238" i="1" s="1"/>
  <c r="J239" i="1"/>
  <c r="N239" i="1" l="1"/>
  <c r="J240" i="1"/>
  <c r="L239" i="1" s="1"/>
  <c r="K239" i="1"/>
  <c r="M239" i="1" s="1"/>
  <c r="L238" i="1"/>
  <c r="J241" i="1" l="1"/>
  <c r="N240" i="1"/>
  <c r="L240" i="1"/>
  <c r="K240" i="1"/>
  <c r="M240" i="1" s="1"/>
  <c r="N241" i="1" l="1"/>
  <c r="J242" i="1"/>
  <c r="K241" i="1"/>
  <c r="M241" i="1" s="1"/>
  <c r="L241" i="1" l="1"/>
  <c r="J243" i="1"/>
  <c r="K242" i="1"/>
  <c r="M242" i="1" s="1"/>
  <c r="N242" i="1"/>
  <c r="L242" i="1"/>
  <c r="J244" i="1" l="1"/>
  <c r="N243" i="1"/>
  <c r="K243" i="1"/>
  <c r="M243" i="1" s="1"/>
  <c r="L243" i="1"/>
  <c r="J245" i="1" l="1"/>
  <c r="L244" i="1" s="1"/>
  <c r="N244" i="1"/>
  <c r="K244" i="1"/>
  <c r="M244" i="1" s="1"/>
  <c r="K245" i="1" l="1"/>
  <c r="M245" i="1" s="1"/>
  <c r="N245" i="1"/>
  <c r="J246" i="1"/>
  <c r="L245" i="1" s="1"/>
  <c r="N246" i="1" l="1"/>
  <c r="K246" i="1"/>
  <c r="M246" i="1" s="1"/>
  <c r="J247" i="1"/>
  <c r="N247" i="1" l="1"/>
  <c r="K247" i="1"/>
  <c r="M247" i="1" s="1"/>
  <c r="J248" i="1"/>
  <c r="L247" i="1"/>
  <c r="L246" i="1"/>
  <c r="N248" i="1" l="1"/>
  <c r="J249" i="1"/>
  <c r="K248" i="1"/>
  <c r="M248" i="1" s="1"/>
  <c r="L248" i="1"/>
  <c r="N249" i="1" l="1"/>
  <c r="K249" i="1"/>
  <c r="M249" i="1" s="1"/>
  <c r="J250" i="1"/>
  <c r="L249" i="1"/>
  <c r="K250" i="1" l="1"/>
  <c r="M250" i="1" s="1"/>
  <c r="J251" i="1"/>
  <c r="L250" i="1" s="1"/>
  <c r="N250" i="1"/>
  <c r="J252" i="1" l="1"/>
  <c r="K251" i="1"/>
  <c r="M251" i="1" s="1"/>
  <c r="N251" i="1"/>
  <c r="L251" i="1"/>
  <c r="N252" i="1" l="1"/>
  <c r="K252" i="1"/>
  <c r="M252" i="1" s="1"/>
  <c r="J253" i="1"/>
  <c r="L252" i="1" s="1"/>
  <c r="J254" i="1" l="1"/>
  <c r="L253" i="1" s="1"/>
  <c r="K253" i="1"/>
  <c r="M253" i="1" s="1"/>
  <c r="N253" i="1"/>
  <c r="N254" i="1" l="1"/>
  <c r="J255" i="1"/>
  <c r="L254" i="1" s="1"/>
  <c r="K254" i="1"/>
  <c r="M254" i="1" s="1"/>
  <c r="J256" i="1" l="1"/>
  <c r="N255" i="1"/>
  <c r="K255" i="1"/>
  <c r="M255" i="1" s="1"/>
  <c r="L255" i="1"/>
  <c r="J257" i="1" l="1"/>
  <c r="N256" i="1"/>
  <c r="K256" i="1"/>
  <c r="M256" i="1" s="1"/>
  <c r="L256" i="1"/>
  <c r="K257" i="1" l="1"/>
  <c r="M257" i="1" s="1"/>
  <c r="N257" i="1"/>
  <c r="J258" i="1"/>
  <c r="L257" i="1" l="1"/>
  <c r="N258" i="1"/>
  <c r="J259" i="1"/>
  <c r="L258" i="1" s="1"/>
  <c r="K258" i="1"/>
  <c r="M258" i="1" s="1"/>
  <c r="K259" i="1" l="1"/>
  <c r="M259" i="1" s="1"/>
  <c r="N259" i="1"/>
  <c r="J260" i="1"/>
  <c r="L259" i="1" s="1"/>
  <c r="N260" i="1" l="1"/>
  <c r="J261" i="1"/>
  <c r="L260" i="1" s="1"/>
  <c r="K260" i="1"/>
  <c r="M260" i="1" s="1"/>
  <c r="N261" i="1" l="1"/>
  <c r="J262" i="1"/>
  <c r="L261" i="1" s="1"/>
  <c r="K261" i="1"/>
  <c r="M261" i="1" s="1"/>
  <c r="N262" i="1" l="1"/>
  <c r="K262" i="1"/>
  <c r="M262" i="1" s="1"/>
  <c r="J263" i="1"/>
  <c r="J264" i="1" l="1"/>
  <c r="N263" i="1"/>
  <c r="K263" i="1"/>
  <c r="M263" i="1" s="1"/>
  <c r="L263" i="1"/>
  <c r="L262" i="1"/>
  <c r="N264" i="1" l="1"/>
  <c r="K264" i="1"/>
  <c r="M264" i="1" s="1"/>
  <c r="J265" i="1"/>
  <c r="L264" i="1"/>
  <c r="J266" i="1" l="1"/>
  <c r="K265" i="1"/>
  <c r="M265" i="1" s="1"/>
  <c r="N265" i="1"/>
  <c r="L265" i="1"/>
  <c r="N266" i="1" l="1"/>
  <c r="J267" i="1"/>
  <c r="K266" i="1"/>
  <c r="M266" i="1" s="1"/>
  <c r="L266" i="1"/>
  <c r="J268" i="1" l="1"/>
  <c r="N267" i="1"/>
  <c r="K267" i="1"/>
  <c r="M267" i="1" s="1"/>
  <c r="L267" i="1"/>
  <c r="N268" i="1" l="1"/>
  <c r="J269" i="1"/>
  <c r="K268" i="1"/>
  <c r="M268" i="1" s="1"/>
  <c r="L268" i="1"/>
  <c r="K269" i="1" l="1"/>
  <c r="M269" i="1" s="1"/>
  <c r="N269" i="1"/>
  <c r="J270" i="1"/>
  <c r="L269" i="1" s="1"/>
  <c r="N270" i="1" l="1"/>
  <c r="K270" i="1"/>
  <c r="M270" i="1" s="1"/>
  <c r="J271" i="1"/>
  <c r="L270" i="1" l="1"/>
  <c r="N271" i="1"/>
  <c r="K271" i="1"/>
  <c r="M271" i="1" s="1"/>
  <c r="J272" i="1"/>
  <c r="L271" i="1" s="1"/>
  <c r="J273" i="1" l="1"/>
  <c r="N272" i="1"/>
  <c r="K272" i="1"/>
  <c r="M272" i="1" s="1"/>
  <c r="L272" i="1"/>
  <c r="N273" i="1" l="1"/>
  <c r="K273" i="1"/>
  <c r="M273" i="1" s="1"/>
  <c r="J274" i="1"/>
  <c r="L273" i="1" l="1"/>
  <c r="N274" i="1"/>
  <c r="J275" i="1"/>
  <c r="K274" i="1"/>
  <c r="M274" i="1" s="1"/>
  <c r="L274" i="1"/>
  <c r="J276" i="1" l="1"/>
  <c r="K275" i="1"/>
  <c r="M275" i="1" s="1"/>
  <c r="N275" i="1"/>
  <c r="L275" i="1"/>
  <c r="K276" i="1" l="1"/>
  <c r="M276" i="1" s="1"/>
  <c r="J277" i="1"/>
  <c r="L276" i="1" s="1"/>
  <c r="N276" i="1"/>
  <c r="N277" i="1" l="1"/>
  <c r="J278" i="1"/>
  <c r="K277" i="1"/>
  <c r="M277" i="1" s="1"/>
  <c r="L277" i="1"/>
  <c r="J279" i="1" l="1"/>
  <c r="N278" i="1"/>
  <c r="K278" i="1"/>
  <c r="M278" i="1" s="1"/>
  <c r="N279" i="1" l="1"/>
  <c r="J280" i="1"/>
  <c r="K279" i="1"/>
  <c r="M279" i="1" s="1"/>
  <c r="L278" i="1"/>
  <c r="N280" i="1" l="1"/>
  <c r="J281" i="1"/>
  <c r="L280" i="1" s="1"/>
  <c r="K280" i="1"/>
  <c r="M280" i="1" s="1"/>
  <c r="L279" i="1"/>
  <c r="N281" i="1" l="1"/>
  <c r="K281" i="1"/>
  <c r="M281" i="1" s="1"/>
  <c r="J282" i="1"/>
  <c r="J283" i="1" l="1"/>
  <c r="L282" i="1" s="1"/>
  <c r="N282" i="1"/>
  <c r="K282" i="1"/>
  <c r="M282" i="1" s="1"/>
  <c r="L281" i="1"/>
  <c r="J284" i="1" l="1"/>
  <c r="K283" i="1"/>
  <c r="M283" i="1" s="1"/>
  <c r="N283" i="1"/>
  <c r="L283" i="1"/>
  <c r="J285" i="1" l="1"/>
  <c r="K284" i="1"/>
  <c r="M284" i="1" s="1"/>
  <c r="N284" i="1"/>
  <c r="L284" i="1"/>
  <c r="N285" i="1" l="1"/>
  <c r="K285" i="1"/>
  <c r="M285" i="1" s="1"/>
  <c r="J286" i="1"/>
  <c r="N286" i="1" l="1"/>
  <c r="J287" i="1"/>
  <c r="K286" i="1"/>
  <c r="M286" i="1" s="1"/>
  <c r="L285" i="1"/>
  <c r="N287" i="1" l="1"/>
  <c r="J288" i="1"/>
  <c r="K287" i="1"/>
  <c r="M287" i="1" s="1"/>
  <c r="L287" i="1"/>
  <c r="L286" i="1"/>
  <c r="J289" i="1" l="1"/>
  <c r="K288" i="1"/>
  <c r="M288" i="1" s="1"/>
  <c r="N288" i="1"/>
  <c r="L288" i="1"/>
  <c r="N289" i="1" l="1"/>
  <c r="K289" i="1"/>
  <c r="M289" i="1" s="1"/>
  <c r="J290" i="1"/>
  <c r="L289" i="1" l="1"/>
  <c r="J291" i="1"/>
  <c r="K290" i="1"/>
  <c r="M290" i="1" s="1"/>
  <c r="N290" i="1"/>
  <c r="L290" i="1"/>
  <c r="J292" i="1" l="1"/>
  <c r="K291" i="1"/>
  <c r="M291" i="1" s="1"/>
  <c r="N291" i="1"/>
  <c r="L291" i="1"/>
  <c r="K292" i="1" l="1"/>
  <c r="M292" i="1" s="1"/>
  <c r="J293" i="1"/>
  <c r="L292" i="1" s="1"/>
  <c r="N292" i="1"/>
  <c r="N293" i="1" l="1"/>
  <c r="K293" i="1"/>
  <c r="M293" i="1" s="1"/>
  <c r="J294" i="1"/>
  <c r="L293" i="1"/>
  <c r="K294" i="1" l="1"/>
  <c r="M294" i="1" s="1"/>
  <c r="N294" i="1"/>
  <c r="J295" i="1"/>
  <c r="L294" i="1" s="1"/>
  <c r="J296" i="1" l="1"/>
  <c r="N295" i="1"/>
  <c r="K295" i="1"/>
  <c r="M295" i="1" s="1"/>
  <c r="L295" i="1"/>
  <c r="K296" i="1" l="1"/>
  <c r="M296" i="1" s="1"/>
  <c r="N296" i="1"/>
  <c r="J297" i="1"/>
  <c r="L296" i="1" s="1"/>
  <c r="J298" i="1" l="1"/>
  <c r="N297" i="1"/>
  <c r="K297" i="1"/>
  <c r="M297" i="1" s="1"/>
  <c r="L297" i="1"/>
  <c r="N298" i="1" l="1"/>
  <c r="K298" i="1"/>
  <c r="M298" i="1" s="1"/>
  <c r="J299" i="1"/>
  <c r="L298" i="1" s="1"/>
  <c r="J300" i="1" l="1"/>
  <c r="N299" i="1"/>
  <c r="K299" i="1"/>
  <c r="M299" i="1" s="1"/>
  <c r="L299" i="1"/>
  <c r="J301" i="1" l="1"/>
  <c r="K300" i="1"/>
  <c r="M300" i="1" s="1"/>
  <c r="N300" i="1"/>
  <c r="L300" i="1"/>
  <c r="K301" i="1" l="1"/>
  <c r="M301" i="1" s="1"/>
  <c r="N301" i="1"/>
  <c r="J302" i="1"/>
  <c r="L301" i="1" s="1"/>
  <c r="N302" i="1" l="1"/>
  <c r="K302" i="1"/>
  <c r="M302" i="1" s="1"/>
  <c r="J303" i="1"/>
  <c r="L302" i="1" s="1"/>
  <c r="J304" i="1" l="1"/>
  <c r="N303" i="1"/>
  <c r="K303" i="1"/>
  <c r="M303" i="1" s="1"/>
  <c r="L303" i="1"/>
  <c r="J305" i="1" l="1"/>
  <c r="L304" i="1" s="1"/>
  <c r="N304" i="1"/>
  <c r="K304" i="1"/>
  <c r="M304" i="1" s="1"/>
  <c r="K305" i="1" l="1"/>
  <c r="M305" i="1" s="1"/>
  <c r="N305" i="1"/>
  <c r="J306" i="1"/>
  <c r="L305" i="1" l="1"/>
  <c r="N306" i="1"/>
  <c r="K306" i="1"/>
  <c r="M306" i="1" s="1"/>
  <c r="J307" i="1"/>
  <c r="L306" i="1" s="1"/>
  <c r="N307" i="1" l="1"/>
  <c r="K307" i="1"/>
  <c r="M307" i="1" s="1"/>
  <c r="J308" i="1"/>
  <c r="L307" i="1"/>
  <c r="N308" i="1" l="1"/>
  <c r="K308" i="1"/>
  <c r="M308" i="1" s="1"/>
  <c r="J309" i="1"/>
  <c r="J310" i="1" l="1"/>
  <c r="N309" i="1"/>
  <c r="K309" i="1"/>
  <c r="M309" i="1" s="1"/>
  <c r="L309" i="1"/>
  <c r="L308" i="1"/>
  <c r="J311" i="1" l="1"/>
  <c r="K310" i="1"/>
  <c r="M310" i="1" s="1"/>
  <c r="N310" i="1"/>
  <c r="L310" i="1"/>
  <c r="K311" i="1" l="1"/>
  <c r="M311" i="1" s="1"/>
  <c r="N311" i="1"/>
  <c r="J312" i="1"/>
  <c r="N312" i="1" l="1"/>
  <c r="J313" i="1"/>
  <c r="L312" i="1" s="1"/>
  <c r="K312" i="1"/>
  <c r="M312" i="1" s="1"/>
  <c r="L311" i="1"/>
  <c r="N313" i="1" l="1"/>
  <c r="J314" i="1"/>
  <c r="K313" i="1"/>
  <c r="M313" i="1" s="1"/>
  <c r="L313" i="1" l="1"/>
  <c r="J315" i="1"/>
  <c r="K314" i="1"/>
  <c r="M314" i="1" s="1"/>
  <c r="N314" i="1"/>
  <c r="L314" i="1"/>
  <c r="J316" i="1" l="1"/>
  <c r="L315" i="1" s="1"/>
  <c r="N315" i="1"/>
  <c r="K315" i="1"/>
  <c r="M315" i="1" s="1"/>
  <c r="N316" i="1" l="1"/>
  <c r="J317" i="1"/>
  <c r="K316" i="1"/>
  <c r="M316" i="1" s="1"/>
  <c r="L316" i="1"/>
  <c r="J318" i="1" l="1"/>
  <c r="K317" i="1"/>
  <c r="M317" i="1" s="1"/>
  <c r="N317" i="1"/>
  <c r="L317" i="1" l="1"/>
  <c r="J319" i="1"/>
  <c r="K318" i="1"/>
  <c r="M318" i="1" s="1"/>
  <c r="N318" i="1"/>
  <c r="L318" i="1" l="1"/>
  <c r="N319" i="1"/>
  <c r="K319" i="1"/>
  <c r="M319" i="1" s="1"/>
  <c r="J320" i="1"/>
  <c r="L319" i="1"/>
  <c r="J321" i="1" l="1"/>
  <c r="L320" i="1" s="1"/>
  <c r="N320" i="1"/>
  <c r="K320" i="1"/>
  <c r="M320" i="1" s="1"/>
  <c r="J322" i="1" l="1"/>
  <c r="K321" i="1"/>
  <c r="M321" i="1" s="1"/>
  <c r="N321" i="1"/>
  <c r="L321" i="1" l="1"/>
  <c r="N322" i="1"/>
  <c r="J323" i="1"/>
  <c r="K322" i="1"/>
  <c r="M322" i="1" s="1"/>
  <c r="L322" i="1"/>
  <c r="K323" i="1" l="1"/>
  <c r="M323" i="1" s="1"/>
  <c r="J324" i="1"/>
  <c r="L323" i="1" s="1"/>
  <c r="N323" i="1"/>
  <c r="J325" i="1" l="1"/>
  <c r="K324" i="1"/>
  <c r="M324" i="1" s="1"/>
  <c r="N324" i="1"/>
  <c r="L324" i="1"/>
  <c r="J326" i="1" l="1"/>
  <c r="N325" i="1"/>
  <c r="K325" i="1"/>
  <c r="M325" i="1" s="1"/>
  <c r="L325" i="1"/>
  <c r="N326" i="1" l="1"/>
  <c r="K326" i="1"/>
  <c r="M326" i="1" s="1"/>
  <c r="J327" i="1"/>
  <c r="L326" i="1" s="1"/>
  <c r="J328" i="1" l="1"/>
  <c r="K327" i="1"/>
  <c r="M327" i="1" s="1"/>
  <c r="N327" i="1"/>
  <c r="L327" i="1"/>
  <c r="N328" i="1" l="1"/>
  <c r="J329" i="1"/>
  <c r="L328" i="1" s="1"/>
  <c r="K328" i="1"/>
  <c r="M328" i="1" s="1"/>
  <c r="J330" i="1" l="1"/>
  <c r="K329" i="1"/>
  <c r="M329" i="1" s="1"/>
  <c r="N329" i="1"/>
  <c r="L329" i="1"/>
  <c r="N330" i="1" l="1"/>
  <c r="J331" i="1"/>
  <c r="K330" i="1"/>
  <c r="M330" i="1" s="1"/>
  <c r="N331" i="1" l="1"/>
  <c r="J332" i="1"/>
  <c r="K331" i="1"/>
  <c r="M331" i="1" s="1"/>
  <c r="L331" i="1"/>
  <c r="L330" i="1"/>
  <c r="K332" i="1" l="1"/>
  <c r="M332" i="1" s="1"/>
  <c r="J333" i="1"/>
  <c r="N332" i="1"/>
  <c r="L332" i="1"/>
  <c r="J334" i="1" l="1"/>
  <c r="N333" i="1"/>
  <c r="K333" i="1"/>
  <c r="M333" i="1" s="1"/>
  <c r="L333" i="1"/>
  <c r="N334" i="1" l="1"/>
  <c r="J335" i="1"/>
  <c r="K334" i="1"/>
  <c r="M334" i="1" s="1"/>
  <c r="N335" i="1" l="1"/>
  <c r="J336" i="1"/>
  <c r="K335" i="1"/>
  <c r="M335" i="1" s="1"/>
  <c r="L335" i="1"/>
  <c r="L334" i="1"/>
  <c r="J337" i="1" l="1"/>
  <c r="K336" i="1"/>
  <c r="M336" i="1" s="1"/>
  <c r="L336" i="1"/>
  <c r="N336" i="1"/>
  <c r="K337" i="1" l="1"/>
  <c r="M337" i="1" s="1"/>
  <c r="J338" i="1"/>
  <c r="N337" i="1"/>
  <c r="L337" i="1" l="1"/>
  <c r="N338" i="1"/>
  <c r="K338" i="1"/>
  <c r="M338" i="1" s="1"/>
  <c r="J339" i="1"/>
  <c r="L338" i="1"/>
  <c r="N339" i="1" l="1"/>
  <c r="J340" i="1"/>
  <c r="L339" i="1" s="1"/>
  <c r="K339" i="1"/>
  <c r="M339" i="1" s="1"/>
  <c r="J341" i="1" l="1"/>
  <c r="N340" i="1"/>
  <c r="K340" i="1"/>
  <c r="M340" i="1" s="1"/>
  <c r="L340" i="1"/>
  <c r="K341" i="1" l="1"/>
  <c r="M341" i="1" s="1"/>
  <c r="J342" i="1"/>
  <c r="L341" i="1" s="1"/>
  <c r="N341" i="1"/>
  <c r="N342" i="1" l="1"/>
  <c r="K342" i="1"/>
  <c r="M342" i="1" s="1"/>
  <c r="J343" i="1"/>
  <c r="L342" i="1" s="1"/>
  <c r="J344" i="1" l="1"/>
  <c r="L343" i="1" s="1"/>
  <c r="N343" i="1"/>
  <c r="K343" i="1"/>
  <c r="M343" i="1" s="1"/>
  <c r="J345" i="1" l="1"/>
  <c r="N344" i="1"/>
  <c r="K344" i="1"/>
  <c r="M344" i="1" s="1"/>
  <c r="L344" i="1"/>
  <c r="J346" i="1" l="1"/>
  <c r="N345" i="1"/>
  <c r="K345" i="1"/>
  <c r="M345" i="1" s="1"/>
  <c r="L345" i="1"/>
  <c r="N346" i="1" l="1"/>
  <c r="K346" i="1"/>
  <c r="M346" i="1" s="1"/>
  <c r="J347" i="1"/>
  <c r="L346" i="1" s="1"/>
  <c r="N347" i="1" l="1"/>
  <c r="K347" i="1"/>
  <c r="M347" i="1" s="1"/>
  <c r="J348" i="1"/>
  <c r="L347" i="1" s="1"/>
  <c r="K348" i="1" l="1"/>
  <c r="M348" i="1" s="1"/>
  <c r="J349" i="1"/>
  <c r="L348" i="1" s="1"/>
  <c r="N348" i="1"/>
  <c r="J350" i="1" l="1"/>
  <c r="N349" i="1"/>
  <c r="K349" i="1"/>
  <c r="M349" i="1" s="1"/>
  <c r="L349" i="1" l="1"/>
  <c r="N350" i="1"/>
  <c r="J351" i="1"/>
  <c r="K350" i="1"/>
  <c r="M350" i="1" s="1"/>
  <c r="L350" i="1" l="1"/>
  <c r="K351" i="1"/>
  <c r="M351" i="1" s="1"/>
  <c r="N351" i="1"/>
  <c r="J352" i="1"/>
  <c r="J353" i="1" l="1"/>
  <c r="N352" i="1"/>
  <c r="K352" i="1"/>
  <c r="M352" i="1" s="1"/>
  <c r="L351" i="1"/>
  <c r="J354" i="1" l="1"/>
  <c r="N353" i="1"/>
  <c r="K353" i="1"/>
  <c r="M353" i="1" s="1"/>
  <c r="L352" i="1"/>
  <c r="J355" i="1" l="1"/>
  <c r="K354" i="1"/>
  <c r="M354" i="1" s="1"/>
  <c r="N354" i="1"/>
  <c r="L354" i="1"/>
  <c r="L353" i="1"/>
  <c r="N355" i="1" l="1"/>
  <c r="K355" i="1"/>
  <c r="M355" i="1" s="1"/>
  <c r="J356" i="1"/>
  <c r="L355" i="1" s="1"/>
  <c r="J357" i="1" l="1"/>
  <c r="N356" i="1"/>
  <c r="K356" i="1"/>
  <c r="M356" i="1" s="1"/>
  <c r="L356" i="1"/>
  <c r="N357" i="1" l="1"/>
  <c r="K357" i="1"/>
  <c r="M357" i="1" s="1"/>
  <c r="J358" i="1"/>
  <c r="L357" i="1" s="1"/>
  <c r="N358" i="1" l="1"/>
  <c r="J359" i="1"/>
  <c r="K358" i="1"/>
  <c r="M358" i="1" s="1"/>
  <c r="L358" i="1"/>
  <c r="J360" i="1" l="1"/>
  <c r="N359" i="1"/>
  <c r="K359" i="1"/>
  <c r="M359" i="1" s="1"/>
  <c r="L359" i="1"/>
  <c r="J361" i="1" l="1"/>
  <c r="L360" i="1" s="1"/>
  <c r="N360" i="1"/>
  <c r="K360" i="1"/>
  <c r="M360" i="1" s="1"/>
  <c r="K361" i="1" l="1"/>
  <c r="M361" i="1" s="1"/>
  <c r="N361" i="1"/>
  <c r="J362" i="1"/>
  <c r="L361" i="1" l="1"/>
  <c r="N362" i="1"/>
  <c r="K362" i="1"/>
  <c r="M362" i="1" s="1"/>
  <c r="J363" i="1"/>
  <c r="L362" i="1"/>
  <c r="N363" i="1" l="1"/>
  <c r="J364" i="1"/>
  <c r="L363" i="1" s="1"/>
  <c r="K363" i="1"/>
  <c r="M363" i="1" s="1"/>
  <c r="N364" i="1" l="1"/>
  <c r="J365" i="1"/>
  <c r="L364" i="1" s="1"/>
  <c r="K364" i="1"/>
  <c r="M364" i="1" s="1"/>
  <c r="N365" i="1" l="1"/>
  <c r="K365" i="1"/>
  <c r="M365" i="1" s="1"/>
  <c r="J366" i="1"/>
  <c r="J367" i="1" l="1"/>
  <c r="K366" i="1"/>
  <c r="M366" i="1" s="1"/>
  <c r="N366" i="1"/>
  <c r="L366" i="1"/>
  <c r="L365" i="1"/>
  <c r="J368" i="1" l="1"/>
  <c r="L367" i="1" s="1"/>
  <c r="N367" i="1"/>
  <c r="K367" i="1"/>
  <c r="M367" i="1" s="1"/>
  <c r="N368" i="1" l="1"/>
  <c r="J369" i="1"/>
  <c r="K368" i="1"/>
  <c r="M368" i="1" s="1"/>
  <c r="L368" i="1"/>
  <c r="N369" i="1" l="1"/>
  <c r="J370" i="1"/>
  <c r="K369" i="1"/>
  <c r="M369" i="1" s="1"/>
  <c r="L369" i="1"/>
  <c r="K370" i="1" l="1"/>
  <c r="M370" i="1" s="1"/>
  <c r="J371" i="1"/>
  <c r="L370" i="1" s="1"/>
  <c r="N370" i="1"/>
  <c r="J372" i="1" l="1"/>
  <c r="L371" i="1" s="1"/>
  <c r="K371" i="1"/>
  <c r="M371" i="1" s="1"/>
  <c r="N371" i="1"/>
  <c r="N372" i="1" l="1"/>
  <c r="J373" i="1"/>
  <c r="K372" i="1"/>
  <c r="M372" i="1" s="1"/>
  <c r="L372" i="1"/>
  <c r="N373" i="1" l="1"/>
  <c r="J374" i="1"/>
  <c r="K373" i="1"/>
  <c r="M373" i="1" s="1"/>
  <c r="L373" i="1"/>
  <c r="N374" i="1" l="1"/>
  <c r="J375" i="1"/>
  <c r="K374" i="1"/>
  <c r="M374" i="1" s="1"/>
  <c r="L374" i="1" l="1"/>
  <c r="N375" i="1"/>
  <c r="J376" i="1"/>
  <c r="K375" i="1"/>
  <c r="M375" i="1" s="1"/>
  <c r="L375" i="1"/>
  <c r="N376" i="1" l="1"/>
  <c r="J377" i="1"/>
  <c r="K376" i="1"/>
  <c r="M376" i="1" s="1"/>
  <c r="L376" i="1"/>
  <c r="N377" i="1" l="1"/>
  <c r="K377" i="1"/>
  <c r="M377" i="1" s="1"/>
  <c r="J378" i="1"/>
  <c r="L377" i="1" s="1"/>
  <c r="N378" i="1" l="1"/>
  <c r="J379" i="1"/>
  <c r="K378" i="1"/>
  <c r="M378" i="1" s="1"/>
  <c r="L378" i="1" l="1"/>
  <c r="N379" i="1"/>
  <c r="K379" i="1"/>
  <c r="M379" i="1" s="1"/>
  <c r="J380" i="1"/>
  <c r="L379" i="1"/>
  <c r="N380" i="1" l="1"/>
  <c r="J381" i="1"/>
  <c r="K380" i="1"/>
  <c r="M380" i="1" s="1"/>
  <c r="J382" i="1" l="1"/>
  <c r="K381" i="1"/>
  <c r="M381" i="1" s="1"/>
  <c r="N381" i="1"/>
  <c r="L381" i="1"/>
  <c r="L380" i="1"/>
  <c r="N382" i="1" l="1"/>
  <c r="J383" i="1"/>
  <c r="K382" i="1"/>
  <c r="M382" i="1" s="1"/>
  <c r="J384" i="1" l="1"/>
  <c r="L383" i="1" s="1"/>
  <c r="K383" i="1"/>
  <c r="M383" i="1" s="1"/>
  <c r="N383" i="1"/>
  <c r="L382" i="1"/>
  <c r="N384" i="1" l="1"/>
  <c r="J385" i="1"/>
  <c r="K384" i="1"/>
  <c r="M384" i="1" s="1"/>
  <c r="L384" i="1"/>
  <c r="N385" i="1" l="1"/>
  <c r="K385" i="1"/>
  <c r="M385" i="1" s="1"/>
  <c r="J386" i="1"/>
  <c r="L385" i="1" s="1"/>
  <c r="N386" i="1" l="1"/>
  <c r="J387" i="1"/>
  <c r="K386" i="1"/>
  <c r="M386" i="1" s="1"/>
  <c r="L386" i="1"/>
  <c r="K387" i="1" l="1"/>
  <c r="M387" i="1" s="1"/>
  <c r="J388" i="1"/>
  <c r="N387" i="1"/>
  <c r="L387" i="1"/>
  <c r="N388" i="1" l="1"/>
  <c r="J389" i="1"/>
  <c r="K388" i="1"/>
  <c r="M388" i="1" s="1"/>
  <c r="N389" i="1" l="1"/>
  <c r="K389" i="1"/>
  <c r="M389" i="1" s="1"/>
  <c r="J390" i="1"/>
  <c r="L389" i="1" s="1"/>
  <c r="L388" i="1"/>
  <c r="J391" i="1" l="1"/>
  <c r="N390" i="1"/>
  <c r="K390" i="1"/>
  <c r="M390" i="1" s="1"/>
  <c r="L390" i="1" l="1"/>
  <c r="N391" i="1"/>
  <c r="J392" i="1"/>
  <c r="L391" i="1" s="1"/>
  <c r="K391" i="1"/>
  <c r="M391" i="1" s="1"/>
  <c r="J393" i="1" l="1"/>
  <c r="K392" i="1"/>
  <c r="M392" i="1" s="1"/>
  <c r="N392" i="1"/>
  <c r="L392" i="1"/>
  <c r="J394" i="1" l="1"/>
  <c r="K393" i="1"/>
  <c r="M393" i="1" s="1"/>
  <c r="N393" i="1"/>
  <c r="L393" i="1"/>
  <c r="N394" i="1" l="1"/>
  <c r="K394" i="1"/>
  <c r="M394" i="1" s="1"/>
  <c r="J395" i="1"/>
  <c r="L394" i="1" l="1"/>
  <c r="J396" i="1"/>
  <c r="N395" i="1"/>
  <c r="K395" i="1"/>
  <c r="M395" i="1" s="1"/>
  <c r="L395" i="1"/>
  <c r="N396" i="1" l="1"/>
  <c r="K396" i="1"/>
  <c r="M396" i="1" s="1"/>
  <c r="J397" i="1"/>
  <c r="L396" i="1"/>
  <c r="J398" i="1" l="1"/>
  <c r="N397" i="1"/>
  <c r="K397" i="1"/>
  <c r="M397" i="1" s="1"/>
  <c r="L397" i="1"/>
  <c r="J399" i="1" l="1"/>
  <c r="N398" i="1"/>
  <c r="K398" i="1"/>
  <c r="M398" i="1" s="1"/>
  <c r="L398" i="1"/>
  <c r="J400" i="1" l="1"/>
  <c r="K399" i="1"/>
  <c r="M399" i="1" s="1"/>
  <c r="N399" i="1"/>
  <c r="L399" i="1" l="1"/>
  <c r="J401" i="1"/>
  <c r="N400" i="1"/>
  <c r="K400" i="1"/>
  <c r="M400" i="1" s="1"/>
  <c r="L400" i="1"/>
  <c r="N401" i="1" l="1"/>
  <c r="J402" i="1"/>
  <c r="K401" i="1"/>
  <c r="M401" i="1" s="1"/>
  <c r="K402" i="1" l="1"/>
  <c r="M402" i="1" s="1"/>
  <c r="J403" i="1"/>
  <c r="N402" i="1"/>
  <c r="L402" i="1"/>
  <c r="L401" i="1"/>
  <c r="N403" i="1" l="1"/>
  <c r="J404" i="1"/>
  <c r="K403" i="1"/>
  <c r="M403" i="1" s="1"/>
  <c r="L403" i="1"/>
  <c r="J405" i="1" l="1"/>
  <c r="N404" i="1"/>
  <c r="K404" i="1"/>
  <c r="M404" i="1" s="1"/>
  <c r="L404" i="1"/>
  <c r="N405" i="1" l="1"/>
  <c r="K405" i="1"/>
  <c r="M405" i="1" s="1"/>
  <c r="J406" i="1"/>
  <c r="L405" i="1"/>
  <c r="J407" i="1" l="1"/>
  <c r="K406" i="1"/>
  <c r="M406" i="1" s="1"/>
  <c r="N406" i="1"/>
  <c r="L406" i="1"/>
  <c r="N407" i="1" l="1"/>
  <c r="K407" i="1"/>
  <c r="M407" i="1" s="1"/>
  <c r="J408" i="1"/>
  <c r="N408" i="1" l="1"/>
  <c r="J409" i="1"/>
  <c r="K408" i="1"/>
  <c r="M408" i="1" s="1"/>
  <c r="L408" i="1"/>
  <c r="L407" i="1"/>
  <c r="N409" i="1" l="1"/>
  <c r="J410" i="1"/>
  <c r="L409" i="1" s="1"/>
  <c r="K409" i="1"/>
  <c r="M409" i="1" s="1"/>
  <c r="J411" i="1" l="1"/>
  <c r="L410" i="1" s="1"/>
  <c r="N410" i="1"/>
  <c r="K410" i="1"/>
  <c r="M410" i="1" s="1"/>
  <c r="K411" i="1" l="1"/>
  <c r="M411" i="1" s="1"/>
  <c r="N411" i="1"/>
  <c r="J412" i="1"/>
  <c r="L411" i="1"/>
  <c r="J413" i="1" l="1"/>
  <c r="L412" i="1" s="1"/>
  <c r="N412" i="1"/>
  <c r="K412" i="1"/>
  <c r="M412" i="1" s="1"/>
  <c r="J414" i="1" l="1"/>
  <c r="N413" i="1"/>
  <c r="K413" i="1"/>
  <c r="M413" i="1" s="1"/>
  <c r="L413" i="1"/>
  <c r="J415" i="1" l="1"/>
  <c r="K414" i="1"/>
  <c r="M414" i="1" s="1"/>
  <c r="N414" i="1"/>
  <c r="L414" i="1"/>
  <c r="J416" i="1" l="1"/>
  <c r="N415" i="1"/>
  <c r="L415" i="1"/>
  <c r="K415" i="1"/>
  <c r="M415" i="1" s="1"/>
  <c r="N416" i="1" l="1"/>
  <c r="J417" i="1"/>
  <c r="L416" i="1" s="1"/>
  <c r="K416" i="1"/>
  <c r="M416" i="1" s="1"/>
  <c r="J418" i="1" l="1"/>
  <c r="N417" i="1"/>
  <c r="K417" i="1"/>
  <c r="M417" i="1" s="1"/>
  <c r="L417" i="1"/>
  <c r="N418" i="1" l="1"/>
  <c r="K418" i="1"/>
  <c r="M418" i="1" s="1"/>
  <c r="J419" i="1"/>
  <c r="L418" i="1" s="1"/>
  <c r="K419" i="1" l="1"/>
  <c r="M419" i="1" s="1"/>
  <c r="J420" i="1"/>
  <c r="N419" i="1"/>
  <c r="L419" i="1"/>
  <c r="N420" i="1" l="1"/>
  <c r="J421" i="1"/>
  <c r="K420" i="1"/>
  <c r="M420" i="1" s="1"/>
  <c r="J422" i="1" l="1"/>
  <c r="N421" i="1"/>
  <c r="K421" i="1"/>
  <c r="M421" i="1" s="1"/>
  <c r="L421" i="1"/>
  <c r="L420" i="1"/>
  <c r="N422" i="1" l="1"/>
  <c r="J423" i="1"/>
  <c r="L422" i="1"/>
  <c r="K422" i="1"/>
  <c r="M422" i="1" s="1"/>
  <c r="N423" i="1" l="1"/>
  <c r="J424" i="1"/>
  <c r="K423" i="1"/>
  <c r="M423" i="1" s="1"/>
  <c r="J425" i="1" l="1"/>
  <c r="N424" i="1"/>
  <c r="K424" i="1"/>
  <c r="M424" i="1" s="1"/>
  <c r="L424" i="1"/>
  <c r="L423" i="1"/>
  <c r="K425" i="1" l="1"/>
  <c r="M425" i="1" s="1"/>
  <c r="N425" i="1"/>
  <c r="J426" i="1"/>
  <c r="N426" i="1" l="1"/>
  <c r="J427" i="1"/>
  <c r="K426" i="1"/>
  <c r="M426" i="1" s="1"/>
  <c r="L425" i="1"/>
  <c r="L426" i="1" l="1"/>
  <c r="N427" i="1"/>
  <c r="J428" i="1"/>
  <c r="K427" i="1"/>
  <c r="M427" i="1" s="1"/>
  <c r="L427" i="1"/>
  <c r="J429" i="1" l="1"/>
  <c r="L428" i="1"/>
  <c r="K428" i="1"/>
  <c r="M428" i="1" s="1"/>
  <c r="N428" i="1"/>
  <c r="J430" i="1" l="1"/>
  <c r="K429" i="1"/>
  <c r="M429" i="1" s="1"/>
  <c r="N429" i="1"/>
  <c r="L429" i="1"/>
  <c r="N430" i="1" l="1"/>
  <c r="J431" i="1"/>
  <c r="K430" i="1"/>
  <c r="M430" i="1" s="1"/>
  <c r="L430" i="1"/>
  <c r="K431" i="1" l="1"/>
  <c r="M431" i="1" s="1"/>
  <c r="J432" i="1"/>
  <c r="N431" i="1"/>
  <c r="J433" i="1" l="1"/>
  <c r="L432" i="1" s="1"/>
  <c r="N432" i="1"/>
  <c r="K432" i="1"/>
  <c r="M432" i="1" s="1"/>
  <c r="L431" i="1"/>
  <c r="J434" i="1" l="1"/>
  <c r="K433" i="1"/>
  <c r="M433" i="1" s="1"/>
  <c r="N433" i="1"/>
  <c r="L433" i="1"/>
  <c r="N434" i="1" l="1"/>
  <c r="K434" i="1"/>
  <c r="M434" i="1" s="1"/>
  <c r="J435" i="1"/>
  <c r="N435" i="1" l="1"/>
  <c r="J436" i="1"/>
  <c r="K435" i="1"/>
  <c r="M435" i="1" s="1"/>
  <c r="L434" i="1"/>
  <c r="N436" i="1" l="1"/>
  <c r="J437" i="1"/>
  <c r="L436" i="1" s="1"/>
  <c r="K436" i="1"/>
  <c r="M436" i="1" s="1"/>
  <c r="L435" i="1"/>
  <c r="J438" i="1" l="1"/>
  <c r="K437" i="1"/>
  <c r="M437" i="1" s="1"/>
  <c r="N437" i="1"/>
  <c r="L437" i="1"/>
  <c r="N438" i="1" l="1"/>
  <c r="J439" i="1"/>
  <c r="K438" i="1"/>
  <c r="M438" i="1" s="1"/>
  <c r="L438" i="1" l="1"/>
  <c r="J440" i="1"/>
  <c r="N439" i="1"/>
  <c r="K439" i="1"/>
  <c r="M439" i="1" s="1"/>
  <c r="L439" i="1" l="1"/>
  <c r="J441" i="1"/>
  <c r="L440" i="1" s="1"/>
  <c r="N440" i="1"/>
  <c r="K440" i="1"/>
  <c r="M440" i="1" s="1"/>
  <c r="N441" i="1" l="1"/>
  <c r="J442" i="1"/>
  <c r="L441" i="1" s="1"/>
  <c r="K441" i="1"/>
  <c r="M441" i="1" s="1"/>
  <c r="N442" i="1" l="1"/>
  <c r="J443" i="1"/>
  <c r="K442" i="1"/>
  <c r="M442" i="1" s="1"/>
  <c r="L442" i="1" l="1"/>
  <c r="N443" i="1"/>
  <c r="J444" i="1"/>
  <c r="K443" i="1"/>
  <c r="M443" i="1" s="1"/>
  <c r="J445" i="1" l="1"/>
  <c r="L444" i="1" s="1"/>
  <c r="N444" i="1"/>
  <c r="K444" i="1"/>
  <c r="M444" i="1" s="1"/>
  <c r="L443" i="1"/>
  <c r="J446" i="1" l="1"/>
  <c r="K445" i="1"/>
  <c r="M445" i="1" s="1"/>
  <c r="N445" i="1"/>
  <c r="L445" i="1"/>
  <c r="N446" i="1" l="1"/>
  <c r="K446" i="1"/>
  <c r="M446" i="1" s="1"/>
  <c r="J447" i="1"/>
  <c r="J448" i="1" l="1"/>
  <c r="K447" i="1"/>
  <c r="M447" i="1" s="1"/>
  <c r="N447" i="1"/>
  <c r="L446" i="1"/>
  <c r="L447" i="1" l="1"/>
  <c r="J449" i="1"/>
  <c r="N448" i="1"/>
  <c r="K448" i="1"/>
  <c r="M448" i="1" s="1"/>
  <c r="L448" i="1"/>
  <c r="J450" i="1" l="1"/>
  <c r="N449" i="1"/>
  <c r="K449" i="1"/>
  <c r="M449" i="1" s="1"/>
  <c r="L449" i="1"/>
  <c r="K450" i="1" l="1"/>
  <c r="M450" i="1" s="1"/>
  <c r="N450" i="1"/>
  <c r="J451" i="1"/>
  <c r="L450" i="1" l="1"/>
  <c r="N451" i="1"/>
  <c r="J452" i="1"/>
  <c r="L451" i="1" s="1"/>
  <c r="K451" i="1"/>
  <c r="M451" i="1" s="1"/>
  <c r="N452" i="1" l="1"/>
  <c r="J453" i="1"/>
  <c r="K452" i="1"/>
  <c r="M452" i="1" s="1"/>
  <c r="L452" i="1"/>
  <c r="J454" i="1" l="1"/>
  <c r="K453" i="1"/>
  <c r="M453" i="1" s="1"/>
  <c r="N453" i="1"/>
  <c r="L453" i="1"/>
  <c r="J455" i="1" l="1"/>
  <c r="L454" i="1" s="1"/>
  <c r="N454" i="1"/>
  <c r="K454" i="1"/>
  <c r="M454" i="1" s="1"/>
  <c r="J456" i="1" l="1"/>
  <c r="L455" i="1"/>
  <c r="N455" i="1"/>
  <c r="K455" i="1"/>
  <c r="M455" i="1" s="1"/>
  <c r="N456" i="1" l="1"/>
  <c r="J457" i="1"/>
  <c r="K456" i="1"/>
  <c r="M456" i="1" s="1"/>
  <c r="L456" i="1"/>
  <c r="J458" i="1" l="1"/>
  <c r="L457" i="1" s="1"/>
  <c r="K457" i="1"/>
  <c r="M457" i="1" s="1"/>
  <c r="N457" i="1"/>
  <c r="J459" i="1" l="1"/>
  <c r="K458" i="1"/>
  <c r="M458" i="1" s="1"/>
  <c r="N458" i="1"/>
  <c r="L458" i="1" l="1"/>
  <c r="N459" i="1"/>
  <c r="J460" i="1"/>
  <c r="K459" i="1"/>
  <c r="M459" i="1" s="1"/>
  <c r="J461" i="1" l="1"/>
  <c r="L460" i="1"/>
  <c r="K460" i="1"/>
  <c r="M460" i="1" s="1"/>
  <c r="N460" i="1"/>
  <c r="L459" i="1"/>
  <c r="N461" i="1" l="1"/>
  <c r="J462" i="1"/>
  <c r="L461" i="1" s="1"/>
  <c r="K461" i="1"/>
  <c r="M461" i="1" s="1"/>
  <c r="N462" i="1" l="1"/>
  <c r="J463" i="1"/>
  <c r="K462" i="1"/>
  <c r="M462" i="1" s="1"/>
  <c r="L462" i="1"/>
  <c r="J464" i="1" l="1"/>
  <c r="N463" i="1"/>
  <c r="L463" i="1"/>
  <c r="K463" i="1"/>
  <c r="M463" i="1" s="1"/>
  <c r="N464" i="1" l="1"/>
  <c r="K464" i="1"/>
  <c r="M464" i="1" s="1"/>
  <c r="J465" i="1"/>
  <c r="L464" i="1" s="1"/>
  <c r="K465" i="1" l="1"/>
  <c r="M465" i="1" s="1"/>
  <c r="N465" i="1"/>
  <c r="J466" i="1"/>
  <c r="L465" i="1" s="1"/>
  <c r="N466" i="1" l="1"/>
  <c r="J467" i="1"/>
  <c r="K466" i="1"/>
  <c r="M466" i="1" s="1"/>
  <c r="N467" i="1" l="1"/>
  <c r="K467" i="1"/>
  <c r="M467" i="1" s="1"/>
  <c r="J468" i="1"/>
  <c r="L466" i="1"/>
  <c r="N468" i="1" l="1"/>
  <c r="K468" i="1"/>
  <c r="M468" i="1" s="1"/>
  <c r="J469" i="1"/>
  <c r="L467" i="1"/>
  <c r="J470" i="1" l="1"/>
  <c r="K469" i="1"/>
  <c r="M469" i="1" s="1"/>
  <c r="N469" i="1"/>
  <c r="L469" i="1"/>
  <c r="L468" i="1"/>
  <c r="N470" i="1" l="1"/>
  <c r="K470" i="1"/>
  <c r="M470" i="1" s="1"/>
  <c r="J471" i="1"/>
  <c r="L470" i="1"/>
  <c r="J472" i="1" l="1"/>
  <c r="L471" i="1" s="1"/>
  <c r="N471" i="1"/>
  <c r="K471" i="1"/>
  <c r="M471" i="1" s="1"/>
  <c r="N472" i="1" l="1"/>
  <c r="K472" i="1"/>
  <c r="M472" i="1" s="1"/>
  <c r="J473" i="1"/>
  <c r="L472" i="1" s="1"/>
  <c r="N473" i="1" l="1"/>
  <c r="K473" i="1"/>
  <c r="M473" i="1" s="1"/>
  <c r="J474" i="1"/>
  <c r="L473" i="1" s="1"/>
  <c r="N474" i="1" l="1"/>
  <c r="J475" i="1"/>
  <c r="K474" i="1"/>
  <c r="M474" i="1" s="1"/>
  <c r="L474" i="1" l="1"/>
  <c r="N475" i="1"/>
  <c r="K475" i="1"/>
  <c r="M475" i="1" s="1"/>
  <c r="J476" i="1"/>
  <c r="L475" i="1" s="1"/>
  <c r="K476" i="1" l="1"/>
  <c r="M476" i="1" s="1"/>
  <c r="J477" i="1"/>
  <c r="L476" i="1" s="1"/>
  <c r="N476" i="1"/>
  <c r="J478" i="1" l="1"/>
  <c r="K477" i="1"/>
  <c r="M477" i="1" s="1"/>
  <c r="N477" i="1"/>
  <c r="L477" i="1"/>
  <c r="J479" i="1" l="1"/>
  <c r="K478" i="1"/>
  <c r="M478" i="1" s="1"/>
  <c r="N478" i="1"/>
  <c r="L478" i="1"/>
  <c r="K479" i="1" l="1"/>
  <c r="M479" i="1" s="1"/>
  <c r="N479" i="1"/>
  <c r="J480" i="1"/>
  <c r="L479" i="1" s="1"/>
  <c r="N480" i="1" l="1"/>
  <c r="J481" i="1"/>
  <c r="K480" i="1"/>
  <c r="M480" i="1" s="1"/>
  <c r="L480" i="1"/>
  <c r="J482" i="1" l="1"/>
  <c r="L481" i="1" s="1"/>
  <c r="N481" i="1"/>
  <c r="K481" i="1"/>
  <c r="M481" i="1" s="1"/>
  <c r="N482" i="1" l="1"/>
  <c r="K482" i="1"/>
  <c r="M482" i="1" s="1"/>
  <c r="J483" i="1"/>
  <c r="L482" i="1" s="1"/>
  <c r="N483" i="1" l="1"/>
  <c r="K483" i="1"/>
  <c r="M483" i="1" s="1"/>
  <c r="J484" i="1"/>
  <c r="L483" i="1" s="1"/>
  <c r="N484" i="1" l="1"/>
  <c r="J485" i="1"/>
  <c r="L484" i="1" s="1"/>
  <c r="K484" i="1"/>
  <c r="M484" i="1" s="1"/>
  <c r="K485" i="1" l="1"/>
  <c r="M485" i="1" s="1"/>
  <c r="J486" i="1"/>
  <c r="L485" i="1" s="1"/>
  <c r="N485" i="1"/>
  <c r="N486" i="1" l="1"/>
  <c r="K486" i="1"/>
  <c r="M486" i="1" s="1"/>
  <c r="J487" i="1"/>
  <c r="N487" i="1" l="1"/>
  <c r="K487" i="1"/>
  <c r="M487" i="1" s="1"/>
  <c r="J488" i="1"/>
  <c r="L486" i="1"/>
  <c r="N488" i="1" l="1"/>
  <c r="J489" i="1"/>
  <c r="K488" i="1"/>
  <c r="M488" i="1" s="1"/>
  <c r="L487" i="1"/>
  <c r="J490" i="1" l="1"/>
  <c r="K489" i="1"/>
  <c r="M489" i="1" s="1"/>
  <c r="N489" i="1"/>
  <c r="L489" i="1"/>
  <c r="L488" i="1"/>
  <c r="J491" i="1" l="1"/>
  <c r="L490" i="1" s="1"/>
  <c r="N490" i="1"/>
  <c r="K490" i="1"/>
  <c r="M490" i="1" s="1"/>
  <c r="K491" i="1" l="1"/>
  <c r="M491" i="1" s="1"/>
  <c r="J492" i="1"/>
  <c r="L491" i="1" s="1"/>
  <c r="N491" i="1"/>
  <c r="J493" i="1" l="1"/>
  <c r="L492" i="1"/>
  <c r="K492" i="1"/>
  <c r="M492" i="1" s="1"/>
  <c r="N492" i="1"/>
  <c r="K493" i="1" l="1"/>
  <c r="M493" i="1" s="1"/>
  <c r="J494" i="1"/>
  <c r="L493" i="1" s="1"/>
  <c r="N493" i="1"/>
  <c r="N494" i="1" l="1"/>
  <c r="K494" i="1"/>
  <c r="M494" i="1" s="1"/>
  <c r="J495" i="1"/>
  <c r="L494" i="1" s="1"/>
  <c r="J496" i="1" l="1"/>
  <c r="L495" i="1" s="1"/>
  <c r="N495" i="1"/>
  <c r="K495" i="1"/>
  <c r="M495" i="1" s="1"/>
  <c r="N496" i="1" l="1"/>
  <c r="J497" i="1"/>
  <c r="K496" i="1"/>
  <c r="M496" i="1" s="1"/>
  <c r="L496" i="1"/>
  <c r="N497" i="1" l="1"/>
  <c r="K497" i="1"/>
  <c r="M497" i="1" s="1"/>
  <c r="J498" i="1"/>
  <c r="L497" i="1" s="1"/>
  <c r="N498" i="1" l="1"/>
  <c r="J499" i="1"/>
  <c r="L498" i="1" s="1"/>
  <c r="K498" i="1"/>
  <c r="M498" i="1" s="1"/>
  <c r="N499" i="1" l="1"/>
  <c r="J500" i="1"/>
  <c r="L499" i="1" s="1"/>
  <c r="K499" i="1"/>
  <c r="M499" i="1" s="1"/>
  <c r="N500" i="1" l="1"/>
  <c r="K500" i="1"/>
  <c r="M500" i="1" s="1"/>
  <c r="L50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Dayeon</author>
  </authors>
  <commentList>
    <comment ref="J6" authorId="0" shapeId="0" xr:uid="{FB92C1B5-920E-4335-BAFD-33F51CBC9D82}">
      <text>
        <r>
          <rPr>
            <b/>
            <sz val="9"/>
            <color indexed="81"/>
            <rFont val="Tahoma"/>
            <family val="2"/>
          </rPr>
          <t>Dayeon: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현재셀에서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다음셀까지의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것임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<sst xmlns="http://schemas.openxmlformats.org/spreadsheetml/2006/main" count="340" uniqueCount="305">
  <si>
    <t>검색할 폴더 경로</t>
    <phoneticPr fontId="1" type="noConversion"/>
  </si>
  <si>
    <t>폴더 내 파일 목록</t>
    <phoneticPr fontId="1" type="noConversion"/>
  </si>
  <si>
    <t>성공횟수</t>
    <phoneticPr fontId="1" type="noConversion"/>
  </si>
  <si>
    <t>성공률</t>
    <phoneticPr fontId="1" type="noConversion"/>
  </si>
  <si>
    <t>경과시간</t>
    <phoneticPr fontId="1" type="noConversion"/>
  </si>
  <si>
    <t>횟수/시간</t>
    <phoneticPr fontId="1" type="noConversion"/>
  </si>
  <si>
    <t>경과일수</t>
    <phoneticPr fontId="1" type="noConversion"/>
  </si>
  <si>
    <t>15분/24시간</t>
    <phoneticPr fontId="1" type="noConversion"/>
  </si>
  <si>
    <t>경과여부</t>
    <phoneticPr fontId="1" type="noConversion"/>
  </si>
  <si>
    <t>현재시각</t>
    <phoneticPr fontId="1" type="noConversion"/>
  </si>
  <si>
    <t>현구간종료</t>
    <phoneticPr fontId="1" type="noConversion"/>
  </si>
  <si>
    <t>1시간 구간별</t>
    <phoneticPr fontId="1" type="noConversion"/>
  </si>
  <si>
    <t>① 요청 메시지 명세</t>
    <phoneticPr fontId="1" type="noConversion"/>
  </si>
  <si>
    <t>항목명(영문)</t>
  </si>
  <si>
    <t>항목명(국문)</t>
  </si>
  <si>
    <t>항목크기</t>
    <phoneticPr fontId="1" type="noConversion"/>
  </si>
  <si>
    <t>항목구분</t>
    <phoneticPr fontId="1" type="noConversion"/>
  </si>
  <si>
    <t>샘플데이터</t>
  </si>
  <si>
    <t>항목설명</t>
  </si>
  <si>
    <t>serviceKey</t>
  </si>
  <si>
    <t>서비스키</t>
  </si>
  <si>
    <t>인증키(URL Encode)</t>
  </si>
  <si>
    <t>인증된 서비스키</t>
  </si>
  <si>
    <t>pageNo</t>
  </si>
  <si>
    <t>페이지 번호</t>
  </si>
  <si>
    <t>numOfRows</t>
  </si>
  <si>
    <t>한 페이지 결과 수</t>
  </si>
  <si>
    <t>한 페이지 결과 수 (최소 10, 최대 9999)</t>
  </si>
  <si>
    <t>period</t>
  </si>
  <si>
    <t>상태갱신 기간</t>
  </si>
  <si>
    <t>5
(5분 이내 상태갱신 충전기 조회)</t>
    <phoneticPr fontId="1" type="noConversion"/>
  </si>
  <si>
    <t>상태갱신 조회 범위(분)
(기본값 5, 최소 1, 최대 10)</t>
    <phoneticPr fontId="1" type="noConversion"/>
  </si>
  <si>
    <t>zcode</t>
  </si>
  <si>
    <t>지역구분 코드</t>
  </si>
  <si>
    <t>시도 코드 (행정구역코드 앞 2자리)</t>
  </si>
  <si>
    <t>※ 항목구분 : 필수(1), 옵션(0), 1건 이상 복수건(1..n), 0건 또는 복수건(0..n)</t>
    <phoneticPr fontId="1" type="noConversion"/>
  </si>
  <si>
    <t>② 응답 메시지 명세</t>
    <phoneticPr fontId="1" type="noConversion"/>
  </si>
  <si>
    <t>항목 크기</t>
    <phoneticPr fontId="1" type="noConversion"/>
  </si>
  <si>
    <t>항목 구분</t>
    <phoneticPr fontId="1" type="noConversion"/>
  </si>
  <si>
    <t>&lt;item&gt;</t>
  </si>
  <si>
    <t>resultCode</t>
  </si>
  <si>
    <t>결과코드</t>
  </si>
  <si>
    <r>
      <t>&lt;statNm&gt;</t>
    </r>
    <r>
      <rPr>
        <sz val="10"/>
        <color rgb="FF000000"/>
        <rFont val="굴림"/>
        <family val="3"/>
        <charset val="129"/>
      </rPr>
      <t>롯데마트</t>
    </r>
    <r>
      <rPr>
        <sz val="10"/>
        <color rgb="FF000000"/>
        <rFont val="Courier New"/>
        <family val="3"/>
      </rPr>
      <t xml:space="preserve"> </t>
    </r>
    <r>
      <rPr>
        <sz val="10"/>
        <color rgb="FF000000"/>
        <rFont val="굴림"/>
        <family val="3"/>
        <charset val="129"/>
      </rPr>
      <t>삼계점</t>
    </r>
    <r>
      <rPr>
        <sz val="10"/>
        <color rgb="FF000000"/>
        <rFont val="Courier New"/>
        <family val="3"/>
      </rPr>
      <t>&lt;/statNm&gt;</t>
    </r>
  </si>
  <si>
    <t>resultMsg</t>
  </si>
  <si>
    <t>결과메세지</t>
  </si>
  <si>
    <t>NORMAL SERVICE.</t>
  </si>
  <si>
    <t>&lt;statId&gt;ME000394&lt;/statId&gt;</t>
  </si>
  <si>
    <t>totalCount</t>
  </si>
  <si>
    <t>전체 건수</t>
  </si>
  <si>
    <t>요청 조건에 따른 전체 충전기 개수</t>
  </si>
  <si>
    <t>&lt;chgerId&gt;01&lt;/chgerId&gt;</t>
  </si>
  <si>
    <t>조회 페이지</t>
  </si>
  <si>
    <t>&lt;chgerType&gt;01&lt;/chgerType&gt;</t>
  </si>
  <si>
    <t>한 페이지당 표출 데이터 수</t>
  </si>
  <si>
    <r>
      <t>&lt;addr&gt;</t>
    </r>
    <r>
      <rPr>
        <sz val="10"/>
        <color rgb="FF000000"/>
        <rFont val="굴림"/>
        <family val="3"/>
        <charset val="129"/>
      </rPr>
      <t>경상남도</t>
    </r>
    <r>
      <rPr>
        <sz val="10"/>
        <color rgb="FF000000"/>
        <rFont val="Courier New"/>
        <family val="3"/>
      </rPr>
      <t xml:space="preserve"> </t>
    </r>
    <r>
      <rPr>
        <sz val="10"/>
        <color rgb="FF000000"/>
        <rFont val="굴림"/>
        <family val="3"/>
        <charset val="129"/>
      </rPr>
      <t>창원시</t>
    </r>
    <r>
      <rPr>
        <sz val="10"/>
        <color rgb="FF000000"/>
        <rFont val="Courier New"/>
        <family val="3"/>
      </rPr>
      <t xml:space="preserve"> </t>
    </r>
    <r>
      <rPr>
        <sz val="10"/>
        <color rgb="FF000000"/>
        <rFont val="굴림"/>
        <family val="3"/>
        <charset val="129"/>
      </rPr>
      <t>마산회원구</t>
    </r>
    <r>
      <rPr>
        <sz val="10"/>
        <color rgb="FF000000"/>
        <rFont val="Courier New"/>
        <family val="3"/>
      </rPr>
      <t xml:space="preserve"> </t>
    </r>
    <r>
      <rPr>
        <sz val="10"/>
        <color rgb="FF000000"/>
        <rFont val="굴림"/>
        <family val="3"/>
        <charset val="129"/>
      </rPr>
      <t>내서읍</t>
    </r>
    <r>
      <rPr>
        <sz val="10"/>
        <color rgb="FF000000"/>
        <rFont val="Courier New"/>
        <family val="3"/>
      </rPr>
      <t xml:space="preserve"> </t>
    </r>
    <r>
      <rPr>
        <sz val="10"/>
        <color rgb="FF000000"/>
        <rFont val="굴림"/>
        <family val="3"/>
        <charset val="129"/>
      </rPr>
      <t>경남대로</t>
    </r>
    <r>
      <rPr>
        <sz val="10"/>
        <color rgb="FF000000"/>
        <rFont val="Courier New"/>
        <family val="3"/>
      </rPr>
      <t xml:space="preserve"> 927&lt;/addr&gt;</t>
    </r>
  </si>
  <si>
    <t>items</t>
  </si>
  <si>
    <t>목록</t>
  </si>
  <si>
    <t>0..n</t>
  </si>
  <si>
    <t>&lt;location&gt;null&lt;/location&gt;</t>
  </si>
  <si>
    <t>statNm</t>
  </si>
  <si>
    <t>충전소명</t>
  </si>
  <si>
    <t>기후대기관</t>
  </si>
  <si>
    <t>&lt;lat&gt;35.233023&lt;/lat&gt;</t>
  </si>
  <si>
    <t>statId</t>
  </si>
  <si>
    <t>충전소ID</t>
  </si>
  <si>
    <t>&lt;lng&gt;128.504094&lt;/lng&gt;</t>
  </si>
  <si>
    <t>chgerId</t>
  </si>
  <si>
    <t>충전기ID</t>
  </si>
  <si>
    <t>&lt;useTime&gt;10:00~24:00&lt;/useTime&gt;</t>
  </si>
  <si>
    <t>chgerType</t>
  </si>
  <si>
    <t>충전기타입</t>
  </si>
  <si>
    <t>(01:DC차데모, 02: AC완속, 03: DC차데모+AC3상, 04: DC콤보,
05: DC차데모+DC콤보, 06: DC차데모+AC3상+DC콤보, 07: AC3상)</t>
    <phoneticPr fontId="1" type="noConversion"/>
  </si>
  <si>
    <t>&lt;busiId&gt;ME&lt;/busiId&gt;</t>
  </si>
  <si>
    <t>addr</t>
  </si>
  <si>
    <t>주소</t>
  </si>
  <si>
    <t>인천광역시 서구 환경로 42</t>
  </si>
  <si>
    <t>충전기 주소</t>
  </si>
  <si>
    <r>
      <t>&lt;bnm&gt;</t>
    </r>
    <r>
      <rPr>
        <sz val="10"/>
        <color rgb="FF000000"/>
        <rFont val="굴림"/>
        <family val="3"/>
        <charset val="129"/>
      </rPr>
      <t>환경부</t>
    </r>
    <r>
      <rPr>
        <sz val="10"/>
        <color rgb="FF000000"/>
        <rFont val="Courier New"/>
        <family val="3"/>
      </rPr>
      <t>&lt;/bnm&gt;</t>
    </r>
  </si>
  <si>
    <t>location</t>
  </si>
  <si>
    <t>상세위치</t>
  </si>
  <si>
    <t>입구 진입 후 2시 방향</t>
  </si>
  <si>
    <t>충전기 상세위치</t>
  </si>
  <si>
    <r>
      <t>&lt;busiNm&gt;</t>
    </r>
    <r>
      <rPr>
        <sz val="10"/>
        <color rgb="FF000000"/>
        <rFont val="굴림"/>
        <family val="3"/>
        <charset val="129"/>
      </rPr>
      <t>환경부</t>
    </r>
    <r>
      <rPr>
        <sz val="10"/>
        <color rgb="FF000000"/>
        <rFont val="Courier New"/>
        <family val="3"/>
      </rPr>
      <t>&lt;/busiNm&gt;</t>
    </r>
  </si>
  <si>
    <t>lat</t>
  </si>
  <si>
    <t>위도</t>
  </si>
  <si>
    <t>충전기 위도</t>
  </si>
  <si>
    <t>&lt;busiCall&gt;1661-9408&lt;/busiCall&gt;</t>
  </si>
  <si>
    <t>lng</t>
  </si>
  <si>
    <t>경도</t>
  </si>
  <si>
    <t>충전기 경도</t>
  </si>
  <si>
    <t>&lt;stat&gt;9&lt;/stat&gt;</t>
  </si>
  <si>
    <t>useTime</t>
  </si>
  <si>
    <t>이용가능시간</t>
  </si>
  <si>
    <t>24시간 이용가능</t>
  </si>
  <si>
    <t>충전기 이용가능시간</t>
  </si>
  <si>
    <t>&lt;statUpdDt&gt;20211124162810&lt;/statUpdDt&gt;</t>
  </si>
  <si>
    <t>busiId</t>
  </si>
  <si>
    <t>기관 아이디</t>
  </si>
  <si>
    <t>ME</t>
  </si>
  <si>
    <t>&lt;lastTsdt&gt;20211019162434&lt;/lastTsdt&gt;</t>
  </si>
  <si>
    <t>bnm</t>
  </si>
  <si>
    <t>기관명</t>
  </si>
  <si>
    <t>환경부</t>
  </si>
  <si>
    <t>&lt;lastTedt&gt;20211019164848&lt;/lastTedt&gt;</t>
  </si>
  <si>
    <t>busiNm</t>
  </si>
  <si>
    <t>운영기관명</t>
  </si>
  <si>
    <t>한국자동차환경협회</t>
  </si>
  <si>
    <t>&lt;nowTsdt/&gt;</t>
  </si>
  <si>
    <t>busiCall</t>
  </si>
  <si>
    <t>운영기관연락처</t>
  </si>
  <si>
    <t>1661-9408</t>
  </si>
  <si>
    <t>운영기관 연락처</t>
  </si>
  <si>
    <t>&lt;powerType/&gt;</t>
  </si>
  <si>
    <t>stat</t>
  </si>
  <si>
    <t>충전기상태</t>
  </si>
  <si>
    <t>(1: 통신이상, 2: 충전대기, 3: 충전중, 4: 운영중지, 5: 점검중, 9: 상태미확인)</t>
    <phoneticPr fontId="1" type="noConversion"/>
  </si>
  <si>
    <t>&lt;output&gt;50&lt;/output&gt;</t>
  </si>
  <si>
    <t>statUpdDt</t>
  </si>
  <si>
    <t>상태갱신일시</t>
  </si>
  <si>
    <t>20190829121020</t>
    <phoneticPr fontId="1" type="noConversion"/>
  </si>
  <si>
    <t>충전기 상태 변경, 통신이상, 통신복구 일시</t>
  </si>
  <si>
    <r>
      <t>&lt;method&gt;</t>
    </r>
    <r>
      <rPr>
        <sz val="10"/>
        <color rgb="FF000000"/>
        <rFont val="굴림"/>
        <family val="3"/>
        <charset val="129"/>
      </rPr>
      <t>단독</t>
    </r>
    <r>
      <rPr>
        <sz val="10"/>
        <color rgb="FF000000"/>
        <rFont val="Courier New"/>
        <family val="3"/>
      </rPr>
      <t>&lt;/method&gt;</t>
    </r>
  </si>
  <si>
    <t>lastTsdt</t>
  </si>
  <si>
    <t>마지막 충전시작일시</t>
  </si>
  <si>
    <t>20210801121020</t>
    <phoneticPr fontId="1" type="noConversion"/>
  </si>
  <si>
    <t>&lt;zcode&gt;48&lt;/zcode&gt;</t>
  </si>
  <si>
    <t>lastTedt</t>
  </si>
  <si>
    <t>마지막 충전종료일시</t>
  </si>
  <si>
    <t>20210801123020</t>
    <phoneticPr fontId="1" type="noConversion"/>
  </si>
  <si>
    <t>&lt;parkingFree&gt;Y&lt;/parkingFree&gt;</t>
  </si>
  <si>
    <t>nowTsdt</t>
  </si>
  <si>
    <t>충전중 시작일시</t>
  </si>
  <si>
    <t>20210802131020</t>
    <phoneticPr fontId="1" type="noConversion"/>
  </si>
  <si>
    <t>&lt;note/&gt;</t>
  </si>
  <si>
    <t>output</t>
  </si>
  <si>
    <t>충전용량</t>
  </si>
  <si>
    <t>충전용량 kW (3, 7, 50, 100, 200)</t>
  </si>
  <si>
    <t>&lt;limitYn&gt;N&lt;/limitYn&gt;</t>
  </si>
  <si>
    <t>method</t>
  </si>
  <si>
    <t>충전방식</t>
  </si>
  <si>
    <t>단독</t>
  </si>
  <si>
    <t>충전방식 (단독/동시)</t>
  </si>
  <si>
    <t>&lt;limitDetail/&gt;</t>
  </si>
  <si>
    <t>지역코드</t>
  </si>
  <si>
    <t>&lt;delYn&gt;N&lt;/delYn&gt;</t>
  </si>
  <si>
    <t>parkingFree</t>
  </si>
  <si>
    <t>주차료무료</t>
  </si>
  <si>
    <t>Y / N</t>
  </si>
  <si>
    <t>주차료</t>
    <phoneticPr fontId="1" type="noConversion"/>
  </si>
  <si>
    <t>(Y: 무료, N: 유료, 값 없는 경우 현장 확인)</t>
    <phoneticPr fontId="1" type="noConversion"/>
  </si>
  <si>
    <t>&lt;delDetail/&gt;</t>
  </si>
  <si>
    <t>note</t>
  </si>
  <si>
    <t>충전소 안내</t>
  </si>
  <si>
    <t>공사로 인해 이용 불가</t>
  </si>
  <si>
    <t>충전소 이용 안내사항</t>
  </si>
  <si>
    <t>&lt;/item&gt;</t>
  </si>
  <si>
    <t>limitYn</t>
  </si>
  <si>
    <t>이용자 제한</t>
  </si>
  <si>
    <t>이용자 제한 (N:제한 없음)</t>
  </si>
  <si>
    <t>limitDetail</t>
  </si>
  <si>
    <t>이용제한 사유</t>
  </si>
  <si>
    <t>거주자외 출입제한</t>
  </si>
  <si>
    <t>delYn</t>
  </si>
  <si>
    <t>삭제 여부</t>
  </si>
  <si>
    <t>충전기 정보 삭제 여부</t>
  </si>
  <si>
    <t>(최근 삭제된 충전기 정보 제공)</t>
    <phoneticPr fontId="1" type="noConversion"/>
  </si>
  <si>
    <t>delDetail</t>
  </si>
  <si>
    <t>삭제 사유</t>
  </si>
  <si>
    <t>고객 요구로 철거</t>
  </si>
  <si>
    <t>충전기 정보 삭제 사유</t>
  </si>
  <si>
    <t>충전방식</t>
    <phoneticPr fontId="1" type="noConversion"/>
  </si>
  <si>
    <t>무료주차</t>
    <phoneticPr fontId="1" type="noConversion"/>
  </si>
  <si>
    <t>지역코드</t>
    <phoneticPr fontId="1" type="noConversion"/>
  </si>
  <si>
    <t>3.3. chgerType (충전기 타입)</t>
    <phoneticPr fontId="1" type="noConversion"/>
  </si>
  <si>
    <t>3.2. stat (충전기 상태)</t>
    <phoneticPr fontId="1" type="noConversion"/>
  </si>
  <si>
    <t>단독</t>
    <phoneticPr fontId="1" type="noConversion"/>
  </si>
  <si>
    <t>Y</t>
    <phoneticPr fontId="1" type="noConversion"/>
  </si>
  <si>
    <t>코드</t>
    <phoneticPr fontId="1" type="noConversion"/>
  </si>
  <si>
    <t>설명</t>
    <phoneticPr fontId="1" type="noConversion"/>
  </si>
  <si>
    <t>서울특별시</t>
    <phoneticPr fontId="1" type="noConversion"/>
  </si>
  <si>
    <t>DC차데모</t>
    <phoneticPr fontId="1" type="noConversion"/>
  </si>
  <si>
    <t>통신이상</t>
    <phoneticPr fontId="1" type="noConversion"/>
  </si>
  <si>
    <t>부산광역시</t>
    <phoneticPr fontId="1" type="noConversion"/>
  </si>
  <si>
    <t>AC완속</t>
    <phoneticPr fontId="1" type="noConversion"/>
  </si>
  <si>
    <t>충전대기</t>
    <phoneticPr fontId="1" type="noConversion"/>
  </si>
  <si>
    <t>대구광역시</t>
    <phoneticPr fontId="1" type="noConversion"/>
  </si>
  <si>
    <t>DC차데모+AC3상</t>
    <phoneticPr fontId="1" type="noConversion"/>
  </si>
  <si>
    <t>충전 중</t>
    <phoneticPr fontId="1" type="noConversion"/>
  </si>
  <si>
    <t>인천광역시</t>
    <phoneticPr fontId="1" type="noConversion"/>
  </si>
  <si>
    <t>DC콤보</t>
    <phoneticPr fontId="1" type="noConversion"/>
  </si>
  <si>
    <t>운영중지</t>
    <phoneticPr fontId="1" type="noConversion"/>
  </si>
  <si>
    <t>광주광역시</t>
    <phoneticPr fontId="1" type="noConversion"/>
  </si>
  <si>
    <t>DC차데모+DC콤보</t>
    <phoneticPr fontId="1" type="noConversion"/>
  </si>
  <si>
    <t>점검 중</t>
    <phoneticPr fontId="1" type="noConversion"/>
  </si>
  <si>
    <t>대전광역시</t>
    <phoneticPr fontId="1" type="noConversion"/>
  </si>
  <si>
    <t>DC차데모+AC3상+DC콤보</t>
    <phoneticPr fontId="1" type="noConversion"/>
  </si>
  <si>
    <t>상태미확인</t>
    <phoneticPr fontId="1" type="noConversion"/>
  </si>
  <si>
    <t>울산광역시</t>
    <phoneticPr fontId="1" type="noConversion"/>
  </si>
  <si>
    <t>AC3상</t>
    <phoneticPr fontId="1" type="noConversion"/>
  </si>
  <si>
    <t>세종특별자치시</t>
    <phoneticPr fontId="1" type="noConversion"/>
  </si>
  <si>
    <t>경기도</t>
    <phoneticPr fontId="1" type="noConversion"/>
  </si>
  <si>
    <t>강원도</t>
    <phoneticPr fontId="1" type="noConversion"/>
  </si>
  <si>
    <t>충청북도</t>
    <phoneticPr fontId="1" type="noConversion"/>
  </si>
  <si>
    <t>충청남도</t>
    <phoneticPr fontId="1" type="noConversion"/>
  </si>
  <si>
    <t>전라북도</t>
    <phoneticPr fontId="1" type="noConversion"/>
  </si>
  <si>
    <t>전라남도</t>
    <phoneticPr fontId="1" type="noConversion"/>
  </si>
  <si>
    <t>경상북도</t>
    <phoneticPr fontId="1" type="noConversion"/>
  </si>
  <si>
    <t>경상남도</t>
    <phoneticPr fontId="1" type="noConversion"/>
  </si>
  <si>
    <t>제주특별자치도</t>
    <phoneticPr fontId="1" type="noConversion"/>
  </si>
  <si>
    <t>출력</t>
    <phoneticPr fontId="1" type="noConversion"/>
  </si>
  <si>
    <t>동시</t>
    <phoneticPr fontId="1" type="noConversion"/>
  </si>
  <si>
    <t>N</t>
    <phoneticPr fontId="1" type="noConversion"/>
  </si>
  <si>
    <t>N/A</t>
    <phoneticPr fontId="1" type="noConversion"/>
  </si>
  <si>
    <t>15분 구간별</t>
    <phoneticPr fontId="1" type="noConversion"/>
  </si>
  <si>
    <t>성공횟수</t>
  </si>
  <si>
    <t>날짜형식으로 변환</t>
    <phoneticPr fontId="1" type="noConversion"/>
  </si>
  <si>
    <t>성공횟수</t>
    <phoneticPr fontId="1" type="noConversion"/>
  </si>
  <si>
    <t>성공률</t>
    <phoneticPr fontId="1" type="noConversion"/>
  </si>
  <si>
    <t>경과횟수</t>
    <phoneticPr fontId="1" type="noConversion"/>
  </si>
  <si>
    <t>운영계정 시작 (1계정)</t>
    <phoneticPr fontId="1" type="noConversion"/>
  </si>
  <si>
    <t>운영계정 추가 (2계정)</t>
    <phoneticPr fontId="1" type="noConversion"/>
  </si>
  <si>
    <t>필드 추가 (이용가능시간, 기관아이디, 기관명, 운영기관명, 삭제여부, 삭제사유, 충전소안내)</t>
    <phoneticPr fontId="1" type="noConversion"/>
  </si>
  <si>
    <t>개발계정 시작 (1계정)</t>
    <phoneticPr fontId="1" type="noConversion"/>
  </si>
  <si>
    <t>20220701175000.csv</t>
  </si>
  <si>
    <t>20220701175100.csv</t>
  </si>
  <si>
    <t>20220701175200.csv</t>
  </si>
  <si>
    <t>20220701175300.csv</t>
  </si>
  <si>
    <t>20220701175400.csv</t>
  </si>
  <si>
    <t>20220701175500.csv</t>
  </si>
  <si>
    <t>20220701175600.csv</t>
  </si>
  <si>
    <t>20220701175700.csv</t>
  </si>
  <si>
    <t>20220701175800.csv</t>
  </si>
  <si>
    <t>20220701175900.csv</t>
  </si>
  <si>
    <t>20220701180000.csv</t>
  </si>
  <si>
    <t>20220701180100.csv</t>
  </si>
  <si>
    <t>20220701180200.csv</t>
  </si>
  <si>
    <t>20220701180300.csv</t>
  </si>
  <si>
    <t>20220701180400.csv</t>
  </si>
  <si>
    <t>20220701180500.csv</t>
  </si>
  <si>
    <t>20220701180600.csv</t>
  </si>
  <si>
    <t>20220701180700.csv</t>
  </si>
  <si>
    <t>20220701180800.csv</t>
  </si>
  <si>
    <t>20220701180900.csv</t>
  </si>
  <si>
    <t>20220701181000.csv</t>
  </si>
  <si>
    <t>20220701181100.csv</t>
  </si>
  <si>
    <t>20220701181200.csv</t>
  </si>
  <si>
    <t>20220701181300.csv</t>
  </si>
  <si>
    <t>20220701181400.csv</t>
  </si>
  <si>
    <t>20220701181500.csv</t>
  </si>
  <si>
    <t>20220701181600.csv</t>
  </si>
  <si>
    <t>20220701181700.csv</t>
  </si>
  <si>
    <t>20220701181800.csv</t>
  </si>
  <si>
    <t>20220701181900.csv</t>
  </si>
  <si>
    <t>20220701182000.csv</t>
  </si>
  <si>
    <t>20220701182100.csv</t>
  </si>
  <si>
    <t>20220701182200.csv</t>
  </si>
  <si>
    <t>20220701182300.csv</t>
  </si>
  <si>
    <t>20220701182400.csv</t>
  </si>
  <si>
    <t>20220701182500.csv</t>
  </si>
  <si>
    <t>20220701182600.csv</t>
  </si>
  <si>
    <t>20220701182700.csv</t>
  </si>
  <si>
    <t>20220701182800.csv</t>
  </si>
  <si>
    <t>20220701182900.csv</t>
  </si>
  <si>
    <t>20220701183000.csv</t>
  </si>
  <si>
    <t>20220701183100.csv</t>
  </si>
  <si>
    <t>20220701183200.csv</t>
  </si>
  <si>
    <t>20220701183300.csv</t>
  </si>
  <si>
    <t>20220701183400.csv</t>
  </si>
  <si>
    <t>20220701183500.csv</t>
  </si>
  <si>
    <t>20220701183600.csv</t>
  </si>
  <si>
    <t>20220701183700.csv</t>
  </si>
  <si>
    <t>20220701183800.csv</t>
  </si>
  <si>
    <t>20220701183900.csv</t>
  </si>
  <si>
    <t>20220701184000.csv</t>
  </si>
  <si>
    <t>20220701184100.csv</t>
  </si>
  <si>
    <t>20220701184200.csv</t>
  </si>
  <si>
    <t>20220701184300.csv</t>
  </si>
  <si>
    <t>20220701184400.csv</t>
  </si>
  <si>
    <t>20220701184500.csv</t>
  </si>
  <si>
    <t>20220701184600.csv</t>
  </si>
  <si>
    <t>20220701184700.csv</t>
  </si>
  <si>
    <t>20220701184800.csv</t>
  </si>
  <si>
    <t>20220701184900.csv</t>
  </si>
  <si>
    <t>20220701185000.csv</t>
  </si>
  <si>
    <t>20220701185100.csv</t>
  </si>
  <si>
    <t>20220701185200.csv</t>
  </si>
  <si>
    <t>20220701185300.csv</t>
  </si>
  <si>
    <t>20220701185400.csv</t>
  </si>
  <si>
    <t>_현황(종합).xlsm</t>
  </si>
  <si>
    <t>~$_현황(종합).xlsm</t>
  </si>
  <si>
    <t>분</t>
    <phoneticPr fontId="1" type="noConversion"/>
  </si>
  <si>
    <t>20220701185500.csv</t>
  </si>
  <si>
    <t>20220701185600.csv</t>
  </si>
  <si>
    <t>20220701185700.csv</t>
  </si>
  <si>
    <t>20220701185800.csv</t>
  </si>
  <si>
    <t>20220701185900.csv</t>
  </si>
  <si>
    <t>20220701190000.csv</t>
  </si>
  <si>
    <t>20220701190100.csv</t>
  </si>
  <si>
    <t>20220701190200.csv</t>
  </si>
  <si>
    <t>20220701190300.csv</t>
  </si>
  <si>
    <t>20220701190400.csv</t>
  </si>
  <si>
    <t>20220701190500.csv</t>
  </si>
  <si>
    <t>20220701190600.csv</t>
  </si>
  <si>
    <t>20220701190700.csv</t>
  </si>
  <si>
    <t>20220701190800.csv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</si>
</sst>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yyyy/mm/dd\ hh:mm:ss"/>
    <numFmt numFmtId="177" formatCode="0.0000000000000"/>
    <numFmt numFmtId="178" formatCode="0.0000000000000000000000"/>
    <numFmt numFmtId="179" formatCode="0.0%"/>
    <numFmt numFmtId="180" formatCode="0.000_);[Red]\(0.000\)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KoPubWorld바탕체 Medium"/>
      <family val="3"/>
      <charset val="129"/>
    </font>
    <font>
      <sz val="10"/>
      <color rgb="FF000000"/>
      <name val="굴림"/>
      <family val="3"/>
      <charset val="129"/>
    </font>
    <font>
      <sz val="10"/>
      <color rgb="FF000000"/>
      <name val="Courier New"/>
      <family val="3"/>
    </font>
    <font>
      <sz val="10"/>
      <color rgb="FF000000"/>
      <name val="KoPubWorld바탕체 Medium"/>
      <family val="3"/>
      <charset val="129"/>
    </font>
    <font>
      <sz val="11"/>
      <name val="KoPub바탕체 Medium"/>
      <family val="1"/>
      <charset val="129"/>
    </font>
    <font>
      <b/>
      <sz val="11"/>
      <color theme="0"/>
      <name val="KoPub바탕체 Medium"/>
      <family val="1"/>
      <charset val="129"/>
    </font>
    <font>
      <b/>
      <sz val="11"/>
      <name val="KoPub바탕체 Medium"/>
      <family val="1"/>
      <charset val="129"/>
    </font>
    <font>
      <b/>
      <u/>
      <sz val="11"/>
      <name val="KoPub바탕체 Medium"/>
      <family val="1"/>
      <charset val="129"/>
    </font>
    <font>
      <sz val="10"/>
      <name val="KoPub바탕체 Medium"/>
      <family val="1"/>
      <charset val="129"/>
    </font>
    <font>
      <sz val="6"/>
      <name val="KoPub바탕체 Medium"/>
      <family val="1"/>
      <charset val="129"/>
    </font>
  </fonts>
  <fills count="9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41" fontId="2" fillId="0" borderId="0" applyFont="0" applyFill="0" applyBorder="0" applyAlignment="0" applyProtection="0">
      <alignment vertical="center"/>
    </xf>
  </cellStyleXfs>
  <cellXfs count="52">
    <xf numFmtId="0" fontId="0" fillId="0" borderId="0" xfId="0">
      <alignment vertical="center"/>
    </xf>
    <xf numFmtId="0" fontId="6" fillId="0" borderId="0" xfId="0" applyFont="1">
      <alignment vertical="center"/>
    </xf>
    <xf numFmtId="0" fontId="6" fillId="4" borderId="3" xfId="0" applyFont="1" applyFill="1" applyBorder="1">
      <alignment vertical="center"/>
    </xf>
    <xf numFmtId="0" fontId="6" fillId="4" borderId="4" xfId="0" applyFont="1" applyFill="1" applyBorder="1">
      <alignment vertical="center"/>
    </xf>
    <xf numFmtId="0" fontId="6" fillId="4" borderId="5" xfId="0" applyFont="1" applyFill="1" applyBorder="1">
      <alignment vertical="center"/>
    </xf>
    <xf numFmtId="0" fontId="6" fillId="0" borderId="6" xfId="0" applyFont="1" applyBorder="1">
      <alignment vertical="center"/>
    </xf>
    <xf numFmtId="0" fontId="6" fillId="0" borderId="7" xfId="0" applyFont="1" applyBorder="1">
      <alignment vertical="center"/>
    </xf>
    <xf numFmtId="49" fontId="6" fillId="0" borderId="7" xfId="0" applyNumberFormat="1" applyFont="1" applyBorder="1">
      <alignment vertical="center"/>
    </xf>
    <xf numFmtId="0" fontId="6" fillId="0" borderId="8" xfId="0" applyFont="1" applyBorder="1">
      <alignment vertical="center"/>
    </xf>
    <xf numFmtId="0" fontId="6" fillId="5" borderId="6" xfId="0" applyFont="1" applyFill="1" applyBorder="1">
      <alignment vertical="center"/>
    </xf>
    <xf numFmtId="0" fontId="6" fillId="5" borderId="7" xfId="0" applyFont="1" applyFill="1" applyBorder="1">
      <alignment vertical="center"/>
    </xf>
    <xf numFmtId="49" fontId="6" fillId="5" borderId="7" xfId="0" applyNumberFormat="1" applyFont="1" applyFill="1" applyBorder="1">
      <alignment vertical="center"/>
    </xf>
    <xf numFmtId="0" fontId="6" fillId="5" borderId="8" xfId="0" applyFont="1" applyFill="1" applyBorder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>
      <alignment vertical="center"/>
    </xf>
    <xf numFmtId="49" fontId="6" fillId="0" borderId="0" xfId="0" applyNumberFormat="1" applyFont="1" applyBorder="1">
      <alignment vertical="center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justify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2" xfId="0" applyFont="1" applyBorder="1" applyAlignment="1">
      <alignment horizontal="justify" vertical="center" wrapText="1"/>
    </xf>
    <xf numFmtId="41" fontId="6" fillId="0" borderId="0" xfId="2" applyFont="1">
      <alignment vertical="center"/>
    </xf>
    <xf numFmtId="41" fontId="6" fillId="0" borderId="0" xfId="0" applyNumberFormat="1" applyFont="1">
      <alignment vertical="center"/>
    </xf>
    <xf numFmtId="0" fontId="10" fillId="0" borderId="0" xfId="0" applyFont="1">
      <alignment vertical="center"/>
    </xf>
    <xf numFmtId="0" fontId="11" fillId="2" borderId="1" xfId="0" applyFont="1" applyFill="1" applyBorder="1">
      <alignment vertical="center"/>
    </xf>
    <xf numFmtId="0" fontId="10" fillId="0" borderId="0" xfId="0" applyFont="1" applyFill="1" applyBorder="1">
      <alignment vertical="center"/>
    </xf>
    <xf numFmtId="0" fontId="10" fillId="0" borderId="1" xfId="0" applyFont="1" applyFill="1" applyBorder="1">
      <alignment vertical="center"/>
    </xf>
    <xf numFmtId="0" fontId="12" fillId="0" borderId="0" xfId="0" applyFont="1" applyFill="1" applyBorder="1">
      <alignment vertical="center"/>
    </xf>
    <xf numFmtId="0" fontId="10" fillId="0" borderId="0" xfId="0" applyFont="1" applyFill="1" applyBorder="1" applyAlignment="1">
      <alignment horizontal="left" vertical="center"/>
    </xf>
    <xf numFmtId="0" fontId="13" fillId="0" borderId="2" xfId="0" applyFont="1" applyFill="1" applyBorder="1" applyAlignment="1">
      <alignment horizontal="left" vertical="center"/>
    </xf>
    <xf numFmtId="0" fontId="10" fillId="0" borderId="2" xfId="0" applyFont="1" applyFill="1" applyBorder="1" applyAlignment="1">
      <alignment horizontal="left" vertical="center"/>
    </xf>
    <xf numFmtId="176" fontId="10" fillId="3" borderId="0" xfId="0" applyNumberFormat="1" applyFont="1" applyFill="1" applyBorder="1">
      <alignment vertical="center"/>
    </xf>
    <xf numFmtId="0" fontId="10" fillId="0" borderId="2" xfId="0" applyFont="1" applyFill="1" applyBorder="1">
      <alignment vertical="center"/>
    </xf>
    <xf numFmtId="0" fontId="10" fillId="0" borderId="2" xfId="0" applyFont="1" applyBorder="1">
      <alignment vertical="center"/>
    </xf>
    <xf numFmtId="177" fontId="10" fillId="0" borderId="0" xfId="0" applyNumberFormat="1" applyFont="1" applyFill="1" applyBorder="1">
      <alignment vertical="center"/>
    </xf>
    <xf numFmtId="22" fontId="10" fillId="0" borderId="0" xfId="0" applyNumberFormat="1" applyFont="1">
      <alignment vertical="center"/>
    </xf>
    <xf numFmtId="178" fontId="10" fillId="0" borderId="0" xfId="0" applyNumberFormat="1" applyFont="1">
      <alignment vertical="center"/>
    </xf>
    <xf numFmtId="0" fontId="12" fillId="0" borderId="1" xfId="0" applyFont="1" applyFill="1" applyBorder="1">
      <alignment vertical="center"/>
    </xf>
    <xf numFmtId="0" fontId="12" fillId="0" borderId="1" xfId="0" applyFont="1" applyBorder="1">
      <alignment vertical="center"/>
    </xf>
    <xf numFmtId="2" fontId="12" fillId="0" borderId="1" xfId="0" applyNumberFormat="1" applyFont="1" applyBorder="1">
      <alignment vertical="center"/>
    </xf>
    <xf numFmtId="179" fontId="12" fillId="0" borderId="1" xfId="1" applyNumberFormat="1" applyFont="1" applyFill="1" applyBorder="1">
      <alignment vertical="center"/>
    </xf>
    <xf numFmtId="0" fontId="10" fillId="6" borderId="13" xfId="0" applyFont="1" applyFill="1" applyBorder="1" applyAlignment="1">
      <alignment horizontal="center" vertical="center"/>
    </xf>
    <xf numFmtId="0" fontId="10" fillId="6" borderId="14" xfId="0" applyFont="1" applyFill="1" applyBorder="1" applyAlignment="1">
      <alignment horizontal="center" vertical="center"/>
    </xf>
    <xf numFmtId="0" fontId="10" fillId="6" borderId="15" xfId="0" applyFont="1" applyFill="1" applyBorder="1" applyAlignment="1">
      <alignment horizontal="center" vertical="center"/>
    </xf>
    <xf numFmtId="176" fontId="10" fillId="3" borderId="16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2" fillId="5" borderId="1" xfId="0" applyFont="1" applyFill="1" applyBorder="1">
      <alignment vertical="center"/>
    </xf>
    <xf numFmtId="0" fontId="10" fillId="7" borderId="0" xfId="0" applyFont="1" applyFill="1" applyBorder="1" applyAlignment="1">
      <alignment horizontal="center" vertical="center"/>
    </xf>
    <xf numFmtId="0" fontId="12" fillId="8" borderId="1" xfId="0" applyFont="1" applyFill="1" applyBorder="1">
      <alignment vertical="center"/>
    </xf>
    <xf numFmtId="176" fontId="14" fillId="0" borderId="18" xfId="0" applyNumberFormat="1" applyFont="1" applyFill="1" applyBorder="1">
      <alignment vertical="center"/>
    </xf>
    <xf numFmtId="0" fontId="14" fillId="8" borderId="18" xfId="0" applyFont="1" applyFill="1" applyBorder="1" applyAlignment="1">
      <alignment horizontal="left" vertical="center"/>
    </xf>
    <xf numFmtId="180" fontId="15" fillId="0" borderId="0" xfId="0" applyNumberFormat="1" applyFont="1" applyAlignment="1">
      <alignment horizontal="left" vertical="center"/>
    </xf>
    <xf numFmtId="179" fontId="10" fillId="3" borderId="17" xfId="1" applyNumberFormat="1" applyFont="1" applyFill="1" applyBorder="1" applyAlignment="1">
      <alignment horizontal="right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127348386080654E-2"/>
          <c:y val="9.5382955771305289E-2"/>
          <c:w val="0.96905519914964422"/>
          <c:h val="0.326996947581303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2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AE65-4EBF-AD4F-3B09930F5940}"/>
              </c:ext>
            </c:extLst>
          </c:dPt>
          <c:dPt>
            <c:idx val="43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AE65-4EBF-AD4F-3B09930F5940}"/>
              </c:ext>
            </c:extLst>
          </c:dPt>
          <c:dPt>
            <c:idx val="45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AE65-4EBF-AD4F-3B09930F5940}"/>
              </c:ext>
            </c:extLst>
          </c:dPt>
          <c:xVal>
            <c:numRef>
              <c:f>수집기록!$J$6:$J$96</c:f>
              <c:numCache>
                <c:formatCode>yyyy/mm/dd\ hh:mm:ss</c:formatCode>
                <c:ptCount val="91"/>
                <c:pt idx="0">
                  <c:v>44743.75</c:v>
                </c:pt>
                <c:pt idx="1">
                  <c:v>44743.791666666664</c:v>
                </c:pt>
                <c:pt idx="2">
                  <c:v>44743.833333333328</c:v>
                </c:pt>
                <c:pt idx="3">
                  <c:v>44743.874999999993</c:v>
                </c:pt>
                <c:pt idx="4">
                  <c:v>44743.916666666657</c:v>
                </c:pt>
                <c:pt idx="5">
                  <c:v>44743.958333333321</c:v>
                </c:pt>
                <c:pt idx="6">
                  <c:v>44743.999999999985</c:v>
                </c:pt>
                <c:pt idx="7">
                  <c:v>44744.04166666665</c:v>
                </c:pt>
                <c:pt idx="8">
                  <c:v>44744.083333333314</c:v>
                </c:pt>
                <c:pt idx="9">
                  <c:v>44744.124999999978</c:v>
                </c:pt>
                <c:pt idx="10">
                  <c:v>44744.166666666642</c:v>
                </c:pt>
                <c:pt idx="11">
                  <c:v>44744.208333333307</c:v>
                </c:pt>
                <c:pt idx="12">
                  <c:v>44744.249999999971</c:v>
                </c:pt>
                <c:pt idx="13">
                  <c:v>44744.291666666635</c:v>
                </c:pt>
                <c:pt idx="14">
                  <c:v>44744.333333333299</c:v>
                </c:pt>
                <c:pt idx="15">
                  <c:v>44744.374999999964</c:v>
                </c:pt>
                <c:pt idx="16">
                  <c:v>44744.416666666628</c:v>
                </c:pt>
                <c:pt idx="17">
                  <c:v>44744.458333333292</c:v>
                </c:pt>
                <c:pt idx="18">
                  <c:v>44744.499999999956</c:v>
                </c:pt>
                <c:pt idx="19">
                  <c:v>44744.541666666621</c:v>
                </c:pt>
                <c:pt idx="20">
                  <c:v>44744.583333333285</c:v>
                </c:pt>
                <c:pt idx="21">
                  <c:v>44744.624999999949</c:v>
                </c:pt>
                <c:pt idx="22">
                  <c:v>44744.666666666613</c:v>
                </c:pt>
                <c:pt idx="23">
                  <c:v>44744.708333333278</c:v>
                </c:pt>
                <c:pt idx="24">
                  <c:v>44744.749999999942</c:v>
                </c:pt>
                <c:pt idx="25">
                  <c:v>44744.791666666606</c:v>
                </c:pt>
                <c:pt idx="26">
                  <c:v>44744.83333333327</c:v>
                </c:pt>
                <c:pt idx="27">
                  <c:v>44744.874999999935</c:v>
                </c:pt>
                <c:pt idx="28">
                  <c:v>44744.916666666599</c:v>
                </c:pt>
                <c:pt idx="29">
                  <c:v>44744.958333333263</c:v>
                </c:pt>
                <c:pt idx="30">
                  <c:v>44744.999999999927</c:v>
                </c:pt>
                <c:pt idx="31">
                  <c:v>44745.041666666591</c:v>
                </c:pt>
                <c:pt idx="32">
                  <c:v>44745.083333333256</c:v>
                </c:pt>
                <c:pt idx="33">
                  <c:v>44745.12499999992</c:v>
                </c:pt>
                <c:pt idx="34">
                  <c:v>44745.166666666584</c:v>
                </c:pt>
                <c:pt idx="35">
                  <c:v>44745.208333333248</c:v>
                </c:pt>
                <c:pt idx="36">
                  <c:v>44745.249999999913</c:v>
                </c:pt>
                <c:pt idx="37">
                  <c:v>44745.291666666577</c:v>
                </c:pt>
                <c:pt idx="38">
                  <c:v>44745.333333333241</c:v>
                </c:pt>
                <c:pt idx="39">
                  <c:v>44745.374999999905</c:v>
                </c:pt>
                <c:pt idx="40">
                  <c:v>44745.41666666657</c:v>
                </c:pt>
                <c:pt idx="41">
                  <c:v>44745.458333333234</c:v>
                </c:pt>
                <c:pt idx="42">
                  <c:v>44745.499999999898</c:v>
                </c:pt>
                <c:pt idx="43">
                  <c:v>44745.541666666562</c:v>
                </c:pt>
                <c:pt idx="44">
                  <c:v>44745.583333333227</c:v>
                </c:pt>
                <c:pt idx="45">
                  <c:v>44745.624999999891</c:v>
                </c:pt>
                <c:pt idx="46">
                  <c:v>44745.666666666555</c:v>
                </c:pt>
                <c:pt idx="47">
                  <c:v>44745.708333333219</c:v>
                </c:pt>
                <c:pt idx="48">
                  <c:v>44745.749999999884</c:v>
                </c:pt>
                <c:pt idx="49">
                  <c:v>44745.791666666548</c:v>
                </c:pt>
                <c:pt idx="50">
                  <c:v>44745.833333333212</c:v>
                </c:pt>
                <c:pt idx="51">
                  <c:v>44745.874999999876</c:v>
                </c:pt>
                <c:pt idx="52">
                  <c:v>44745.916666666541</c:v>
                </c:pt>
                <c:pt idx="53">
                  <c:v>44745.958333333205</c:v>
                </c:pt>
                <c:pt idx="54">
                  <c:v>44745.999999999869</c:v>
                </c:pt>
                <c:pt idx="55">
                  <c:v>44746.041666666533</c:v>
                </c:pt>
                <c:pt idx="56">
                  <c:v>44746.083333333198</c:v>
                </c:pt>
                <c:pt idx="57">
                  <c:v>44746.124999999862</c:v>
                </c:pt>
                <c:pt idx="58">
                  <c:v>44746.166666666526</c:v>
                </c:pt>
                <c:pt idx="59">
                  <c:v>44746.20833333319</c:v>
                </c:pt>
                <c:pt idx="60">
                  <c:v>44746.249999999854</c:v>
                </c:pt>
                <c:pt idx="61">
                  <c:v>44746.291666666519</c:v>
                </c:pt>
                <c:pt idx="62">
                  <c:v>44746.333333333183</c:v>
                </c:pt>
                <c:pt idx="63">
                  <c:v>44746.374999999847</c:v>
                </c:pt>
                <c:pt idx="64">
                  <c:v>44746.416666666511</c:v>
                </c:pt>
                <c:pt idx="65">
                  <c:v>44746.458333333176</c:v>
                </c:pt>
                <c:pt idx="66">
                  <c:v>44746.49999999984</c:v>
                </c:pt>
                <c:pt idx="67">
                  <c:v>44746.541666666504</c:v>
                </c:pt>
                <c:pt idx="68">
                  <c:v>44746.583333333168</c:v>
                </c:pt>
                <c:pt idx="69">
                  <c:v>44746.624999999833</c:v>
                </c:pt>
                <c:pt idx="70">
                  <c:v>44746.666666666497</c:v>
                </c:pt>
                <c:pt idx="71">
                  <c:v>44746.708333333161</c:v>
                </c:pt>
                <c:pt idx="72">
                  <c:v>44746.749999999825</c:v>
                </c:pt>
                <c:pt idx="73">
                  <c:v>44746.79166666649</c:v>
                </c:pt>
                <c:pt idx="74">
                  <c:v>44746.833333333154</c:v>
                </c:pt>
                <c:pt idx="75">
                  <c:v>44746.874999999818</c:v>
                </c:pt>
                <c:pt idx="76">
                  <c:v>44746.916666666482</c:v>
                </c:pt>
                <c:pt idx="77">
                  <c:v>44746.958333333147</c:v>
                </c:pt>
                <c:pt idx="78">
                  <c:v>44746.999999999811</c:v>
                </c:pt>
                <c:pt idx="79">
                  <c:v>44747.041666666475</c:v>
                </c:pt>
                <c:pt idx="80">
                  <c:v>44747.083333333139</c:v>
                </c:pt>
                <c:pt idx="81">
                  <c:v>44747.124999999804</c:v>
                </c:pt>
                <c:pt idx="82">
                  <c:v>44747.166666666468</c:v>
                </c:pt>
                <c:pt idx="83">
                  <c:v>44747.208333333132</c:v>
                </c:pt>
                <c:pt idx="84">
                  <c:v>44747.249999999796</c:v>
                </c:pt>
                <c:pt idx="85">
                  <c:v>44747.291666666461</c:v>
                </c:pt>
                <c:pt idx="86">
                  <c:v>44747.333333333125</c:v>
                </c:pt>
                <c:pt idx="87">
                  <c:v>44747.374999999789</c:v>
                </c:pt>
                <c:pt idx="88">
                  <c:v>44747.416666666453</c:v>
                </c:pt>
                <c:pt idx="89">
                  <c:v>44747.458333333117</c:v>
                </c:pt>
                <c:pt idx="90">
                  <c:v>44747.499999999782</c:v>
                </c:pt>
              </c:numCache>
            </c:numRef>
          </c:xVal>
          <c:yVal>
            <c:numRef>
              <c:f>수집기록!$L$6:$L$96</c:f>
              <c:numCache>
                <c:formatCode>General</c:formatCode>
                <c:ptCount val="91"/>
                <c:pt idx="0">
                  <c:v>60</c:v>
                </c:pt>
                <c:pt idx="1">
                  <c:v>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B2-41EC-BE2C-788BF08DF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41184"/>
        <c:axId val="193917840"/>
      </c:scatterChart>
      <c:valAx>
        <c:axId val="112141184"/>
        <c:scaling>
          <c:orientation val="minMax"/>
          <c:min val="44743.7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yyyy/mm/dd\ h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KoPubWorld돋움체 Medium" panose="00000600000000000000" pitchFamily="2" charset="-127"/>
                <a:ea typeface="KoPubWorld돋움체 Medium" panose="00000600000000000000" pitchFamily="2" charset="-127"/>
                <a:cs typeface="KoPubWorld돋움체 Medium" panose="00000600000000000000" pitchFamily="2" charset="-127"/>
              </a:defRPr>
            </a:pPr>
            <a:endParaRPr lang="ko-KR"/>
          </a:p>
        </c:txPr>
        <c:crossAx val="193917840"/>
        <c:crosses val="autoZero"/>
        <c:crossBetween val="midCat"/>
        <c:majorUnit val="4.1666666666700013E-2"/>
        <c:minorUnit val="4.1666666666700013E-2"/>
      </c:valAx>
      <c:valAx>
        <c:axId val="193917840"/>
        <c:scaling>
          <c:orientation val="minMax"/>
          <c:max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KoPubWorld돋움체 Medium" panose="00000600000000000000" pitchFamily="2" charset="-127"/>
                <a:ea typeface="KoPubWorld돋움체 Medium" panose="00000600000000000000" pitchFamily="2" charset="-127"/>
                <a:cs typeface="KoPubWorld돋움체 Medium" panose="00000600000000000000" pitchFamily="2" charset="-127"/>
              </a:defRPr>
            </a:pPr>
            <a:endParaRPr lang="ko-KR"/>
          </a:p>
        </c:txPr>
        <c:crossAx val="112141184"/>
        <c:crossesAt val="4474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 sz="1000">
          <a:latin typeface="KoPubWorld돋움체 Medium" panose="00000600000000000000" pitchFamily="2" charset="-127"/>
          <a:ea typeface="KoPubWorld돋움체 Medium" panose="00000600000000000000" pitchFamily="2" charset="-127"/>
          <a:cs typeface="KoPubWorld돋움체 Medium" panose="00000600000000000000" pitchFamily="2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</xdr:colOff>
      <xdr:row>1</xdr:row>
      <xdr:rowOff>1</xdr:rowOff>
    </xdr:from>
    <xdr:to>
      <xdr:col>4</xdr:col>
      <xdr:colOff>1</xdr:colOff>
      <xdr:row>3</xdr:row>
      <xdr:rowOff>1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80818813-A617-43A0-9053-0D16253D04EE}"/>
            </a:ext>
          </a:extLst>
        </xdr:cNvPr>
        <xdr:cNvGrpSpPr/>
      </xdr:nvGrpSpPr>
      <xdr:grpSpPr>
        <a:xfrm>
          <a:off x="2296887" y="212272"/>
          <a:ext cx="1741713" cy="364672"/>
          <a:chOff x="5072530" y="269688"/>
          <a:chExt cx="1969845" cy="611841"/>
        </a:xfrm>
      </xdr:grpSpPr>
      <xdr:sp macro="[0]!Test" textlink="">
        <xdr:nvSpPr>
          <xdr:cNvPr id="2" name="사각형: 둥근 모서리 1">
            <a:extLst>
              <a:ext uri="{FF2B5EF4-FFF2-40B4-BE49-F238E27FC236}">
                <a16:creationId xmlns:a16="http://schemas.microsoft.com/office/drawing/2014/main" id="{1D367E8F-7EBF-4BBE-9A77-69E73A32A766}"/>
              </a:ext>
            </a:extLst>
          </xdr:cNvPr>
          <xdr:cNvSpPr/>
        </xdr:nvSpPr>
        <xdr:spPr>
          <a:xfrm>
            <a:off x="5072530" y="269688"/>
            <a:ext cx="1969845" cy="611841"/>
          </a:xfrm>
          <a:prstGeom prst="roundRect">
            <a:avLst/>
          </a:prstGeom>
          <a:ln/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ko-KR" altLang="en-US" sz="1100" b="1">
                <a:solidFill>
                  <a:sysClr val="windowText" lastClr="000000"/>
                </a:solidFill>
              </a:rPr>
              <a:t>파일목록 출력</a:t>
            </a:r>
          </a:p>
        </xdr:txBody>
      </xdr:sp>
      <xdr:pic macro="[0]!Test">
        <xdr:nvPicPr>
          <xdr:cNvPr id="4" name="그래픽 3" descr="공유">
            <a:extLst>
              <a:ext uri="{FF2B5EF4-FFF2-40B4-BE49-F238E27FC236}">
                <a16:creationId xmlns:a16="http://schemas.microsoft.com/office/drawing/2014/main" id="{08ABC90B-1B0C-41FB-9CAD-9D727E1CA0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225826" y="407147"/>
            <a:ext cx="342900" cy="334234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0</xdr:colOff>
      <xdr:row>12</xdr:row>
      <xdr:rowOff>186764</xdr:rowOff>
    </xdr:from>
    <xdr:to>
      <xdr:col>27</xdr:col>
      <xdr:colOff>0</xdr:colOff>
      <xdr:row>26</xdr:row>
      <xdr:rowOff>0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7E4DB81C-90ED-4903-921F-D504D9B60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29883</xdr:colOff>
      <xdr:row>20</xdr:row>
      <xdr:rowOff>104588</xdr:rowOff>
    </xdr:from>
    <xdr:to>
      <xdr:col>2</xdr:col>
      <xdr:colOff>336177</xdr:colOff>
      <xdr:row>24</xdr:row>
      <xdr:rowOff>97118</xdr:rowOff>
    </xdr:to>
    <xdr:sp macro="" textlink="">
      <xdr:nvSpPr>
        <xdr:cNvPr id="5" name="화살표: 오른쪽 4">
          <a:extLst>
            <a:ext uri="{FF2B5EF4-FFF2-40B4-BE49-F238E27FC236}">
              <a16:creationId xmlns:a16="http://schemas.microsoft.com/office/drawing/2014/main" id="{1E302A2A-A5F2-4EC1-AAFB-7D4C0E723E5B}"/>
            </a:ext>
          </a:extLst>
        </xdr:cNvPr>
        <xdr:cNvSpPr/>
      </xdr:nvSpPr>
      <xdr:spPr>
        <a:xfrm>
          <a:off x="1949824" y="3839882"/>
          <a:ext cx="306294" cy="73958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77C53-1E6D-418F-80E5-76B4636BFB84}">
  <sheetPr codeName="Sheet1"/>
  <dimension ref="B1:AA500"/>
  <sheetViews>
    <sheetView tabSelected="1" zoomScale="70" zoomScaleNormal="70" workbookViewId="0">
      <pane xSplit="8" ySplit="5" topLeftCell="I18" activePane="bottomRight" state="frozen"/>
      <selection pane="topRight" activeCell="I1" sqref="I1"/>
      <selection pane="bottomLeft" activeCell="A6" sqref="A6"/>
      <selection pane="bottomRight" activeCell="B3" sqref="B3"/>
    </sheetView>
  </sheetViews>
  <sheetFormatPr defaultColWidth="8.84765625" defaultRowHeight="16.5" x14ac:dyDescent="0.7"/>
  <cols>
    <col min="1" max="1" width="4.5" style="22" customWidth="1"/>
    <col min="2" max="2" width="20.59765625" style="32" customWidth="1"/>
    <col min="3" max="3" width="5.09765625" style="22" customWidth="1"/>
    <col min="4" max="4" width="22.84765625" style="22" customWidth="1"/>
    <col min="5" max="6" width="5.09765625" style="22" hidden="1" customWidth="1"/>
    <col min="7" max="7" width="21.09765625" style="22" hidden="1" customWidth="1"/>
    <col min="8" max="8" width="8.84765625" style="22" hidden="1" customWidth="1"/>
    <col min="9" max="9" width="8.84765625" style="22"/>
    <col min="10" max="10" width="21.09765625" style="22" bestFit="1" customWidth="1"/>
    <col min="11" max="11" width="8.84765625" style="22" customWidth="1"/>
    <col min="12" max="12" width="8.84765625" style="22" bestFit="1" customWidth="1"/>
    <col min="14" max="14" width="10.3984375" style="22" customWidth="1"/>
    <col min="15" max="15" width="20.59765625" style="22" customWidth="1"/>
    <col min="16" max="16" width="8.84765625" style="22" bestFit="1" customWidth="1"/>
    <col min="17" max="17" width="8.84765625" style="22"/>
    <col min="18" max="18" width="21.09765625" style="22" bestFit="1" customWidth="1"/>
    <col min="19" max="20" width="8.84765625" style="22" bestFit="1" customWidth="1"/>
    <col min="21" max="21" width="16.25" style="22" bestFit="1" customWidth="1"/>
    <col min="22" max="22" width="10.59765625" style="22" bestFit="1" customWidth="1"/>
    <col min="23" max="23" width="20.59765625" style="22" customWidth="1"/>
    <col min="24" max="24" width="20.84765625" style="22" customWidth="1"/>
    <col min="25" max="16384" width="8.84765625" style="22"/>
  </cols>
  <sheetData>
    <row r="1" spans="2:27" ht="16.8" thickBot="1" x14ac:dyDescent="0.75">
      <c r="B1" s="22"/>
      <c r="J1" s="48">
        <f ca="1">NOW()</f>
        <v>44744.922529166666</v>
      </c>
      <c r="K1" s="49" t="s">
        <v>9</v>
      </c>
      <c r="M1">
        <v>1</v>
      </c>
      <c r="N1" s="22" t="s">
        <v>290</v>
      </c>
    </row>
    <row r="2" spans="2:27" s="24" customFormat="1" ht="14.4" thickBot="1" x14ac:dyDescent="0.75">
      <c r="B2" s="23" t="s">
        <v>0</v>
      </c>
      <c r="J2" s="48">
        <f ca="1">INDEX($J$6:$J$96,MATCH($J$1,$J$6:$J$96,1))</f>
        <v>44744.916666666599</v>
      </c>
      <c r="K2" s="49" t="s">
        <v>10</v>
      </c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</row>
    <row r="3" spans="2:27" s="24" customFormat="1" ht="14.1" x14ac:dyDescent="0.7">
      <c r="B3" s="25" t="str" cm="1">
        <f t="array" aca="1" ref="B3" ca="1">LEFT(CELL("filename",A1),FIND("\[",CELL("filename",A1)))</f>
        <v>E:\work\_Coding\_scheduler\output_STAT_1m\</v>
      </c>
      <c r="C3" s="26"/>
      <c r="D3" s="26"/>
      <c r="E3" s="26"/>
      <c r="F3" s="26"/>
      <c r="G3" s="26"/>
      <c r="H3" s="26"/>
      <c r="O3" s="22">
        <v>44743</v>
      </c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</row>
    <row r="4" spans="2:27" s="24" customFormat="1" ht="14.1" x14ac:dyDescent="0.7">
      <c r="B4" s="27"/>
      <c r="O4" s="43">
        <v>44743</v>
      </c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</row>
    <row r="5" spans="2:27" s="24" customFormat="1" ht="14.1" x14ac:dyDescent="0.7">
      <c r="B5" s="28" t="s">
        <v>1</v>
      </c>
      <c r="D5" s="46" t="s">
        <v>215</v>
      </c>
      <c r="G5" s="40" t="s">
        <v>213</v>
      </c>
      <c r="H5" s="41" t="s">
        <v>214</v>
      </c>
      <c r="J5" s="40" t="s">
        <v>11</v>
      </c>
      <c r="K5" s="41" t="s">
        <v>8</v>
      </c>
      <c r="L5" s="41" t="s">
        <v>216</v>
      </c>
      <c r="M5" s="42" t="s">
        <v>217</v>
      </c>
      <c r="O5" s="24" t="s">
        <v>7</v>
      </c>
      <c r="P5" s="24">
        <f>J7-J$6</f>
        <v>4.1666666664241347E-2</v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</row>
    <row r="6" spans="2:27" s="24" customFormat="1" ht="14.1" x14ac:dyDescent="0.7">
      <c r="B6" s="29" t="s">
        <v>223</v>
      </c>
      <c r="D6" s="43">
        <f>IFERROR(DATE(LEFT(B6,4),MID(B6,5,2),MID(B6,7,2))+TIME(MID(B6,9,2),MID(B6,11,2),MID(B6,13,2)),"")</f>
        <v>44743.743055555555</v>
      </c>
      <c r="G6" s="43">
        <v>44740.666666666664</v>
      </c>
      <c r="H6" s="44">
        <v>1</v>
      </c>
      <c r="J6" s="43">
        <v>44743.75</v>
      </c>
      <c r="K6" s="44" t="b">
        <f ca="1">J$1&gt;=J6+TIME(1,0,0)</f>
        <v>1</v>
      </c>
      <c r="L6" s="44">
        <f>COUNTIFS($D$6:$D$251,"&gt;="&amp;J6,$D$6:$D$251,"&lt;"&amp;J7)</f>
        <v>60</v>
      </c>
      <c r="M6" s="51">
        <f ca="1">IF(K6,L6/60,"")</f>
        <v>1</v>
      </c>
      <c r="N6" s="50">
        <f t="shared" ref="N6:N23" si="0">J6</f>
        <v>44743.75</v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</row>
    <row r="7" spans="2:27" s="24" customFormat="1" ht="14.1" x14ac:dyDescent="0.7">
      <c r="B7" s="29" t="s">
        <v>224</v>
      </c>
      <c r="D7" s="43">
        <f t="shared" ref="D7:D70" si="1">IFERROR(DATE(LEFT(B7,4),MID(B7,5,2),MID(B7,7,2))+TIME(MID(B7,9,2),MID(B7,11,2),MID(B7,13,2)),"")</f>
        <v>44743.743750000001</v>
      </c>
      <c r="G7" s="43">
        <f>G6+TIME(0,15,0)</f>
        <v>44740.677083333328</v>
      </c>
      <c r="H7" s="44">
        <v>2</v>
      </c>
      <c r="J7" s="43">
        <f>J6+TIME(1,0,0)</f>
        <v>44743.791666666664</v>
      </c>
      <c r="K7" s="44" t="b">
        <f t="shared" ref="K7:K70" ca="1" si="2">J$1&gt;=J7+TIME(1,0,0)</f>
        <v>1</v>
      </c>
      <c r="L7" s="44">
        <f t="shared" ref="L7:L70" si="3">COUNTIFS($D$6:$D$251,"&gt;="&amp;J7,$D$6:$D$251,"&lt;"&amp;J8)</f>
        <v>9</v>
      </c>
      <c r="M7" s="51">
        <f t="shared" ref="M7:M70" ca="1" si="4">IF(K7,L7/60,"")</f>
        <v>0.15</v>
      </c>
      <c r="N7" s="50">
        <f t="shared" si="0"/>
        <v>44743.791666666664</v>
      </c>
      <c r="O7" s="47" t="s">
        <v>6</v>
      </c>
      <c r="P7" s="38">
        <f ca="1">SUMPRODUCT(1*(K6:K96))/24</f>
        <v>1.1666666666666667</v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</row>
    <row r="8" spans="2:27" ht="14.1" x14ac:dyDescent="0.7">
      <c r="B8" s="31" t="s">
        <v>225</v>
      </c>
      <c r="C8" s="24"/>
      <c r="D8" s="43">
        <f t="shared" si="1"/>
        <v>44743.744444444441</v>
      </c>
      <c r="E8" s="24"/>
      <c r="F8" s="24"/>
      <c r="G8" s="43">
        <f t="shared" ref="G8:G71" si="5">G7+TIME(0,15,0)</f>
        <v>44740.687499999993</v>
      </c>
      <c r="H8" s="44"/>
      <c r="I8" s="24"/>
      <c r="J8" s="43">
        <f t="shared" ref="J8:J71" si="6">J7+TIME(1,0,0)</f>
        <v>44743.833333333328</v>
      </c>
      <c r="K8" s="44" t="b">
        <f t="shared" ca="1" si="2"/>
        <v>1</v>
      </c>
      <c r="L8" s="44">
        <f t="shared" si="3"/>
        <v>0</v>
      </c>
      <c r="M8" s="51">
        <f t="shared" ca="1" si="4"/>
        <v>0</v>
      </c>
      <c r="N8" s="50">
        <f t="shared" si="0"/>
        <v>44743.833333333328</v>
      </c>
      <c r="O8" s="47" t="s">
        <v>4</v>
      </c>
      <c r="P8" s="37">
        <f ca="1">P7/P5</f>
        <v>28.000000001629815</v>
      </c>
    </row>
    <row r="9" spans="2:27" ht="14.1" x14ac:dyDescent="0.7">
      <c r="B9" s="31" t="s">
        <v>226</v>
      </c>
      <c r="C9" s="24"/>
      <c r="D9" s="43">
        <f t="shared" si="1"/>
        <v>44743.745138888888</v>
      </c>
      <c r="E9" s="24"/>
      <c r="F9" s="24"/>
      <c r="G9" s="43">
        <f t="shared" si="5"/>
        <v>44740.697916666657</v>
      </c>
      <c r="H9" s="44">
        <v>3</v>
      </c>
      <c r="J9" s="43">
        <f t="shared" si="6"/>
        <v>44743.874999999993</v>
      </c>
      <c r="K9" s="44" t="b">
        <f t="shared" ca="1" si="2"/>
        <v>1</v>
      </c>
      <c r="L9" s="44">
        <f t="shared" si="3"/>
        <v>0</v>
      </c>
      <c r="M9" s="51">
        <f t="shared" ca="1" si="4"/>
        <v>0</v>
      </c>
      <c r="N9" s="50">
        <f t="shared" si="0"/>
        <v>44743.874999999993</v>
      </c>
      <c r="O9" s="47" t="s">
        <v>5</v>
      </c>
      <c r="P9" s="37">
        <v>60</v>
      </c>
    </row>
    <row r="10" spans="2:27" ht="14.1" x14ac:dyDescent="0.7">
      <c r="B10" s="31" t="s">
        <v>227</v>
      </c>
      <c r="C10" s="24"/>
      <c r="D10" s="43">
        <f t="shared" si="1"/>
        <v>44743.745833333334</v>
      </c>
      <c r="E10" s="24"/>
      <c r="F10" s="24"/>
      <c r="G10" s="43">
        <f t="shared" si="5"/>
        <v>44740.708333333321</v>
      </c>
      <c r="H10" s="44"/>
      <c r="J10" s="43">
        <f t="shared" si="6"/>
        <v>44743.916666666657</v>
      </c>
      <c r="K10" s="44" t="b">
        <f t="shared" ca="1" si="2"/>
        <v>1</v>
      </c>
      <c r="L10" s="44">
        <f t="shared" si="3"/>
        <v>0</v>
      </c>
      <c r="M10" s="51">
        <f t="shared" ca="1" si="4"/>
        <v>0</v>
      </c>
      <c r="N10" s="50">
        <f t="shared" si="0"/>
        <v>44743.916666666657</v>
      </c>
      <c r="O10" s="45" t="s">
        <v>218</v>
      </c>
      <c r="P10" s="36">
        <f ca="1">P8*P9</f>
        <v>1680.0000000977889</v>
      </c>
    </row>
    <row r="11" spans="2:27" ht="14.1" x14ac:dyDescent="0.7">
      <c r="B11" s="31" t="s">
        <v>228</v>
      </c>
      <c r="C11" s="24"/>
      <c r="D11" s="43">
        <f t="shared" si="1"/>
        <v>44743.746527777781</v>
      </c>
      <c r="E11" s="24"/>
      <c r="F11" s="24"/>
      <c r="G11" s="43">
        <f t="shared" si="5"/>
        <v>44740.718749999985</v>
      </c>
      <c r="H11" s="44"/>
      <c r="J11" s="43">
        <f t="shared" si="6"/>
        <v>44743.958333333321</v>
      </c>
      <c r="K11" s="44" t="b">
        <f t="shared" ca="1" si="2"/>
        <v>1</v>
      </c>
      <c r="L11" s="44">
        <f t="shared" si="3"/>
        <v>0</v>
      </c>
      <c r="M11" s="51">
        <f t="shared" ca="1" si="4"/>
        <v>0</v>
      </c>
      <c r="N11" s="50">
        <f t="shared" si="0"/>
        <v>44743.958333333321</v>
      </c>
      <c r="O11" s="45" t="s">
        <v>2</v>
      </c>
      <c r="P11" s="36">
        <f ca="1">SUMPRODUCT((L6:L96)*(K6:K96))</f>
        <v>69</v>
      </c>
    </row>
    <row r="12" spans="2:27" ht="14.1" x14ac:dyDescent="0.7">
      <c r="B12" s="31" t="s">
        <v>229</v>
      </c>
      <c r="C12" s="24"/>
      <c r="D12" s="43">
        <f t="shared" si="1"/>
        <v>44743.74722222222</v>
      </c>
      <c r="E12" s="24"/>
      <c r="F12" s="24"/>
      <c r="G12" s="43">
        <f t="shared" si="5"/>
        <v>44740.72916666665</v>
      </c>
      <c r="H12" s="44"/>
      <c r="J12" s="43">
        <f t="shared" si="6"/>
        <v>44743.999999999985</v>
      </c>
      <c r="K12" s="44" t="b">
        <f t="shared" ca="1" si="2"/>
        <v>1</v>
      </c>
      <c r="L12" s="44">
        <f t="shared" si="3"/>
        <v>0</v>
      </c>
      <c r="M12" s="51">
        <f t="shared" ca="1" si="4"/>
        <v>0</v>
      </c>
      <c r="N12" s="50">
        <f t="shared" si="0"/>
        <v>44743.999999999985</v>
      </c>
      <c r="O12" s="45" t="s">
        <v>3</v>
      </c>
      <c r="P12" s="39">
        <f ca="1">P11/P10</f>
        <v>4.10714285690379E-2</v>
      </c>
    </row>
    <row r="13" spans="2:27" ht="14.1" x14ac:dyDescent="0.7">
      <c r="B13" s="32" t="s">
        <v>230</v>
      </c>
      <c r="D13" s="43">
        <f t="shared" si="1"/>
        <v>44743.747916666667</v>
      </c>
      <c r="G13" s="43">
        <f t="shared" si="5"/>
        <v>44740.739583333314</v>
      </c>
      <c r="H13" s="44"/>
      <c r="J13" s="43">
        <f t="shared" si="6"/>
        <v>44744.04166666665</v>
      </c>
      <c r="K13" s="44" t="b">
        <f t="shared" ca="1" si="2"/>
        <v>1</v>
      </c>
      <c r="L13" s="44">
        <f t="shared" si="3"/>
        <v>0</v>
      </c>
      <c r="M13" s="51">
        <f t="shared" ca="1" si="4"/>
        <v>0</v>
      </c>
      <c r="N13" s="50">
        <f t="shared" si="0"/>
        <v>44744.04166666665</v>
      </c>
    </row>
    <row r="14" spans="2:27" ht="14.1" x14ac:dyDescent="0.7">
      <c r="B14" s="32" t="s">
        <v>231</v>
      </c>
      <c r="D14" s="43">
        <f t="shared" si="1"/>
        <v>44743.748611111114</v>
      </c>
      <c r="G14" s="43">
        <f t="shared" si="5"/>
        <v>44740.749999999978</v>
      </c>
      <c r="H14" s="44"/>
      <c r="J14" s="43">
        <f t="shared" si="6"/>
        <v>44744.083333333314</v>
      </c>
      <c r="K14" s="44" t="b">
        <f t="shared" ca="1" si="2"/>
        <v>1</v>
      </c>
      <c r="L14" s="44">
        <f t="shared" si="3"/>
        <v>0</v>
      </c>
      <c r="M14" s="51">
        <f t="shared" ca="1" si="4"/>
        <v>0</v>
      </c>
      <c r="N14" s="50">
        <f t="shared" si="0"/>
        <v>44744.083333333314</v>
      </c>
    </row>
    <row r="15" spans="2:27" ht="14.1" x14ac:dyDescent="0.7">
      <c r="B15" s="32" t="s">
        <v>232</v>
      </c>
      <c r="D15" s="43">
        <f t="shared" si="1"/>
        <v>44743.749305555553</v>
      </c>
      <c r="G15" s="43">
        <f t="shared" si="5"/>
        <v>44740.760416666642</v>
      </c>
      <c r="H15" s="44"/>
      <c r="J15" s="43">
        <f t="shared" si="6"/>
        <v>44744.124999999978</v>
      </c>
      <c r="K15" s="44" t="b">
        <f t="shared" ca="1" si="2"/>
        <v>1</v>
      </c>
      <c r="L15" s="44">
        <f t="shared" si="3"/>
        <v>0</v>
      </c>
      <c r="M15" s="51">
        <f t="shared" ca="1" si="4"/>
        <v>0</v>
      </c>
      <c r="N15" s="50">
        <f t="shared" si="0"/>
        <v>44744.124999999978</v>
      </c>
    </row>
    <row r="16" spans="2:27" ht="14.1" x14ac:dyDescent="0.7">
      <c r="B16" s="32" t="s">
        <v>233</v>
      </c>
      <c r="D16" s="43">
        <f t="shared" si="1"/>
        <v>44743.75</v>
      </c>
      <c r="G16" s="43">
        <f t="shared" si="5"/>
        <v>44740.770833333307</v>
      </c>
      <c r="H16" s="44"/>
      <c r="J16" s="43">
        <f t="shared" si="6"/>
        <v>44744.166666666642</v>
      </c>
      <c r="K16" s="44" t="b">
        <f t="shared" ca="1" si="2"/>
        <v>1</v>
      </c>
      <c r="L16" s="44">
        <f t="shared" si="3"/>
        <v>0</v>
      </c>
      <c r="M16" s="51">
        <f t="shared" ca="1" si="4"/>
        <v>0</v>
      </c>
      <c r="N16" s="50">
        <f t="shared" si="0"/>
        <v>44744.166666666642</v>
      </c>
    </row>
    <row r="17" spans="2:27" ht="14.1" x14ac:dyDescent="0.7">
      <c r="B17" s="32" t="s">
        <v>234</v>
      </c>
      <c r="D17" s="43">
        <f t="shared" si="1"/>
        <v>44743.750694444447</v>
      </c>
      <c r="G17" s="43">
        <f t="shared" si="5"/>
        <v>44740.781249999971</v>
      </c>
      <c r="H17" s="44"/>
      <c r="J17" s="43">
        <f t="shared" si="6"/>
        <v>44744.208333333307</v>
      </c>
      <c r="K17" s="44" t="b">
        <f t="shared" ca="1" si="2"/>
        <v>1</v>
      </c>
      <c r="L17" s="44">
        <f t="shared" si="3"/>
        <v>0</v>
      </c>
      <c r="M17" s="51">
        <f t="shared" ca="1" si="4"/>
        <v>0</v>
      </c>
      <c r="N17" s="50">
        <f t="shared" si="0"/>
        <v>44744.208333333307</v>
      </c>
    </row>
    <row r="18" spans="2:27" ht="14.1" x14ac:dyDescent="0.7">
      <c r="B18" s="32" t="s">
        <v>235</v>
      </c>
      <c r="D18" s="43">
        <f t="shared" si="1"/>
        <v>44743.751388888886</v>
      </c>
      <c r="G18" s="43">
        <f t="shared" si="5"/>
        <v>44740.791666666635</v>
      </c>
      <c r="H18" s="44"/>
      <c r="J18" s="43">
        <f t="shared" si="6"/>
        <v>44744.249999999971</v>
      </c>
      <c r="K18" s="44" t="b">
        <f t="shared" ca="1" si="2"/>
        <v>1</v>
      </c>
      <c r="L18" s="44">
        <f t="shared" si="3"/>
        <v>0</v>
      </c>
      <c r="M18" s="51">
        <f t="shared" ca="1" si="4"/>
        <v>0</v>
      </c>
      <c r="N18" s="50">
        <f t="shared" si="0"/>
        <v>44744.249999999971</v>
      </c>
    </row>
    <row r="19" spans="2:27" ht="14.1" x14ac:dyDescent="0.7">
      <c r="B19" s="32" t="s">
        <v>236</v>
      </c>
      <c r="D19" s="43">
        <f t="shared" si="1"/>
        <v>44743.752083333333</v>
      </c>
      <c r="G19" s="43">
        <f t="shared" si="5"/>
        <v>44740.802083333299</v>
      </c>
      <c r="H19" s="44"/>
      <c r="J19" s="43">
        <f t="shared" si="6"/>
        <v>44744.291666666635</v>
      </c>
      <c r="K19" s="44" t="b">
        <f t="shared" ca="1" si="2"/>
        <v>1</v>
      </c>
      <c r="L19" s="44">
        <f t="shared" si="3"/>
        <v>0</v>
      </c>
      <c r="M19" s="51">
        <f t="shared" ca="1" si="4"/>
        <v>0</v>
      </c>
      <c r="N19" s="50">
        <f t="shared" si="0"/>
        <v>44744.291666666635</v>
      </c>
    </row>
    <row r="20" spans="2:27" ht="14.1" x14ac:dyDescent="0.7">
      <c r="B20" s="32" t="s">
        <v>237</v>
      </c>
      <c r="D20" s="43">
        <f t="shared" si="1"/>
        <v>44743.75277777778</v>
      </c>
      <c r="G20" s="43">
        <f t="shared" si="5"/>
        <v>44740.812499999964</v>
      </c>
      <c r="H20" s="44"/>
      <c r="J20" s="43">
        <f t="shared" si="6"/>
        <v>44744.333333333299</v>
      </c>
      <c r="K20" s="44" t="b">
        <f t="shared" ca="1" si="2"/>
        <v>1</v>
      </c>
      <c r="L20" s="44">
        <f t="shared" si="3"/>
        <v>0</v>
      </c>
      <c r="M20" s="51">
        <f t="shared" ca="1" si="4"/>
        <v>0</v>
      </c>
      <c r="N20" s="50">
        <f t="shared" si="0"/>
        <v>44744.333333333299</v>
      </c>
    </row>
    <row r="21" spans="2:27" ht="14.1" x14ac:dyDescent="0.7">
      <c r="B21" s="32" t="s">
        <v>238</v>
      </c>
      <c r="D21" s="43">
        <f t="shared" si="1"/>
        <v>44743.753472222219</v>
      </c>
      <c r="G21" s="43">
        <f t="shared" si="5"/>
        <v>44740.822916666628</v>
      </c>
      <c r="H21" s="44"/>
      <c r="J21" s="43">
        <f t="shared" si="6"/>
        <v>44744.374999999964</v>
      </c>
      <c r="K21" s="44" t="b">
        <f t="shared" ca="1" si="2"/>
        <v>1</v>
      </c>
      <c r="L21" s="44">
        <f t="shared" si="3"/>
        <v>0</v>
      </c>
      <c r="M21" s="51">
        <f t="shared" ca="1" si="4"/>
        <v>0</v>
      </c>
      <c r="N21" s="50">
        <f t="shared" si="0"/>
        <v>44744.374999999964</v>
      </c>
    </row>
    <row r="22" spans="2:27" ht="14.1" x14ac:dyDescent="0.7">
      <c r="B22" s="32" t="s">
        <v>239</v>
      </c>
      <c r="D22" s="43">
        <f t="shared" si="1"/>
        <v>44743.754166666666</v>
      </c>
      <c r="G22" s="43">
        <f t="shared" si="5"/>
        <v>44740.833333333292</v>
      </c>
      <c r="H22" s="44"/>
      <c r="J22" s="43">
        <f t="shared" si="6"/>
        <v>44744.416666666628</v>
      </c>
      <c r="K22" s="44" t="b">
        <f t="shared" ca="1" si="2"/>
        <v>1</v>
      </c>
      <c r="L22" s="44">
        <f t="shared" si="3"/>
        <v>0</v>
      </c>
      <c r="M22" s="51">
        <f t="shared" ca="1" si="4"/>
        <v>0</v>
      </c>
      <c r="N22" s="50">
        <f t="shared" si="0"/>
        <v>44744.416666666628</v>
      </c>
    </row>
    <row r="23" spans="2:27" ht="14.1" x14ac:dyDescent="0.7">
      <c r="B23" s="32" t="s">
        <v>240</v>
      </c>
      <c r="D23" s="43">
        <f t="shared" si="1"/>
        <v>44743.754861111112</v>
      </c>
      <c r="G23" s="43">
        <f t="shared" si="5"/>
        <v>44740.843749999956</v>
      </c>
      <c r="H23" s="44"/>
      <c r="J23" s="43">
        <f t="shared" si="6"/>
        <v>44744.458333333292</v>
      </c>
      <c r="K23" s="44" t="b">
        <f t="shared" ca="1" si="2"/>
        <v>1</v>
      </c>
      <c r="L23" s="44">
        <f t="shared" si="3"/>
        <v>0</v>
      </c>
      <c r="M23" s="51">
        <f t="shared" ca="1" si="4"/>
        <v>0</v>
      </c>
      <c r="N23" s="50">
        <f t="shared" si="0"/>
        <v>44744.458333333292</v>
      </c>
    </row>
    <row r="24" spans="2:27" ht="14.1" x14ac:dyDescent="0.7">
      <c r="B24" s="32" t="s">
        <v>241</v>
      </c>
      <c r="D24" s="43">
        <f t="shared" si="1"/>
        <v>44743.755555555559</v>
      </c>
      <c r="G24" s="43">
        <f t="shared" si="5"/>
        <v>44740.854166666621</v>
      </c>
      <c r="H24" s="44"/>
      <c r="J24" s="43">
        <f t="shared" si="6"/>
        <v>44744.499999999956</v>
      </c>
      <c r="K24" s="44" t="b">
        <f t="shared" ca="1" si="2"/>
        <v>1</v>
      </c>
      <c r="L24" s="44">
        <f t="shared" si="3"/>
        <v>0</v>
      </c>
      <c r="M24" s="51">
        <f t="shared" ca="1" si="4"/>
        <v>0</v>
      </c>
      <c r="N24" s="50">
        <f>J24</f>
        <v>44744.499999999956</v>
      </c>
    </row>
    <row r="25" spans="2:27" ht="14.1" x14ac:dyDescent="0.7">
      <c r="B25" s="32" t="s">
        <v>242</v>
      </c>
      <c r="D25" s="43">
        <f t="shared" si="1"/>
        <v>44743.756249999999</v>
      </c>
      <c r="G25" s="43">
        <f t="shared" si="5"/>
        <v>44740.864583333285</v>
      </c>
      <c r="H25" s="44"/>
      <c r="J25" s="43">
        <f t="shared" si="6"/>
        <v>44744.541666666621</v>
      </c>
      <c r="K25" s="44" t="b">
        <f t="shared" ca="1" si="2"/>
        <v>1</v>
      </c>
      <c r="L25" s="44">
        <f t="shared" si="3"/>
        <v>0</v>
      </c>
      <c r="M25" s="51">
        <f t="shared" ca="1" si="4"/>
        <v>0</v>
      </c>
      <c r="N25" s="50">
        <f t="shared" ref="N25:N88" si="7">J25</f>
        <v>44744.541666666621</v>
      </c>
    </row>
    <row r="26" spans="2:27" ht="14.1" x14ac:dyDescent="0.7">
      <c r="B26" s="32" t="s">
        <v>243</v>
      </c>
      <c r="D26" s="43">
        <f t="shared" si="1"/>
        <v>44743.756944444445</v>
      </c>
      <c r="G26" s="43">
        <f t="shared" si="5"/>
        <v>44740.874999999949</v>
      </c>
      <c r="H26" s="44"/>
      <c r="J26" s="43">
        <f t="shared" si="6"/>
        <v>44744.583333333285</v>
      </c>
      <c r="K26" s="44" t="b">
        <f t="shared" ca="1" si="2"/>
        <v>1</v>
      </c>
      <c r="L26" s="44">
        <f t="shared" si="3"/>
        <v>0</v>
      </c>
      <c r="M26" s="51">
        <f t="shared" ca="1" si="4"/>
        <v>0</v>
      </c>
      <c r="N26" s="50">
        <f t="shared" si="7"/>
        <v>44744.583333333285</v>
      </c>
    </row>
    <row r="27" spans="2:27" ht="14.1" x14ac:dyDescent="0.7">
      <c r="B27" s="32" t="s">
        <v>244</v>
      </c>
      <c r="D27" s="43">
        <f t="shared" si="1"/>
        <v>44743.757638888892</v>
      </c>
      <c r="G27" s="43">
        <f t="shared" si="5"/>
        <v>44740.885416666613</v>
      </c>
      <c r="H27" s="44"/>
      <c r="J27" s="43">
        <f t="shared" si="6"/>
        <v>44744.624999999949</v>
      </c>
      <c r="K27" s="44" t="b">
        <f t="shared" ca="1" si="2"/>
        <v>1</v>
      </c>
      <c r="L27" s="44">
        <f t="shared" si="3"/>
        <v>0</v>
      </c>
      <c r="M27" s="51">
        <f t="shared" ca="1" si="4"/>
        <v>0</v>
      </c>
      <c r="N27" s="50">
        <f t="shared" si="7"/>
        <v>44744.624999999949</v>
      </c>
    </row>
    <row r="28" spans="2:27" ht="14.1" x14ac:dyDescent="0.7">
      <c r="B28" s="32" t="s">
        <v>245</v>
      </c>
      <c r="D28" s="43">
        <f t="shared" si="1"/>
        <v>44743.758333333331</v>
      </c>
      <c r="G28" s="43">
        <f t="shared" si="5"/>
        <v>44740.895833333278</v>
      </c>
      <c r="H28" s="44"/>
      <c r="J28" s="43">
        <f t="shared" si="6"/>
        <v>44744.666666666613</v>
      </c>
      <c r="K28" s="44" t="b">
        <f t="shared" ca="1" si="2"/>
        <v>1</v>
      </c>
      <c r="L28" s="44">
        <f t="shared" si="3"/>
        <v>0</v>
      </c>
      <c r="M28" s="51">
        <f t="shared" ca="1" si="4"/>
        <v>0</v>
      </c>
      <c r="N28" s="50">
        <f t="shared" si="7"/>
        <v>44744.666666666613</v>
      </c>
      <c r="O28" s="34">
        <v>44740.666666666664</v>
      </c>
      <c r="P28" s="22" t="s">
        <v>222</v>
      </c>
    </row>
    <row r="29" spans="2:27" ht="14.1" x14ac:dyDescent="0.7">
      <c r="B29" s="32" t="s">
        <v>246</v>
      </c>
      <c r="D29" s="43">
        <f t="shared" si="1"/>
        <v>44743.759027777778</v>
      </c>
      <c r="G29" s="43">
        <f t="shared" si="5"/>
        <v>44740.906249999942</v>
      </c>
      <c r="H29" s="44"/>
      <c r="J29" s="43">
        <f t="shared" si="6"/>
        <v>44744.708333333278</v>
      </c>
      <c r="K29" s="44" t="b">
        <f t="shared" ca="1" si="2"/>
        <v>1</v>
      </c>
      <c r="L29" s="44">
        <f t="shared" si="3"/>
        <v>0</v>
      </c>
      <c r="M29" s="51">
        <f t="shared" ca="1" si="4"/>
        <v>0</v>
      </c>
      <c r="N29" s="50">
        <f t="shared" si="7"/>
        <v>44744.708333333278</v>
      </c>
      <c r="O29" s="34">
        <v>44741.625</v>
      </c>
      <c r="P29" s="22" t="s">
        <v>219</v>
      </c>
    </row>
    <row r="30" spans="2:27" ht="14.1" x14ac:dyDescent="0.7">
      <c r="B30" s="32" t="s">
        <v>247</v>
      </c>
      <c r="D30" s="43">
        <f t="shared" si="1"/>
        <v>44743.759722222225</v>
      </c>
      <c r="G30" s="43">
        <f t="shared" si="5"/>
        <v>44740.916666666606</v>
      </c>
      <c r="H30" s="44"/>
      <c r="J30" s="43">
        <f t="shared" si="6"/>
        <v>44744.749999999942</v>
      </c>
      <c r="K30" s="44" t="b">
        <f t="shared" ca="1" si="2"/>
        <v>1</v>
      </c>
      <c r="L30" s="44">
        <f t="shared" si="3"/>
        <v>0</v>
      </c>
      <c r="M30" s="51">
        <f t="shared" ca="1" si="4"/>
        <v>0</v>
      </c>
      <c r="N30" s="50">
        <f t="shared" si="7"/>
        <v>44744.749999999942</v>
      </c>
      <c r="O30" s="34">
        <v>44742.46875</v>
      </c>
      <c r="P30" s="22" t="s">
        <v>220</v>
      </c>
    </row>
    <row r="31" spans="2:27" ht="14.1" x14ac:dyDescent="0.7">
      <c r="B31" s="32" t="s">
        <v>248</v>
      </c>
      <c r="D31" s="43">
        <f t="shared" si="1"/>
        <v>44743.760416666664</v>
      </c>
      <c r="G31" s="43">
        <f t="shared" si="5"/>
        <v>44740.92708333327</v>
      </c>
      <c r="H31" s="44"/>
      <c r="J31" s="43">
        <f t="shared" si="6"/>
        <v>44744.791666666606</v>
      </c>
      <c r="K31" s="44" t="b">
        <f t="shared" ca="1" si="2"/>
        <v>1</v>
      </c>
      <c r="L31" s="44">
        <f t="shared" si="3"/>
        <v>0</v>
      </c>
      <c r="M31" s="51">
        <f t="shared" ca="1" si="4"/>
        <v>0</v>
      </c>
      <c r="N31" s="50">
        <f t="shared" si="7"/>
        <v>44744.791666666606</v>
      </c>
      <c r="O31" s="34">
        <v>44742.541666666664</v>
      </c>
      <c r="P31" s="22" t="s">
        <v>221</v>
      </c>
      <c r="T31" s="24"/>
      <c r="V31" s="24"/>
      <c r="W31" s="24"/>
      <c r="X31" s="24"/>
      <c r="Y31" s="24"/>
      <c r="Z31" s="24"/>
      <c r="AA31" s="24"/>
    </row>
    <row r="32" spans="2:27" ht="14.1" x14ac:dyDescent="0.7">
      <c r="B32" s="32" t="s">
        <v>249</v>
      </c>
      <c r="D32" s="43">
        <f t="shared" si="1"/>
        <v>44743.761111111111</v>
      </c>
      <c r="G32" s="43">
        <f t="shared" si="5"/>
        <v>44740.937499999935</v>
      </c>
      <c r="H32" s="44"/>
      <c r="J32" s="43">
        <f t="shared" si="6"/>
        <v>44744.83333333327</v>
      </c>
      <c r="K32" s="44" t="b">
        <f t="shared" ca="1" si="2"/>
        <v>1</v>
      </c>
      <c r="L32" s="44">
        <f t="shared" si="3"/>
        <v>0</v>
      </c>
      <c r="M32" s="51">
        <f t="shared" ca="1" si="4"/>
        <v>0</v>
      </c>
      <c r="N32" s="50">
        <f t="shared" si="7"/>
        <v>44744.83333333327</v>
      </c>
      <c r="O32" s="24"/>
      <c r="R32" s="24"/>
      <c r="S32" s="24"/>
      <c r="T32" s="24"/>
      <c r="U32" s="24"/>
      <c r="V32" s="24"/>
      <c r="W32" s="24"/>
      <c r="X32" s="24"/>
      <c r="Y32" s="24"/>
      <c r="Z32" s="24"/>
      <c r="AA32" s="24"/>
    </row>
    <row r="33" spans="2:27" ht="14.1" x14ac:dyDescent="0.7">
      <c r="B33" s="32" t="s">
        <v>250</v>
      </c>
      <c r="D33" s="43">
        <f t="shared" si="1"/>
        <v>44743.761805555558</v>
      </c>
      <c r="G33" s="43">
        <f t="shared" si="5"/>
        <v>44740.947916666599</v>
      </c>
      <c r="H33" s="44"/>
      <c r="J33" s="43">
        <f t="shared" si="6"/>
        <v>44744.874999999935</v>
      </c>
      <c r="K33" s="44" t="b">
        <f t="shared" ca="1" si="2"/>
        <v>1</v>
      </c>
      <c r="L33" s="44">
        <f t="shared" si="3"/>
        <v>0</v>
      </c>
      <c r="M33" s="51">
        <f t="shared" ca="1" si="4"/>
        <v>0</v>
      </c>
      <c r="N33" s="50">
        <f t="shared" si="7"/>
        <v>44744.874999999935</v>
      </c>
      <c r="X33" s="24"/>
      <c r="Y33" s="24"/>
      <c r="Z33" s="24"/>
      <c r="AA33" s="24"/>
    </row>
    <row r="34" spans="2:27" ht="14.1" x14ac:dyDescent="0.7">
      <c r="B34" s="32" t="s">
        <v>251</v>
      </c>
      <c r="D34" s="43">
        <f t="shared" si="1"/>
        <v>44743.762499999997</v>
      </c>
      <c r="G34" s="43">
        <f t="shared" si="5"/>
        <v>44740.958333333263</v>
      </c>
      <c r="H34" s="44"/>
      <c r="J34" s="43">
        <f t="shared" si="6"/>
        <v>44744.916666666599</v>
      </c>
      <c r="K34" s="44" t="b">
        <f t="shared" ca="1" si="2"/>
        <v>0</v>
      </c>
      <c r="L34" s="44">
        <f t="shared" si="3"/>
        <v>0</v>
      </c>
      <c r="M34" s="51" t="str">
        <f t="shared" ca="1" si="4"/>
        <v/>
      </c>
      <c r="N34" s="50">
        <f t="shared" si="7"/>
        <v>44744.916666666599</v>
      </c>
      <c r="X34" s="24"/>
      <c r="Y34" s="24"/>
      <c r="Z34" s="24"/>
      <c r="AA34" s="24"/>
    </row>
    <row r="35" spans="2:27" ht="14.1" x14ac:dyDescent="0.7">
      <c r="B35" s="32" t="s">
        <v>252</v>
      </c>
      <c r="D35" s="43">
        <f t="shared" si="1"/>
        <v>44743.763194444444</v>
      </c>
      <c r="G35" s="43">
        <f t="shared" si="5"/>
        <v>44740.968749999927</v>
      </c>
      <c r="H35" s="44"/>
      <c r="J35" s="43">
        <f t="shared" si="6"/>
        <v>44744.958333333263</v>
      </c>
      <c r="K35" s="44" t="b">
        <f t="shared" ca="1" si="2"/>
        <v>0</v>
      </c>
      <c r="L35" s="44">
        <f t="shared" si="3"/>
        <v>0</v>
      </c>
      <c r="M35" s="51" t="str">
        <f t="shared" ca="1" si="4"/>
        <v/>
      </c>
      <c r="N35" s="50">
        <f t="shared" si="7"/>
        <v>44744.958333333263</v>
      </c>
      <c r="X35" s="24"/>
      <c r="Y35" s="24"/>
      <c r="Z35" s="24"/>
      <c r="AA35" s="24"/>
    </row>
    <row r="36" spans="2:27" ht="14.1" x14ac:dyDescent="0.7">
      <c r="B36" s="32" t="s">
        <v>253</v>
      </c>
      <c r="D36" s="43">
        <f t="shared" si="1"/>
        <v>44743.763888888891</v>
      </c>
      <c r="G36" s="43">
        <f t="shared" si="5"/>
        <v>44740.979166666591</v>
      </c>
      <c r="H36" s="44"/>
      <c r="J36" s="43">
        <f t="shared" si="6"/>
        <v>44744.999999999927</v>
      </c>
      <c r="K36" s="44" t="b">
        <f t="shared" ca="1" si="2"/>
        <v>0</v>
      </c>
      <c r="L36" s="44">
        <f t="shared" si="3"/>
        <v>0</v>
      </c>
      <c r="M36" s="51" t="str">
        <f t="shared" ca="1" si="4"/>
        <v/>
      </c>
      <c r="N36" s="50">
        <f t="shared" si="7"/>
        <v>44744.999999999927</v>
      </c>
      <c r="X36" s="24"/>
      <c r="Y36" s="33"/>
      <c r="Z36" s="24"/>
      <c r="AA36" s="24"/>
    </row>
    <row r="37" spans="2:27" ht="14.1" x14ac:dyDescent="0.7">
      <c r="B37" s="32" t="s">
        <v>254</v>
      </c>
      <c r="D37" s="43">
        <f t="shared" si="1"/>
        <v>44743.76458333333</v>
      </c>
      <c r="G37" s="43">
        <f t="shared" si="5"/>
        <v>44740.989583333256</v>
      </c>
      <c r="H37" s="44"/>
      <c r="J37" s="43">
        <f t="shared" si="6"/>
        <v>44745.041666666591</v>
      </c>
      <c r="K37" s="44" t="b">
        <f t="shared" ca="1" si="2"/>
        <v>0</v>
      </c>
      <c r="L37" s="44">
        <f t="shared" si="3"/>
        <v>0</v>
      </c>
      <c r="M37" s="51" t="str">
        <f t="shared" ca="1" si="4"/>
        <v/>
      </c>
      <c r="N37" s="50">
        <f t="shared" si="7"/>
        <v>44745.041666666591</v>
      </c>
    </row>
    <row r="38" spans="2:27" ht="14.1" x14ac:dyDescent="0.7">
      <c r="B38" s="32" t="s">
        <v>255</v>
      </c>
      <c r="D38" s="43">
        <f t="shared" si="1"/>
        <v>44743.765277777777</v>
      </c>
      <c r="G38" s="43">
        <f t="shared" si="5"/>
        <v>44740.99999999992</v>
      </c>
      <c r="H38" s="44"/>
      <c r="J38" s="43">
        <f t="shared" si="6"/>
        <v>44745.083333333256</v>
      </c>
      <c r="K38" s="44" t="b">
        <f t="shared" ca="1" si="2"/>
        <v>0</v>
      </c>
      <c r="L38" s="44">
        <f t="shared" si="3"/>
        <v>0</v>
      </c>
      <c r="M38" s="51" t="str">
        <f t="shared" ca="1" si="4"/>
        <v/>
      </c>
      <c r="N38" s="50">
        <f t="shared" si="7"/>
        <v>44745.083333333256</v>
      </c>
    </row>
    <row r="39" spans="2:27" ht="14.1" x14ac:dyDescent="0.7">
      <c r="B39" s="32" t="s">
        <v>256</v>
      </c>
      <c r="D39" s="43">
        <f t="shared" si="1"/>
        <v>44743.765972222223</v>
      </c>
      <c r="G39" s="43">
        <f t="shared" si="5"/>
        <v>44741.010416666584</v>
      </c>
      <c r="H39" s="44"/>
      <c r="J39" s="43">
        <f t="shared" si="6"/>
        <v>44745.12499999992</v>
      </c>
      <c r="K39" s="44" t="b">
        <f t="shared" ca="1" si="2"/>
        <v>0</v>
      </c>
      <c r="L39" s="44">
        <f t="shared" si="3"/>
        <v>0</v>
      </c>
      <c r="M39" s="51" t="str">
        <f t="shared" ca="1" si="4"/>
        <v/>
      </c>
      <c r="N39" s="50">
        <f t="shared" si="7"/>
        <v>44745.12499999992</v>
      </c>
      <c r="U39" s="34"/>
    </row>
    <row r="40" spans="2:27" ht="14.1" x14ac:dyDescent="0.7">
      <c r="B40" s="32" t="s">
        <v>257</v>
      </c>
      <c r="D40" s="43">
        <f t="shared" si="1"/>
        <v>44743.76666666667</v>
      </c>
      <c r="G40" s="43">
        <f t="shared" si="5"/>
        <v>44741.020833333248</v>
      </c>
      <c r="H40" s="44"/>
      <c r="J40" s="43">
        <f t="shared" si="6"/>
        <v>44745.166666666584</v>
      </c>
      <c r="K40" s="44" t="b">
        <f t="shared" ca="1" si="2"/>
        <v>0</v>
      </c>
      <c r="L40" s="44">
        <f t="shared" si="3"/>
        <v>0</v>
      </c>
      <c r="M40" s="51" t="str">
        <f t="shared" ca="1" si="4"/>
        <v/>
      </c>
      <c r="N40" s="50">
        <f t="shared" si="7"/>
        <v>44745.166666666584</v>
      </c>
    </row>
    <row r="41" spans="2:27" ht="14.1" x14ac:dyDescent="0.7">
      <c r="B41" s="32" t="s">
        <v>258</v>
      </c>
      <c r="D41" s="43">
        <f t="shared" si="1"/>
        <v>44743.767361111109</v>
      </c>
      <c r="G41" s="43">
        <f t="shared" si="5"/>
        <v>44741.031249999913</v>
      </c>
      <c r="H41" s="44"/>
      <c r="J41" s="43">
        <f t="shared" si="6"/>
        <v>44745.208333333248</v>
      </c>
      <c r="K41" s="44" t="b">
        <f t="shared" ca="1" si="2"/>
        <v>0</v>
      </c>
      <c r="L41" s="44">
        <f t="shared" si="3"/>
        <v>0</v>
      </c>
      <c r="M41" s="51" t="str">
        <f t="shared" ca="1" si="4"/>
        <v/>
      </c>
      <c r="N41" s="50">
        <f t="shared" si="7"/>
        <v>44745.208333333248</v>
      </c>
    </row>
    <row r="42" spans="2:27" ht="14.1" x14ac:dyDescent="0.7">
      <c r="B42" s="32" t="s">
        <v>259</v>
      </c>
      <c r="D42" s="43">
        <f t="shared" si="1"/>
        <v>44743.768055555556</v>
      </c>
      <c r="G42" s="43">
        <f t="shared" si="5"/>
        <v>44741.041666666577</v>
      </c>
      <c r="H42" s="44"/>
      <c r="J42" s="43">
        <f t="shared" si="6"/>
        <v>44745.249999999913</v>
      </c>
      <c r="K42" s="44" t="b">
        <f t="shared" ca="1" si="2"/>
        <v>0</v>
      </c>
      <c r="L42" s="44">
        <f t="shared" si="3"/>
        <v>0</v>
      </c>
      <c r="M42" s="51" t="str">
        <f t="shared" ca="1" si="4"/>
        <v/>
      </c>
      <c r="N42" s="50">
        <f t="shared" si="7"/>
        <v>44745.249999999913</v>
      </c>
    </row>
    <row r="43" spans="2:27" ht="14.1" x14ac:dyDescent="0.7">
      <c r="B43" s="32" t="s">
        <v>260</v>
      </c>
      <c r="D43" s="43">
        <f t="shared" si="1"/>
        <v>44743.768750000003</v>
      </c>
      <c r="G43" s="43">
        <f t="shared" si="5"/>
        <v>44741.052083333241</v>
      </c>
      <c r="H43" s="44"/>
      <c r="J43" s="43">
        <f t="shared" si="6"/>
        <v>44745.291666666577</v>
      </c>
      <c r="K43" s="44" t="b">
        <f t="shared" ca="1" si="2"/>
        <v>0</v>
      </c>
      <c r="L43" s="44">
        <f t="shared" si="3"/>
        <v>0</v>
      </c>
      <c r="M43" s="51" t="str">
        <f t="shared" ca="1" si="4"/>
        <v/>
      </c>
      <c r="N43" s="50">
        <f t="shared" si="7"/>
        <v>44745.291666666577</v>
      </c>
    </row>
    <row r="44" spans="2:27" ht="14.1" x14ac:dyDescent="0.7">
      <c r="B44" s="32" t="s">
        <v>261</v>
      </c>
      <c r="D44" s="43">
        <f t="shared" si="1"/>
        <v>44743.769444444442</v>
      </c>
      <c r="G44" s="43">
        <f t="shared" si="5"/>
        <v>44741.062499999905</v>
      </c>
      <c r="H44" s="44"/>
      <c r="J44" s="43">
        <f t="shared" si="6"/>
        <v>44745.333333333241</v>
      </c>
      <c r="K44" s="44" t="b">
        <f t="shared" ca="1" si="2"/>
        <v>0</v>
      </c>
      <c r="L44" s="44">
        <f t="shared" si="3"/>
        <v>0</v>
      </c>
      <c r="M44" s="51" t="str">
        <f t="shared" ca="1" si="4"/>
        <v/>
      </c>
      <c r="N44" s="50">
        <f t="shared" si="7"/>
        <v>44745.333333333241</v>
      </c>
    </row>
    <row r="45" spans="2:27" ht="14.1" x14ac:dyDescent="0.7">
      <c r="B45" s="32" t="s">
        <v>262</v>
      </c>
      <c r="D45" s="43">
        <f t="shared" si="1"/>
        <v>44743.770138888889</v>
      </c>
      <c r="G45" s="43">
        <f t="shared" si="5"/>
        <v>44741.07291666657</v>
      </c>
      <c r="H45" s="44"/>
      <c r="J45" s="43">
        <f t="shared" si="6"/>
        <v>44745.374999999905</v>
      </c>
      <c r="K45" s="44" t="b">
        <f t="shared" ca="1" si="2"/>
        <v>0</v>
      </c>
      <c r="L45" s="44">
        <f t="shared" si="3"/>
        <v>0</v>
      </c>
      <c r="M45" s="51" t="str">
        <f t="shared" ca="1" si="4"/>
        <v/>
      </c>
      <c r="N45" s="50">
        <f t="shared" si="7"/>
        <v>44745.374999999905</v>
      </c>
    </row>
    <row r="46" spans="2:27" ht="14.1" x14ac:dyDescent="0.7">
      <c r="B46" s="32" t="s">
        <v>263</v>
      </c>
      <c r="D46" s="43">
        <f t="shared" si="1"/>
        <v>44743.770833333336</v>
      </c>
      <c r="G46" s="43">
        <f t="shared" si="5"/>
        <v>44741.083333333234</v>
      </c>
      <c r="H46" s="44"/>
      <c r="J46" s="43">
        <f t="shared" si="6"/>
        <v>44745.41666666657</v>
      </c>
      <c r="K46" s="44" t="b">
        <f t="shared" ca="1" si="2"/>
        <v>0</v>
      </c>
      <c r="L46" s="44">
        <f t="shared" si="3"/>
        <v>0</v>
      </c>
      <c r="M46" s="51" t="str">
        <f t="shared" ca="1" si="4"/>
        <v/>
      </c>
      <c r="N46" s="50">
        <f t="shared" si="7"/>
        <v>44745.41666666657</v>
      </c>
    </row>
    <row r="47" spans="2:27" ht="14.1" x14ac:dyDescent="0.7">
      <c r="B47" s="32" t="s">
        <v>264</v>
      </c>
      <c r="D47" s="43">
        <f t="shared" si="1"/>
        <v>44743.771527777775</v>
      </c>
      <c r="G47" s="43">
        <f t="shared" si="5"/>
        <v>44741.093749999898</v>
      </c>
      <c r="H47" s="44"/>
      <c r="J47" s="43">
        <f t="shared" si="6"/>
        <v>44745.458333333234</v>
      </c>
      <c r="K47" s="44" t="b">
        <f t="shared" ca="1" si="2"/>
        <v>0</v>
      </c>
      <c r="L47" s="44">
        <f t="shared" si="3"/>
        <v>0</v>
      </c>
      <c r="M47" s="51" t="str">
        <f t="shared" ca="1" si="4"/>
        <v/>
      </c>
      <c r="N47" s="50">
        <f t="shared" si="7"/>
        <v>44745.458333333234</v>
      </c>
    </row>
    <row r="48" spans="2:27" ht="14.1" x14ac:dyDescent="0.7">
      <c r="B48" s="32" t="s">
        <v>265</v>
      </c>
      <c r="D48" s="43">
        <f t="shared" si="1"/>
        <v>44743.772222222222</v>
      </c>
      <c r="G48" s="43">
        <f t="shared" si="5"/>
        <v>44741.104166666562</v>
      </c>
      <c r="H48" s="44"/>
      <c r="J48" s="43">
        <f t="shared" si="6"/>
        <v>44745.499999999898</v>
      </c>
      <c r="K48" s="44" t="b">
        <f t="shared" ca="1" si="2"/>
        <v>0</v>
      </c>
      <c r="L48" s="44">
        <f t="shared" si="3"/>
        <v>0</v>
      </c>
      <c r="M48" s="51" t="str">
        <f t="shared" ca="1" si="4"/>
        <v/>
      </c>
      <c r="N48" s="50">
        <f t="shared" si="7"/>
        <v>44745.499999999898</v>
      </c>
    </row>
    <row r="49" spans="2:24" ht="14.1" x14ac:dyDescent="0.7">
      <c r="B49" s="32" t="s">
        <v>266</v>
      </c>
      <c r="D49" s="43">
        <f t="shared" si="1"/>
        <v>44743.772916666669</v>
      </c>
      <c r="G49" s="43">
        <f t="shared" si="5"/>
        <v>44741.114583333227</v>
      </c>
      <c r="H49" s="44"/>
      <c r="J49" s="43">
        <f t="shared" si="6"/>
        <v>44745.541666666562</v>
      </c>
      <c r="K49" s="44" t="b">
        <f t="shared" ca="1" si="2"/>
        <v>0</v>
      </c>
      <c r="L49" s="44">
        <f t="shared" si="3"/>
        <v>0</v>
      </c>
      <c r="M49" s="51" t="str">
        <f t="shared" ca="1" si="4"/>
        <v/>
      </c>
      <c r="N49" s="50">
        <f t="shared" si="7"/>
        <v>44745.541666666562</v>
      </c>
      <c r="X49" s="35"/>
    </row>
    <row r="50" spans="2:24" ht="14.1" x14ac:dyDescent="0.7">
      <c r="B50" s="32" t="s">
        <v>267</v>
      </c>
      <c r="D50" s="43">
        <f t="shared" si="1"/>
        <v>44743.773611111108</v>
      </c>
      <c r="G50" s="43">
        <f t="shared" si="5"/>
        <v>44741.124999999891</v>
      </c>
      <c r="H50" s="44"/>
      <c r="J50" s="43">
        <f t="shared" si="6"/>
        <v>44745.583333333227</v>
      </c>
      <c r="K50" s="44" t="b">
        <f t="shared" ca="1" si="2"/>
        <v>0</v>
      </c>
      <c r="L50" s="44">
        <f t="shared" si="3"/>
        <v>0</v>
      </c>
      <c r="M50" s="51" t="str">
        <f t="shared" ca="1" si="4"/>
        <v/>
      </c>
      <c r="N50" s="50">
        <f t="shared" si="7"/>
        <v>44745.583333333227</v>
      </c>
      <c r="X50" s="35"/>
    </row>
    <row r="51" spans="2:24" ht="14.1" x14ac:dyDescent="0.7">
      <c r="B51" s="32" t="s">
        <v>268</v>
      </c>
      <c r="D51" s="43">
        <f t="shared" si="1"/>
        <v>44743.774305555555</v>
      </c>
      <c r="G51" s="43">
        <f t="shared" si="5"/>
        <v>44741.135416666555</v>
      </c>
      <c r="H51" s="44"/>
      <c r="J51" s="43">
        <f t="shared" si="6"/>
        <v>44745.624999999891</v>
      </c>
      <c r="K51" s="44" t="b">
        <f t="shared" ca="1" si="2"/>
        <v>0</v>
      </c>
      <c r="L51" s="44">
        <f t="shared" si="3"/>
        <v>0</v>
      </c>
      <c r="M51" s="51" t="str">
        <f t="shared" ca="1" si="4"/>
        <v/>
      </c>
      <c r="N51" s="50">
        <f t="shared" si="7"/>
        <v>44745.624999999891</v>
      </c>
      <c r="X51" s="35"/>
    </row>
    <row r="52" spans="2:24" ht="14.1" x14ac:dyDescent="0.7">
      <c r="B52" s="32" t="s">
        <v>269</v>
      </c>
      <c r="D52" s="43">
        <f t="shared" si="1"/>
        <v>44743.775000000001</v>
      </c>
      <c r="G52" s="43">
        <f t="shared" si="5"/>
        <v>44741.145833333219</v>
      </c>
      <c r="H52" s="44"/>
      <c r="J52" s="43">
        <f t="shared" si="6"/>
        <v>44745.666666666555</v>
      </c>
      <c r="K52" s="44" t="b">
        <f t="shared" ca="1" si="2"/>
        <v>0</v>
      </c>
      <c r="L52" s="44">
        <f t="shared" si="3"/>
        <v>0</v>
      </c>
      <c r="M52" s="51" t="str">
        <f t="shared" ca="1" si="4"/>
        <v/>
      </c>
      <c r="N52" s="50">
        <f t="shared" si="7"/>
        <v>44745.666666666555</v>
      </c>
    </row>
    <row r="53" spans="2:24" ht="14.1" x14ac:dyDescent="0.7">
      <c r="B53" s="32" t="s">
        <v>270</v>
      </c>
      <c r="D53" s="43">
        <f t="shared" si="1"/>
        <v>44743.775694444441</v>
      </c>
      <c r="G53" s="43">
        <f t="shared" si="5"/>
        <v>44741.156249999884</v>
      </c>
      <c r="H53" s="44"/>
      <c r="J53" s="43">
        <f t="shared" si="6"/>
        <v>44745.708333333219</v>
      </c>
      <c r="K53" s="44" t="b">
        <f t="shared" ca="1" si="2"/>
        <v>0</v>
      </c>
      <c r="L53" s="44">
        <f t="shared" si="3"/>
        <v>0</v>
      </c>
      <c r="M53" s="51" t="str">
        <f t="shared" ca="1" si="4"/>
        <v/>
      </c>
      <c r="N53" s="50">
        <f t="shared" si="7"/>
        <v>44745.708333333219</v>
      </c>
    </row>
    <row r="54" spans="2:24" ht="14.1" x14ac:dyDescent="0.7">
      <c r="B54" s="32" t="s">
        <v>271</v>
      </c>
      <c r="D54" s="43">
        <f t="shared" si="1"/>
        <v>44743.776388888888</v>
      </c>
      <c r="G54" s="43">
        <f t="shared" si="5"/>
        <v>44741.166666666548</v>
      </c>
      <c r="H54" s="44"/>
      <c r="J54" s="43">
        <f t="shared" si="6"/>
        <v>44745.749999999884</v>
      </c>
      <c r="K54" s="44" t="b">
        <f t="shared" ca="1" si="2"/>
        <v>0</v>
      </c>
      <c r="L54" s="44">
        <f t="shared" si="3"/>
        <v>0</v>
      </c>
      <c r="M54" s="51" t="str">
        <f t="shared" ca="1" si="4"/>
        <v/>
      </c>
      <c r="N54" s="50">
        <f t="shared" si="7"/>
        <v>44745.749999999884</v>
      </c>
    </row>
    <row r="55" spans="2:24" ht="14.1" x14ac:dyDescent="0.7">
      <c r="B55" s="32" t="s">
        <v>272</v>
      </c>
      <c r="D55" s="43">
        <f t="shared" si="1"/>
        <v>44743.777083333334</v>
      </c>
      <c r="G55" s="43">
        <f t="shared" si="5"/>
        <v>44741.177083333212</v>
      </c>
      <c r="H55" s="44"/>
      <c r="J55" s="43">
        <f t="shared" si="6"/>
        <v>44745.791666666548</v>
      </c>
      <c r="K55" s="44" t="b">
        <f t="shared" ca="1" si="2"/>
        <v>0</v>
      </c>
      <c r="L55" s="44">
        <f t="shared" si="3"/>
        <v>0</v>
      </c>
      <c r="M55" s="51" t="str">
        <f t="shared" ca="1" si="4"/>
        <v/>
      </c>
      <c r="N55" s="50">
        <f t="shared" si="7"/>
        <v>44745.791666666548</v>
      </c>
    </row>
    <row r="56" spans="2:24" ht="14.1" x14ac:dyDescent="0.7">
      <c r="B56" s="32" t="s">
        <v>273</v>
      </c>
      <c r="D56" s="43">
        <f t="shared" si="1"/>
        <v>44743.777777777781</v>
      </c>
      <c r="G56" s="43">
        <f t="shared" si="5"/>
        <v>44741.187499999876</v>
      </c>
      <c r="H56" s="44"/>
      <c r="J56" s="43">
        <f t="shared" si="6"/>
        <v>44745.833333333212</v>
      </c>
      <c r="K56" s="44" t="b">
        <f t="shared" ca="1" si="2"/>
        <v>0</v>
      </c>
      <c r="L56" s="44">
        <f t="shared" si="3"/>
        <v>0</v>
      </c>
      <c r="M56" s="51" t="str">
        <f t="shared" ca="1" si="4"/>
        <v/>
      </c>
      <c r="N56" s="50">
        <f t="shared" si="7"/>
        <v>44745.833333333212</v>
      </c>
    </row>
    <row r="57" spans="2:24" ht="14.1" x14ac:dyDescent="0.7">
      <c r="B57" s="32" t="s">
        <v>274</v>
      </c>
      <c r="D57" s="43">
        <f t="shared" si="1"/>
        <v>44743.77847222222</v>
      </c>
      <c r="G57" s="43">
        <f t="shared" si="5"/>
        <v>44741.197916666541</v>
      </c>
      <c r="H57" s="44"/>
      <c r="J57" s="43">
        <f t="shared" si="6"/>
        <v>44745.874999999876</v>
      </c>
      <c r="K57" s="44" t="b">
        <f t="shared" ca="1" si="2"/>
        <v>0</v>
      </c>
      <c r="L57" s="44">
        <f t="shared" si="3"/>
        <v>0</v>
      </c>
      <c r="M57" s="51" t="str">
        <f t="shared" ca="1" si="4"/>
        <v/>
      </c>
      <c r="N57" s="50">
        <f t="shared" si="7"/>
        <v>44745.874999999876</v>
      </c>
    </row>
    <row r="58" spans="2:24" ht="14.1" x14ac:dyDescent="0.7">
      <c r="B58" s="32" t="s">
        <v>275</v>
      </c>
      <c r="D58" s="43">
        <f t="shared" si="1"/>
        <v>44743.779166666667</v>
      </c>
      <c r="G58" s="43">
        <f t="shared" si="5"/>
        <v>44741.208333333205</v>
      </c>
      <c r="H58" s="44"/>
      <c r="J58" s="43">
        <f t="shared" si="6"/>
        <v>44745.916666666541</v>
      </c>
      <c r="K58" s="44" t="b">
        <f t="shared" ca="1" si="2"/>
        <v>0</v>
      </c>
      <c r="L58" s="44">
        <f t="shared" si="3"/>
        <v>0</v>
      </c>
      <c r="M58" s="51" t="str">
        <f t="shared" ca="1" si="4"/>
        <v/>
      </c>
      <c r="N58" s="50">
        <f t="shared" si="7"/>
        <v>44745.916666666541</v>
      </c>
    </row>
    <row r="59" spans="2:24" ht="14.1" x14ac:dyDescent="0.7">
      <c r="B59" s="32" t="s">
        <v>276</v>
      </c>
      <c r="D59" s="43">
        <f t="shared" si="1"/>
        <v>44743.779861111114</v>
      </c>
      <c r="G59" s="43">
        <f t="shared" si="5"/>
        <v>44741.218749999869</v>
      </c>
      <c r="H59" s="44"/>
      <c r="J59" s="43">
        <f t="shared" si="6"/>
        <v>44745.958333333205</v>
      </c>
      <c r="K59" s="44" t="b">
        <f t="shared" ca="1" si="2"/>
        <v>0</v>
      </c>
      <c r="L59" s="44">
        <f t="shared" si="3"/>
        <v>0</v>
      </c>
      <c r="M59" s="51" t="str">
        <f t="shared" ca="1" si="4"/>
        <v/>
      </c>
      <c r="N59" s="50">
        <f t="shared" si="7"/>
        <v>44745.958333333205</v>
      </c>
    </row>
    <row r="60" spans="2:24" ht="14.1" x14ac:dyDescent="0.7">
      <c r="B60" s="32" t="s">
        <v>277</v>
      </c>
      <c r="D60" s="43">
        <f t="shared" si="1"/>
        <v>44743.780555555553</v>
      </c>
      <c r="G60" s="43">
        <f t="shared" si="5"/>
        <v>44741.229166666533</v>
      </c>
      <c r="H60" s="44"/>
      <c r="J60" s="43">
        <f t="shared" si="6"/>
        <v>44745.999999999869</v>
      </c>
      <c r="K60" s="44" t="b">
        <f t="shared" ca="1" si="2"/>
        <v>0</v>
      </c>
      <c r="L60" s="44">
        <f t="shared" si="3"/>
        <v>0</v>
      </c>
      <c r="M60" s="51" t="str">
        <f t="shared" ca="1" si="4"/>
        <v/>
      </c>
      <c r="N60" s="50">
        <f t="shared" si="7"/>
        <v>44745.999999999869</v>
      </c>
    </row>
    <row r="61" spans="2:24" ht="14.1" x14ac:dyDescent="0.7">
      <c r="B61" s="32" t="s">
        <v>278</v>
      </c>
      <c r="D61" s="43">
        <f t="shared" si="1"/>
        <v>44743.78125</v>
      </c>
      <c r="G61" s="43">
        <f t="shared" si="5"/>
        <v>44741.239583333198</v>
      </c>
      <c r="H61" s="44"/>
      <c r="J61" s="43">
        <f t="shared" si="6"/>
        <v>44746.041666666533</v>
      </c>
      <c r="K61" s="44" t="b">
        <f t="shared" ca="1" si="2"/>
        <v>0</v>
      </c>
      <c r="L61" s="44">
        <f t="shared" si="3"/>
        <v>0</v>
      </c>
      <c r="M61" s="51" t="str">
        <f t="shared" ca="1" si="4"/>
        <v/>
      </c>
      <c r="N61" s="50">
        <f t="shared" si="7"/>
        <v>44746.041666666533</v>
      </c>
    </row>
    <row r="62" spans="2:24" ht="14.1" x14ac:dyDescent="0.7">
      <c r="B62" s="32" t="s">
        <v>279</v>
      </c>
      <c r="D62" s="43">
        <f t="shared" si="1"/>
        <v>44743.781944444447</v>
      </c>
      <c r="G62" s="43">
        <f t="shared" si="5"/>
        <v>44741.249999999862</v>
      </c>
      <c r="H62" s="44"/>
      <c r="J62" s="43">
        <f t="shared" si="6"/>
        <v>44746.083333333198</v>
      </c>
      <c r="K62" s="44" t="b">
        <f t="shared" ca="1" si="2"/>
        <v>0</v>
      </c>
      <c r="L62" s="44">
        <f t="shared" si="3"/>
        <v>0</v>
      </c>
      <c r="M62" s="51" t="str">
        <f t="shared" ca="1" si="4"/>
        <v/>
      </c>
      <c r="N62" s="50">
        <f t="shared" si="7"/>
        <v>44746.083333333198</v>
      </c>
    </row>
    <row r="63" spans="2:24" ht="14.1" x14ac:dyDescent="0.7">
      <c r="B63" s="32" t="s">
        <v>280</v>
      </c>
      <c r="D63" s="43">
        <f t="shared" si="1"/>
        <v>44743.782638888886</v>
      </c>
      <c r="G63" s="43">
        <f t="shared" si="5"/>
        <v>44741.260416666526</v>
      </c>
      <c r="H63" s="44"/>
      <c r="J63" s="43">
        <f t="shared" si="6"/>
        <v>44746.124999999862</v>
      </c>
      <c r="K63" s="44" t="b">
        <f t="shared" ca="1" si="2"/>
        <v>0</v>
      </c>
      <c r="L63" s="44">
        <f t="shared" si="3"/>
        <v>0</v>
      </c>
      <c r="M63" s="51" t="str">
        <f t="shared" ca="1" si="4"/>
        <v/>
      </c>
      <c r="N63" s="50">
        <f t="shared" si="7"/>
        <v>44746.124999999862</v>
      </c>
    </row>
    <row r="64" spans="2:24" ht="14.1" x14ac:dyDescent="0.7">
      <c r="B64" s="32" t="s">
        <v>281</v>
      </c>
      <c r="D64" s="43">
        <f t="shared" si="1"/>
        <v>44743.783333333333</v>
      </c>
      <c r="G64" s="43">
        <f t="shared" si="5"/>
        <v>44741.27083333319</v>
      </c>
      <c r="H64" s="44"/>
      <c r="J64" s="43">
        <f t="shared" si="6"/>
        <v>44746.166666666526</v>
      </c>
      <c r="K64" s="44" t="b">
        <f t="shared" ca="1" si="2"/>
        <v>0</v>
      </c>
      <c r="L64" s="44">
        <f t="shared" si="3"/>
        <v>0</v>
      </c>
      <c r="M64" s="51" t="str">
        <f t="shared" ca="1" si="4"/>
        <v/>
      </c>
      <c r="N64" s="50">
        <f t="shared" si="7"/>
        <v>44746.166666666526</v>
      </c>
    </row>
    <row r="65" spans="2:14" ht="14.1" x14ac:dyDescent="0.7">
      <c r="B65" s="32" t="s">
        <v>282</v>
      </c>
      <c r="D65" s="43">
        <f t="shared" si="1"/>
        <v>44743.78402777778</v>
      </c>
      <c r="G65" s="43">
        <f t="shared" si="5"/>
        <v>44741.281249999854</v>
      </c>
      <c r="H65" s="44"/>
      <c r="J65" s="43">
        <f t="shared" si="6"/>
        <v>44746.20833333319</v>
      </c>
      <c r="K65" s="44" t="b">
        <f t="shared" ca="1" si="2"/>
        <v>0</v>
      </c>
      <c r="L65" s="44">
        <f t="shared" si="3"/>
        <v>0</v>
      </c>
      <c r="M65" s="51" t="str">
        <f t="shared" ca="1" si="4"/>
        <v/>
      </c>
      <c r="N65" s="50">
        <f t="shared" si="7"/>
        <v>44746.20833333319</v>
      </c>
    </row>
    <row r="66" spans="2:14" ht="14.1" x14ac:dyDescent="0.7">
      <c r="B66" s="32" t="s">
        <v>283</v>
      </c>
      <c r="D66" s="43">
        <f t="shared" si="1"/>
        <v>44743.784722222219</v>
      </c>
      <c r="G66" s="43">
        <f t="shared" si="5"/>
        <v>44741.291666666519</v>
      </c>
      <c r="H66" s="44"/>
      <c r="J66" s="43">
        <f t="shared" si="6"/>
        <v>44746.249999999854</v>
      </c>
      <c r="K66" s="44" t="b">
        <f t="shared" ca="1" si="2"/>
        <v>0</v>
      </c>
      <c r="L66" s="44">
        <f t="shared" si="3"/>
        <v>0</v>
      </c>
      <c r="M66" s="51" t="str">
        <f t="shared" ca="1" si="4"/>
        <v/>
      </c>
      <c r="N66" s="50">
        <f t="shared" si="7"/>
        <v>44746.249999999854</v>
      </c>
    </row>
    <row r="67" spans="2:14" ht="14.1" x14ac:dyDescent="0.7">
      <c r="B67" s="32" t="s">
        <v>284</v>
      </c>
      <c r="D67" s="43">
        <f t="shared" si="1"/>
        <v>44743.785416666666</v>
      </c>
      <c r="G67" s="43">
        <f t="shared" si="5"/>
        <v>44741.302083333183</v>
      </c>
      <c r="H67" s="44"/>
      <c r="J67" s="43">
        <f t="shared" si="6"/>
        <v>44746.291666666519</v>
      </c>
      <c r="K67" s="44" t="b">
        <f t="shared" ca="1" si="2"/>
        <v>0</v>
      </c>
      <c r="L67" s="44">
        <f t="shared" si="3"/>
        <v>0</v>
      </c>
      <c r="M67" s="51" t="str">
        <f t="shared" ca="1" si="4"/>
        <v/>
      </c>
      <c r="N67" s="50">
        <f t="shared" si="7"/>
        <v>44746.291666666519</v>
      </c>
    </row>
    <row r="68" spans="2:14" ht="14.1" x14ac:dyDescent="0.7">
      <c r="B68" s="32" t="s">
        <v>285</v>
      </c>
      <c r="D68" s="43">
        <f t="shared" si="1"/>
        <v>44743.786111111112</v>
      </c>
      <c r="G68" s="43">
        <f t="shared" si="5"/>
        <v>44741.312499999847</v>
      </c>
      <c r="H68" s="44"/>
      <c r="J68" s="43">
        <f t="shared" si="6"/>
        <v>44746.333333333183</v>
      </c>
      <c r="K68" s="44" t="b">
        <f t="shared" ca="1" si="2"/>
        <v>0</v>
      </c>
      <c r="L68" s="44">
        <f t="shared" si="3"/>
        <v>0</v>
      </c>
      <c r="M68" s="51" t="str">
        <f t="shared" ca="1" si="4"/>
        <v/>
      </c>
      <c r="N68" s="50">
        <f t="shared" si="7"/>
        <v>44746.333333333183</v>
      </c>
    </row>
    <row r="69" spans="2:14" ht="14.1" x14ac:dyDescent="0.7">
      <c r="B69" s="32" t="s">
        <v>286</v>
      </c>
      <c r="D69" s="43">
        <f t="shared" si="1"/>
        <v>44743.786805555559</v>
      </c>
      <c r="G69" s="43">
        <f t="shared" si="5"/>
        <v>44741.322916666511</v>
      </c>
      <c r="H69" s="44"/>
      <c r="J69" s="43">
        <f t="shared" si="6"/>
        <v>44746.374999999847</v>
      </c>
      <c r="K69" s="44" t="b">
        <f t="shared" ca="1" si="2"/>
        <v>0</v>
      </c>
      <c r="L69" s="44">
        <f t="shared" si="3"/>
        <v>0</v>
      </c>
      <c r="M69" s="51" t="str">
        <f t="shared" ca="1" si="4"/>
        <v/>
      </c>
      <c r="N69" s="50">
        <f t="shared" si="7"/>
        <v>44746.374999999847</v>
      </c>
    </row>
    <row r="70" spans="2:14" ht="14.1" x14ac:dyDescent="0.7">
      <c r="B70" s="32" t="s">
        <v>287</v>
      </c>
      <c r="D70" s="43">
        <f t="shared" si="1"/>
        <v>44743.787499999999</v>
      </c>
      <c r="G70" s="43">
        <f t="shared" si="5"/>
        <v>44741.333333333176</v>
      </c>
      <c r="H70" s="44"/>
      <c r="J70" s="43">
        <f t="shared" si="6"/>
        <v>44746.416666666511</v>
      </c>
      <c r="K70" s="44" t="b">
        <f t="shared" ca="1" si="2"/>
        <v>0</v>
      </c>
      <c r="L70" s="44">
        <f t="shared" si="3"/>
        <v>0</v>
      </c>
      <c r="M70" s="51" t="str">
        <f t="shared" ca="1" si="4"/>
        <v/>
      </c>
      <c r="N70" s="50">
        <f t="shared" si="7"/>
        <v>44746.416666666511</v>
      </c>
    </row>
    <row r="71" spans="2:14" ht="14.1" x14ac:dyDescent="0.7">
      <c r="B71" s="32" t="s">
        <v>291</v>
      </c>
      <c r="D71" s="43">
        <f t="shared" ref="D71:D134" si="8">IFERROR(DATE(LEFT(B71,4),MID(B71,5,2),MID(B71,7,2))+TIME(MID(B71,9,2),MID(B71,11,2),MID(B71,13,2)),"")</f>
        <v>44743.788194444445</v>
      </c>
      <c r="G71" s="43">
        <f t="shared" si="5"/>
        <v>44741.34374999984</v>
      </c>
      <c r="H71" s="44"/>
      <c r="J71" s="43">
        <f t="shared" si="6"/>
        <v>44746.458333333176</v>
      </c>
      <c r="K71" s="44" t="b">
        <f t="shared" ref="K71:K134" ca="1" si="9">J$1&gt;=J71+TIME(1,0,0)</f>
        <v>0</v>
      </c>
      <c r="L71" s="44">
        <f t="shared" ref="L71:L96" si="10">COUNTIFS($D$6:$D$251,"&gt;="&amp;J71,$D$6:$D$251,"&lt;"&amp;J72)</f>
        <v>0</v>
      </c>
      <c r="M71" s="51" t="str">
        <f t="shared" ref="M71:M96" ca="1" si="11">IF(K71,L71/60,"")</f>
        <v/>
      </c>
      <c r="N71" s="50">
        <f t="shared" si="7"/>
        <v>44746.458333333176</v>
      </c>
    </row>
    <row r="72" spans="2:14" ht="14.1" x14ac:dyDescent="0.7">
      <c r="B72" s="32" t="s">
        <v>292</v>
      </c>
      <c r="D72" s="43">
        <f t="shared" si="8"/>
        <v>44743.788888888892</v>
      </c>
      <c r="G72" s="43">
        <f t="shared" ref="G72:G135" si="12">G71+TIME(0,15,0)</f>
        <v>44741.354166666504</v>
      </c>
      <c r="H72" s="44"/>
      <c r="J72" s="43">
        <f t="shared" ref="J72:J135" si="13">J71+TIME(1,0,0)</f>
        <v>44746.49999999984</v>
      </c>
      <c r="K72" s="44" t="b">
        <f t="shared" ca="1" si="9"/>
        <v>0</v>
      </c>
      <c r="L72" s="44">
        <f t="shared" si="10"/>
        <v>0</v>
      </c>
      <c r="M72" s="51" t="str">
        <f t="shared" ca="1" si="11"/>
        <v/>
      </c>
      <c r="N72" s="50">
        <f t="shared" si="7"/>
        <v>44746.49999999984</v>
      </c>
    </row>
    <row r="73" spans="2:14" ht="14.1" x14ac:dyDescent="0.7">
      <c r="B73" s="32" t="s">
        <v>293</v>
      </c>
      <c r="D73" s="43">
        <f t="shared" si="8"/>
        <v>44743.789583333331</v>
      </c>
      <c r="G73" s="43">
        <f t="shared" si="12"/>
        <v>44741.364583333168</v>
      </c>
      <c r="H73" s="44"/>
      <c r="J73" s="43">
        <f t="shared" si="13"/>
        <v>44746.541666666504</v>
      </c>
      <c r="K73" s="44" t="b">
        <f t="shared" ca="1" si="9"/>
        <v>0</v>
      </c>
      <c r="L73" s="44">
        <f t="shared" si="10"/>
        <v>0</v>
      </c>
      <c r="M73" s="51" t="str">
        <f t="shared" ca="1" si="11"/>
        <v/>
      </c>
      <c r="N73" s="50">
        <f t="shared" si="7"/>
        <v>44746.541666666504</v>
      </c>
    </row>
    <row r="74" spans="2:14" ht="14.1" x14ac:dyDescent="0.7">
      <c r="B74" s="32" t="s">
        <v>294</v>
      </c>
      <c r="D74" s="43">
        <f t="shared" si="8"/>
        <v>44743.790277777778</v>
      </c>
      <c r="G74" s="43">
        <f t="shared" si="12"/>
        <v>44741.374999999833</v>
      </c>
      <c r="H74" s="44"/>
      <c r="J74" s="43">
        <f t="shared" si="13"/>
        <v>44746.583333333168</v>
      </c>
      <c r="K74" s="44" t="b">
        <f t="shared" ca="1" si="9"/>
        <v>0</v>
      </c>
      <c r="L74" s="44">
        <f t="shared" si="10"/>
        <v>0</v>
      </c>
      <c r="M74" s="51" t="str">
        <f t="shared" ca="1" si="11"/>
        <v/>
      </c>
      <c r="N74" s="50">
        <f t="shared" si="7"/>
        <v>44746.583333333168</v>
      </c>
    </row>
    <row r="75" spans="2:14" ht="14.1" x14ac:dyDescent="0.7">
      <c r="B75" s="32" t="s">
        <v>295</v>
      </c>
      <c r="D75" s="43">
        <f t="shared" si="8"/>
        <v>44743.790972222225</v>
      </c>
      <c r="G75" s="43">
        <f t="shared" si="12"/>
        <v>44741.385416666497</v>
      </c>
      <c r="H75" s="44"/>
      <c r="J75" s="43">
        <f t="shared" si="13"/>
        <v>44746.624999999833</v>
      </c>
      <c r="K75" s="44" t="b">
        <f t="shared" ca="1" si="9"/>
        <v>0</v>
      </c>
      <c r="L75" s="44">
        <f t="shared" si="10"/>
        <v>0</v>
      </c>
      <c r="M75" s="51" t="str">
        <f t="shared" ca="1" si="11"/>
        <v/>
      </c>
      <c r="N75" s="50">
        <f t="shared" si="7"/>
        <v>44746.624999999833</v>
      </c>
    </row>
    <row r="76" spans="2:14" ht="14.1" x14ac:dyDescent="0.7">
      <c r="B76" s="32" t="s">
        <v>296</v>
      </c>
      <c r="D76" s="43">
        <f t="shared" si="8"/>
        <v>44743.791666666664</v>
      </c>
      <c r="G76" s="43">
        <f t="shared" si="12"/>
        <v>44741.395833333161</v>
      </c>
      <c r="H76" s="44"/>
      <c r="J76" s="43">
        <f t="shared" si="13"/>
        <v>44746.666666666497</v>
      </c>
      <c r="K76" s="44" t="b">
        <f t="shared" ca="1" si="9"/>
        <v>0</v>
      </c>
      <c r="L76" s="44">
        <f t="shared" si="10"/>
        <v>0</v>
      </c>
      <c r="M76" s="51" t="str">
        <f t="shared" ca="1" si="11"/>
        <v/>
      </c>
      <c r="N76" s="50">
        <f t="shared" si="7"/>
        <v>44746.666666666497</v>
      </c>
    </row>
    <row r="77" spans="2:14" ht="14.1" x14ac:dyDescent="0.7">
      <c r="B77" s="32" t="s">
        <v>297</v>
      </c>
      <c r="D77" s="43">
        <f t="shared" si="8"/>
        <v>44743.792361111111</v>
      </c>
      <c r="G77" s="43">
        <f t="shared" si="12"/>
        <v>44741.406249999825</v>
      </c>
      <c r="H77" s="44"/>
      <c r="J77" s="43">
        <f t="shared" si="13"/>
        <v>44746.708333333161</v>
      </c>
      <c r="K77" s="44" t="b">
        <f t="shared" ca="1" si="9"/>
        <v>0</v>
      </c>
      <c r="L77" s="44">
        <f t="shared" si="10"/>
        <v>0</v>
      </c>
      <c r="M77" s="51" t="str">
        <f t="shared" ca="1" si="11"/>
        <v/>
      </c>
      <c r="N77" s="50">
        <f t="shared" si="7"/>
        <v>44746.708333333161</v>
      </c>
    </row>
    <row r="78" spans="2:14" ht="14.1" x14ac:dyDescent="0.7">
      <c r="B78" s="32" t="s">
        <v>298</v>
      </c>
      <c r="D78" s="43">
        <f t="shared" si="8"/>
        <v>44743.793055555558</v>
      </c>
      <c r="G78" s="43">
        <f t="shared" si="12"/>
        <v>44741.41666666649</v>
      </c>
      <c r="H78" s="44"/>
      <c r="J78" s="43">
        <f t="shared" si="13"/>
        <v>44746.749999999825</v>
      </c>
      <c r="K78" s="44" t="b">
        <f t="shared" ca="1" si="9"/>
        <v>0</v>
      </c>
      <c r="L78" s="44">
        <f t="shared" si="10"/>
        <v>0</v>
      </c>
      <c r="M78" s="51" t="str">
        <f t="shared" ca="1" si="11"/>
        <v/>
      </c>
      <c r="N78" s="50">
        <f t="shared" si="7"/>
        <v>44746.749999999825</v>
      </c>
    </row>
    <row r="79" spans="2:14" ht="14.1" x14ac:dyDescent="0.7">
      <c r="B79" s="32" t="s">
        <v>299</v>
      </c>
      <c r="D79" s="43">
        <f t="shared" si="8"/>
        <v>44743.793749999997</v>
      </c>
      <c r="G79" s="43">
        <f t="shared" si="12"/>
        <v>44741.427083333154</v>
      </c>
      <c r="H79" s="44"/>
      <c r="J79" s="43">
        <f t="shared" si="13"/>
        <v>44746.79166666649</v>
      </c>
      <c r="K79" s="44" t="b">
        <f t="shared" ca="1" si="9"/>
        <v>0</v>
      </c>
      <c r="L79" s="44">
        <f t="shared" si="10"/>
        <v>0</v>
      </c>
      <c r="M79" s="51" t="str">
        <f t="shared" ca="1" si="11"/>
        <v/>
      </c>
      <c r="N79" s="50">
        <f t="shared" si="7"/>
        <v>44746.79166666649</v>
      </c>
    </row>
    <row r="80" spans="2:14" ht="14.1" x14ac:dyDescent="0.7">
      <c r="B80" s="32" t="s">
        <v>300</v>
      </c>
      <c r="D80" s="43">
        <f t="shared" si="8"/>
        <v>44743.794444444444</v>
      </c>
      <c r="G80" s="43">
        <f t="shared" si="12"/>
        <v>44741.437499999818</v>
      </c>
      <c r="H80" s="44"/>
      <c r="J80" s="43">
        <f t="shared" si="13"/>
        <v>44746.833333333154</v>
      </c>
      <c r="K80" s="44" t="b">
        <f t="shared" ca="1" si="9"/>
        <v>0</v>
      </c>
      <c r="L80" s="44">
        <f t="shared" si="10"/>
        <v>0</v>
      </c>
      <c r="M80" s="51" t="str">
        <f t="shared" ca="1" si="11"/>
        <v/>
      </c>
      <c r="N80" s="50">
        <f t="shared" si="7"/>
        <v>44746.833333333154</v>
      </c>
    </row>
    <row r="81" spans="2:14" ht="14.1" x14ac:dyDescent="0.7">
      <c r="B81" s="32" t="s">
        <v>301</v>
      </c>
      <c r="D81" s="43">
        <f t="shared" si="8"/>
        <v>44743.795138888891</v>
      </c>
      <c r="G81" s="43">
        <f t="shared" si="12"/>
        <v>44741.447916666482</v>
      </c>
      <c r="H81" s="44"/>
      <c r="J81" s="43">
        <f t="shared" si="13"/>
        <v>44746.874999999818</v>
      </c>
      <c r="K81" s="44" t="b">
        <f t="shared" ca="1" si="9"/>
        <v>0</v>
      </c>
      <c r="L81" s="44">
        <f t="shared" si="10"/>
        <v>0</v>
      </c>
      <c r="M81" s="51" t="str">
        <f t="shared" ca="1" si="11"/>
        <v/>
      </c>
      <c r="N81" s="50">
        <f t="shared" si="7"/>
        <v>44746.874999999818</v>
      </c>
    </row>
    <row r="82" spans="2:14" ht="14.1" x14ac:dyDescent="0.7">
      <c r="B82" s="32" t="s">
        <v>302</v>
      </c>
      <c r="D82" s="43">
        <f t="shared" si="8"/>
        <v>44743.79583333333</v>
      </c>
      <c r="G82" s="43">
        <f t="shared" si="12"/>
        <v>44741.458333333147</v>
      </c>
      <c r="H82" s="44"/>
      <c r="J82" s="43">
        <f t="shared" si="13"/>
        <v>44746.916666666482</v>
      </c>
      <c r="K82" s="44" t="b">
        <f t="shared" ca="1" si="9"/>
        <v>0</v>
      </c>
      <c r="L82" s="44">
        <f t="shared" si="10"/>
        <v>0</v>
      </c>
      <c r="M82" s="51" t="str">
        <f t="shared" ca="1" si="11"/>
        <v/>
      </c>
      <c r="N82" s="50">
        <f t="shared" si="7"/>
        <v>44746.916666666482</v>
      </c>
    </row>
    <row r="83" spans="2:14" ht="14.1" x14ac:dyDescent="0.7">
      <c r="B83" s="32" t="s">
        <v>303</v>
      </c>
      <c r="D83" s="43">
        <f t="shared" si="8"/>
        <v>44743.796527777777</v>
      </c>
      <c r="G83" s="43">
        <f t="shared" si="12"/>
        <v>44741.468749999811</v>
      </c>
      <c r="H83" s="44"/>
      <c r="J83" s="43">
        <f t="shared" si="13"/>
        <v>44746.958333333147</v>
      </c>
      <c r="K83" s="44" t="b">
        <f t="shared" ca="1" si="9"/>
        <v>0</v>
      </c>
      <c r="L83" s="44">
        <f t="shared" si="10"/>
        <v>0</v>
      </c>
      <c r="M83" s="51" t="str">
        <f t="shared" ca="1" si="11"/>
        <v/>
      </c>
      <c r="N83" s="50">
        <f t="shared" si="7"/>
        <v>44746.958333333147</v>
      </c>
    </row>
    <row r="84" spans="2:14" ht="14.1" x14ac:dyDescent="0.7">
      <c r="B84" s="32" t="s">
        <v>304</v>
      </c>
      <c r="D84" s="43">
        <f t="shared" si="8"/>
        <v>44743.797222222223</v>
      </c>
      <c r="G84" s="43">
        <f t="shared" si="12"/>
        <v>44741.479166666475</v>
      </c>
      <c r="H84" s="44"/>
      <c r="J84" s="43">
        <f t="shared" si="13"/>
        <v>44746.999999999811</v>
      </c>
      <c r="K84" s="44" t="b">
        <f t="shared" ca="1" si="9"/>
        <v>0</v>
      </c>
      <c r="L84" s="44">
        <f t="shared" si="10"/>
        <v>0</v>
      </c>
      <c r="M84" s="51" t="str">
        <f t="shared" ca="1" si="11"/>
        <v/>
      </c>
      <c r="N84" s="50">
        <f t="shared" si="7"/>
        <v>44746.999999999811</v>
      </c>
    </row>
    <row r="85" spans="2:14" ht="14.1" x14ac:dyDescent="0.7">
      <c r="B85" s="32" t="s">
        <v>288</v>
      </c>
      <c r="D85" s="43" t="str">
        <f t="shared" si="8"/>
        <v/>
      </c>
      <c r="G85" s="43">
        <f t="shared" si="12"/>
        <v>44741.489583333139</v>
      </c>
      <c r="H85" s="44"/>
      <c r="J85" s="43">
        <f t="shared" si="13"/>
        <v>44747.041666666475</v>
      </c>
      <c r="K85" s="44" t="b">
        <f t="shared" ca="1" si="9"/>
        <v>0</v>
      </c>
      <c r="L85" s="44">
        <f t="shared" si="10"/>
        <v>0</v>
      </c>
      <c r="M85" s="51" t="str">
        <f t="shared" ca="1" si="11"/>
        <v/>
      </c>
      <c r="N85" s="50">
        <f t="shared" si="7"/>
        <v>44747.041666666475</v>
      </c>
    </row>
    <row r="86" spans="2:14" ht="14.1" x14ac:dyDescent="0.7">
      <c r="B86" s="32" t="s">
        <v>289</v>
      </c>
      <c r="D86" s="43" t="str">
        <f t="shared" si="8"/>
        <v/>
      </c>
      <c r="G86" s="43">
        <f t="shared" si="12"/>
        <v>44741.499999999804</v>
      </c>
      <c r="H86" s="44"/>
      <c r="J86" s="43">
        <f t="shared" si="13"/>
        <v>44747.083333333139</v>
      </c>
      <c r="K86" s="44" t="b">
        <f t="shared" ca="1" si="9"/>
        <v>0</v>
      </c>
      <c r="L86" s="44">
        <f t="shared" si="10"/>
        <v>0</v>
      </c>
      <c r="M86" s="51" t="str">
        <f t="shared" ca="1" si="11"/>
        <v/>
      </c>
      <c r="N86" s="50">
        <f t="shared" si="7"/>
        <v>44747.083333333139</v>
      </c>
    </row>
    <row r="87" spans="2:14" ht="14.1" x14ac:dyDescent="0.7">
      <c r="D87" s="43" t="str">
        <f t="shared" si="8"/>
        <v/>
      </c>
      <c r="G87" s="43">
        <f t="shared" si="12"/>
        <v>44741.510416666468</v>
      </c>
      <c r="H87" s="44"/>
      <c r="J87" s="43">
        <f t="shared" si="13"/>
        <v>44747.124999999804</v>
      </c>
      <c r="K87" s="44" t="b">
        <f t="shared" ca="1" si="9"/>
        <v>0</v>
      </c>
      <c r="L87" s="44">
        <f t="shared" si="10"/>
        <v>0</v>
      </c>
      <c r="M87" s="51" t="str">
        <f t="shared" ca="1" si="11"/>
        <v/>
      </c>
      <c r="N87" s="50">
        <f t="shared" si="7"/>
        <v>44747.124999999804</v>
      </c>
    </row>
    <row r="88" spans="2:14" ht="14.1" x14ac:dyDescent="0.7">
      <c r="D88" s="43" t="str">
        <f t="shared" si="8"/>
        <v/>
      </c>
      <c r="G88" s="43">
        <f t="shared" si="12"/>
        <v>44741.520833333132</v>
      </c>
      <c r="H88" s="44"/>
      <c r="J88" s="43">
        <f t="shared" si="13"/>
        <v>44747.166666666468</v>
      </c>
      <c r="K88" s="44" t="b">
        <f t="shared" ca="1" si="9"/>
        <v>0</v>
      </c>
      <c r="L88" s="44">
        <f t="shared" si="10"/>
        <v>0</v>
      </c>
      <c r="M88" s="51" t="str">
        <f t="shared" ca="1" si="11"/>
        <v/>
      </c>
      <c r="N88" s="50">
        <f t="shared" si="7"/>
        <v>44747.166666666468</v>
      </c>
    </row>
    <row r="89" spans="2:14" ht="14.1" x14ac:dyDescent="0.7">
      <c r="D89" s="43" t="str">
        <f t="shared" si="8"/>
        <v/>
      </c>
      <c r="G89" s="43">
        <f t="shared" si="12"/>
        <v>44741.531249999796</v>
      </c>
      <c r="H89" s="44"/>
      <c r="J89" s="43">
        <f t="shared" si="13"/>
        <v>44747.208333333132</v>
      </c>
      <c r="K89" s="44" t="b">
        <f t="shared" ca="1" si="9"/>
        <v>0</v>
      </c>
      <c r="L89" s="44">
        <f t="shared" si="10"/>
        <v>0</v>
      </c>
      <c r="M89" s="51" t="str">
        <f t="shared" ca="1" si="11"/>
        <v/>
      </c>
      <c r="N89" s="50">
        <f t="shared" ref="N89:N96" si="14">J89</f>
        <v>44747.208333333132</v>
      </c>
    </row>
    <row r="90" spans="2:14" ht="14.1" x14ac:dyDescent="0.7">
      <c r="D90" s="43" t="str">
        <f t="shared" si="8"/>
        <v/>
      </c>
      <c r="G90" s="43">
        <f t="shared" si="12"/>
        <v>44741.541666666461</v>
      </c>
      <c r="H90" s="44"/>
      <c r="J90" s="43">
        <f t="shared" si="13"/>
        <v>44747.249999999796</v>
      </c>
      <c r="K90" s="44" t="b">
        <f t="shared" ca="1" si="9"/>
        <v>0</v>
      </c>
      <c r="L90" s="44">
        <f t="shared" si="10"/>
        <v>0</v>
      </c>
      <c r="M90" s="51" t="str">
        <f t="shared" ca="1" si="11"/>
        <v/>
      </c>
      <c r="N90" s="50">
        <f t="shared" si="14"/>
        <v>44747.249999999796</v>
      </c>
    </row>
    <row r="91" spans="2:14" ht="14.1" x14ac:dyDescent="0.7">
      <c r="D91" s="43" t="str">
        <f t="shared" si="8"/>
        <v/>
      </c>
      <c r="G91" s="43">
        <f t="shared" si="12"/>
        <v>44741.552083333125</v>
      </c>
      <c r="H91" s="44"/>
      <c r="J91" s="43">
        <f t="shared" si="13"/>
        <v>44747.291666666461</v>
      </c>
      <c r="K91" s="44" t="b">
        <f t="shared" ca="1" si="9"/>
        <v>0</v>
      </c>
      <c r="L91" s="44">
        <f t="shared" si="10"/>
        <v>0</v>
      </c>
      <c r="M91" s="51" t="str">
        <f t="shared" ca="1" si="11"/>
        <v/>
      </c>
      <c r="N91" s="50">
        <f t="shared" si="14"/>
        <v>44747.291666666461</v>
      </c>
    </row>
    <row r="92" spans="2:14" ht="14.1" x14ac:dyDescent="0.7">
      <c r="D92" s="43" t="str">
        <f t="shared" si="8"/>
        <v/>
      </c>
      <c r="G92" s="43">
        <f t="shared" si="12"/>
        <v>44741.562499999789</v>
      </c>
      <c r="H92" s="44"/>
      <c r="J92" s="43">
        <f t="shared" si="13"/>
        <v>44747.333333333125</v>
      </c>
      <c r="K92" s="44" t="b">
        <f t="shared" ca="1" si="9"/>
        <v>0</v>
      </c>
      <c r="L92" s="44">
        <f t="shared" si="10"/>
        <v>0</v>
      </c>
      <c r="M92" s="51" t="str">
        <f t="shared" ca="1" si="11"/>
        <v/>
      </c>
      <c r="N92" s="50">
        <f t="shared" si="14"/>
        <v>44747.333333333125</v>
      </c>
    </row>
    <row r="93" spans="2:14" ht="14.1" x14ac:dyDescent="0.7">
      <c r="D93" s="43" t="str">
        <f t="shared" si="8"/>
        <v/>
      </c>
      <c r="G93" s="43">
        <f t="shared" si="12"/>
        <v>44741.572916666453</v>
      </c>
      <c r="H93" s="44"/>
      <c r="J93" s="43">
        <f t="shared" si="13"/>
        <v>44747.374999999789</v>
      </c>
      <c r="K93" s="44" t="b">
        <f t="shared" ca="1" si="9"/>
        <v>0</v>
      </c>
      <c r="L93" s="44">
        <f t="shared" si="10"/>
        <v>0</v>
      </c>
      <c r="M93" s="51" t="str">
        <f t="shared" ca="1" si="11"/>
        <v/>
      </c>
      <c r="N93" s="50">
        <f t="shared" si="14"/>
        <v>44747.374999999789</v>
      </c>
    </row>
    <row r="94" spans="2:14" ht="14.1" x14ac:dyDescent="0.7">
      <c r="D94" s="43" t="str">
        <f t="shared" si="8"/>
        <v/>
      </c>
      <c r="G94" s="43">
        <f t="shared" si="12"/>
        <v>44741.583333333117</v>
      </c>
      <c r="H94" s="44"/>
      <c r="J94" s="43">
        <f t="shared" si="13"/>
        <v>44747.416666666453</v>
      </c>
      <c r="K94" s="44" t="b">
        <f t="shared" ca="1" si="9"/>
        <v>0</v>
      </c>
      <c r="L94" s="44">
        <f t="shared" si="10"/>
        <v>0</v>
      </c>
      <c r="M94" s="51" t="str">
        <f t="shared" ca="1" si="11"/>
        <v/>
      </c>
      <c r="N94" s="50">
        <f t="shared" si="14"/>
        <v>44747.416666666453</v>
      </c>
    </row>
    <row r="95" spans="2:14" ht="14.1" x14ac:dyDescent="0.7">
      <c r="D95" s="43" t="str">
        <f t="shared" si="8"/>
        <v/>
      </c>
      <c r="G95" s="43">
        <f t="shared" si="12"/>
        <v>44741.593749999782</v>
      </c>
      <c r="H95" s="44"/>
      <c r="J95" s="43">
        <f t="shared" si="13"/>
        <v>44747.458333333117</v>
      </c>
      <c r="K95" s="44" t="b">
        <f t="shared" ca="1" si="9"/>
        <v>0</v>
      </c>
      <c r="L95" s="44">
        <f t="shared" si="10"/>
        <v>0</v>
      </c>
      <c r="M95" s="51" t="str">
        <f t="shared" ca="1" si="11"/>
        <v/>
      </c>
      <c r="N95" s="50">
        <f t="shared" si="14"/>
        <v>44747.458333333117</v>
      </c>
    </row>
    <row r="96" spans="2:14" ht="14.1" x14ac:dyDescent="0.7">
      <c r="D96" s="43" t="str">
        <f t="shared" si="8"/>
        <v/>
      </c>
      <c r="G96" s="43">
        <f t="shared" si="12"/>
        <v>44741.604166666446</v>
      </c>
      <c r="H96" s="44"/>
      <c r="J96" s="43">
        <f t="shared" si="13"/>
        <v>44747.499999999782</v>
      </c>
      <c r="K96" s="44" t="b">
        <f t="shared" ca="1" si="9"/>
        <v>0</v>
      </c>
      <c r="L96" s="44">
        <f t="shared" si="10"/>
        <v>0</v>
      </c>
      <c r="M96" s="51" t="str">
        <f t="shared" ca="1" si="11"/>
        <v/>
      </c>
      <c r="N96" s="50">
        <f t="shared" si="14"/>
        <v>44747.499999999782</v>
      </c>
    </row>
    <row r="97" spans="4:14" ht="14.1" x14ac:dyDescent="0.7">
      <c r="D97" s="43" t="str">
        <f t="shared" si="8"/>
        <v/>
      </c>
      <c r="G97" s="43">
        <f t="shared" si="12"/>
        <v>44741.61458333311</v>
      </c>
      <c r="H97" s="44"/>
      <c r="J97" s="43">
        <f t="shared" si="13"/>
        <v>44747.541666666446</v>
      </c>
      <c r="K97" s="44" t="b">
        <f t="shared" ca="1" si="9"/>
        <v>0</v>
      </c>
      <c r="L97" s="44">
        <f t="shared" ref="L97:L160" si="15">COUNTIFS($D$6:$D$251,"&gt;="&amp;J97,$D$6:$D$251,"&lt;"&amp;J98)</f>
        <v>0</v>
      </c>
      <c r="M97" s="51" t="str">
        <f t="shared" ref="M97:M160" ca="1" si="16">IF(K97,L97/60,"")</f>
        <v/>
      </c>
      <c r="N97" s="50">
        <f t="shared" ref="N97:N160" si="17">J97</f>
        <v>44747.541666666446</v>
      </c>
    </row>
    <row r="98" spans="4:14" ht="14.1" x14ac:dyDescent="0.7">
      <c r="D98" s="43" t="str">
        <f t="shared" si="8"/>
        <v/>
      </c>
      <c r="G98" s="43">
        <f t="shared" si="12"/>
        <v>44741.624999999774</v>
      </c>
      <c r="H98" s="44"/>
      <c r="J98" s="43">
        <f t="shared" si="13"/>
        <v>44747.58333333311</v>
      </c>
      <c r="K98" s="44" t="b">
        <f t="shared" ca="1" si="9"/>
        <v>0</v>
      </c>
      <c r="L98" s="44">
        <f t="shared" si="15"/>
        <v>0</v>
      </c>
      <c r="M98" s="51" t="str">
        <f t="shared" ca="1" si="16"/>
        <v/>
      </c>
      <c r="N98" s="50">
        <f t="shared" si="17"/>
        <v>44747.58333333311</v>
      </c>
    </row>
    <row r="99" spans="4:14" ht="14.1" x14ac:dyDescent="0.7">
      <c r="D99" s="43" t="str">
        <f t="shared" si="8"/>
        <v/>
      </c>
      <c r="G99" s="43">
        <f t="shared" si="12"/>
        <v>44741.635416666439</v>
      </c>
      <c r="H99" s="44"/>
      <c r="J99" s="43">
        <f t="shared" si="13"/>
        <v>44747.624999999774</v>
      </c>
      <c r="K99" s="44" t="b">
        <f t="shared" ca="1" si="9"/>
        <v>0</v>
      </c>
      <c r="L99" s="44">
        <f t="shared" si="15"/>
        <v>0</v>
      </c>
      <c r="M99" s="51" t="str">
        <f t="shared" ca="1" si="16"/>
        <v/>
      </c>
      <c r="N99" s="50">
        <f t="shared" si="17"/>
        <v>44747.624999999774</v>
      </c>
    </row>
    <row r="100" spans="4:14" ht="14.1" x14ac:dyDescent="0.7">
      <c r="D100" s="43" t="str">
        <f t="shared" si="8"/>
        <v/>
      </c>
      <c r="G100" s="43">
        <f t="shared" si="12"/>
        <v>44741.645833333103</v>
      </c>
      <c r="H100" s="44"/>
      <c r="J100" s="43">
        <f t="shared" si="13"/>
        <v>44747.666666666439</v>
      </c>
      <c r="K100" s="44" t="b">
        <f t="shared" ca="1" si="9"/>
        <v>0</v>
      </c>
      <c r="L100" s="44">
        <f t="shared" si="15"/>
        <v>0</v>
      </c>
      <c r="M100" s="51" t="str">
        <f t="shared" ca="1" si="16"/>
        <v/>
      </c>
      <c r="N100" s="50">
        <f t="shared" si="17"/>
        <v>44747.666666666439</v>
      </c>
    </row>
    <row r="101" spans="4:14" ht="14.1" x14ac:dyDescent="0.7">
      <c r="D101" s="43" t="str">
        <f t="shared" si="8"/>
        <v/>
      </c>
      <c r="G101" s="43">
        <f t="shared" si="12"/>
        <v>44741.656249999767</v>
      </c>
      <c r="H101" s="44"/>
      <c r="J101" s="43">
        <f t="shared" si="13"/>
        <v>44747.708333333103</v>
      </c>
      <c r="K101" s="44" t="b">
        <f t="shared" ca="1" si="9"/>
        <v>0</v>
      </c>
      <c r="L101" s="44">
        <f t="shared" si="15"/>
        <v>0</v>
      </c>
      <c r="M101" s="51" t="str">
        <f t="shared" ca="1" si="16"/>
        <v/>
      </c>
      <c r="N101" s="50">
        <f t="shared" si="17"/>
        <v>44747.708333333103</v>
      </c>
    </row>
    <row r="102" spans="4:14" ht="14.1" x14ac:dyDescent="0.7">
      <c r="D102" s="43" t="str">
        <f t="shared" si="8"/>
        <v/>
      </c>
      <c r="G102" s="43">
        <f t="shared" si="12"/>
        <v>44741.666666666431</v>
      </c>
      <c r="H102" s="44"/>
      <c r="J102" s="43">
        <f t="shared" si="13"/>
        <v>44747.749999999767</v>
      </c>
      <c r="K102" s="44" t="b">
        <f t="shared" ca="1" si="9"/>
        <v>0</v>
      </c>
      <c r="L102" s="44">
        <f t="shared" si="15"/>
        <v>0</v>
      </c>
      <c r="M102" s="51" t="str">
        <f t="shared" ca="1" si="16"/>
        <v/>
      </c>
      <c r="N102" s="50">
        <f t="shared" si="17"/>
        <v>44747.749999999767</v>
      </c>
    </row>
    <row r="103" spans="4:14" ht="14.1" x14ac:dyDescent="0.7">
      <c r="D103" s="43" t="str">
        <f t="shared" si="8"/>
        <v/>
      </c>
      <c r="G103" s="43">
        <f t="shared" si="12"/>
        <v>44741.677083333096</v>
      </c>
      <c r="H103" s="44"/>
      <c r="J103" s="43">
        <f t="shared" si="13"/>
        <v>44747.791666666431</v>
      </c>
      <c r="K103" s="44" t="b">
        <f t="shared" ca="1" si="9"/>
        <v>0</v>
      </c>
      <c r="L103" s="44">
        <f t="shared" si="15"/>
        <v>0</v>
      </c>
      <c r="M103" s="51" t="str">
        <f t="shared" ca="1" si="16"/>
        <v/>
      </c>
      <c r="N103" s="50">
        <f t="shared" si="17"/>
        <v>44747.791666666431</v>
      </c>
    </row>
    <row r="104" spans="4:14" ht="14.1" x14ac:dyDescent="0.7">
      <c r="D104" s="43" t="str">
        <f t="shared" si="8"/>
        <v/>
      </c>
      <c r="G104" s="43">
        <f t="shared" si="12"/>
        <v>44741.68749999976</v>
      </c>
      <c r="H104" s="44"/>
      <c r="J104" s="43">
        <f t="shared" si="13"/>
        <v>44747.833333333096</v>
      </c>
      <c r="K104" s="44" t="b">
        <f t="shared" ca="1" si="9"/>
        <v>0</v>
      </c>
      <c r="L104" s="44">
        <f t="shared" si="15"/>
        <v>0</v>
      </c>
      <c r="M104" s="51" t="str">
        <f t="shared" ca="1" si="16"/>
        <v/>
      </c>
      <c r="N104" s="50">
        <f t="shared" si="17"/>
        <v>44747.833333333096</v>
      </c>
    </row>
    <row r="105" spans="4:14" ht="14.1" x14ac:dyDescent="0.7">
      <c r="D105" s="43" t="str">
        <f t="shared" si="8"/>
        <v/>
      </c>
      <c r="G105" s="43">
        <f t="shared" si="12"/>
        <v>44741.697916666424</v>
      </c>
      <c r="H105" s="44"/>
      <c r="J105" s="43">
        <f t="shared" si="13"/>
        <v>44747.87499999976</v>
      </c>
      <c r="K105" s="44" t="b">
        <f t="shared" ca="1" si="9"/>
        <v>0</v>
      </c>
      <c r="L105" s="44">
        <f t="shared" si="15"/>
        <v>0</v>
      </c>
      <c r="M105" s="51" t="str">
        <f t="shared" ca="1" si="16"/>
        <v/>
      </c>
      <c r="N105" s="50">
        <f t="shared" si="17"/>
        <v>44747.87499999976</v>
      </c>
    </row>
    <row r="106" spans="4:14" ht="14.1" x14ac:dyDescent="0.7">
      <c r="D106" s="43" t="str">
        <f t="shared" si="8"/>
        <v/>
      </c>
      <c r="G106" s="43">
        <f t="shared" si="12"/>
        <v>44741.708333333088</v>
      </c>
      <c r="H106" s="44"/>
      <c r="J106" s="43">
        <f t="shared" si="13"/>
        <v>44747.916666666424</v>
      </c>
      <c r="K106" s="44" t="b">
        <f t="shared" ca="1" si="9"/>
        <v>0</v>
      </c>
      <c r="L106" s="44">
        <f t="shared" si="15"/>
        <v>0</v>
      </c>
      <c r="M106" s="51" t="str">
        <f t="shared" ca="1" si="16"/>
        <v/>
      </c>
      <c r="N106" s="50">
        <f t="shared" si="17"/>
        <v>44747.916666666424</v>
      </c>
    </row>
    <row r="107" spans="4:14" ht="14.1" x14ac:dyDescent="0.7">
      <c r="D107" s="43" t="str">
        <f t="shared" si="8"/>
        <v/>
      </c>
      <c r="G107" s="43">
        <f t="shared" si="12"/>
        <v>44741.718749999753</v>
      </c>
      <c r="H107" s="44"/>
      <c r="J107" s="43">
        <f t="shared" si="13"/>
        <v>44747.958333333088</v>
      </c>
      <c r="K107" s="44" t="b">
        <f t="shared" ca="1" si="9"/>
        <v>0</v>
      </c>
      <c r="L107" s="44">
        <f t="shared" si="15"/>
        <v>0</v>
      </c>
      <c r="M107" s="51" t="str">
        <f t="shared" ca="1" si="16"/>
        <v/>
      </c>
      <c r="N107" s="50">
        <f t="shared" si="17"/>
        <v>44747.958333333088</v>
      </c>
    </row>
    <row r="108" spans="4:14" ht="14.1" x14ac:dyDescent="0.7">
      <c r="D108" s="43" t="str">
        <f t="shared" si="8"/>
        <v/>
      </c>
      <c r="G108" s="43">
        <f t="shared" si="12"/>
        <v>44741.729166666417</v>
      </c>
      <c r="H108" s="44"/>
      <c r="J108" s="43">
        <f t="shared" si="13"/>
        <v>44747.999999999753</v>
      </c>
      <c r="K108" s="44" t="b">
        <f t="shared" ca="1" si="9"/>
        <v>0</v>
      </c>
      <c r="L108" s="44">
        <f t="shared" si="15"/>
        <v>0</v>
      </c>
      <c r="M108" s="51" t="str">
        <f t="shared" ca="1" si="16"/>
        <v/>
      </c>
      <c r="N108" s="50">
        <f t="shared" si="17"/>
        <v>44747.999999999753</v>
      </c>
    </row>
    <row r="109" spans="4:14" ht="14.1" x14ac:dyDescent="0.7">
      <c r="D109" s="43" t="str">
        <f t="shared" si="8"/>
        <v/>
      </c>
      <c r="G109" s="43">
        <f t="shared" si="12"/>
        <v>44741.739583333081</v>
      </c>
      <c r="H109" s="44"/>
      <c r="J109" s="43">
        <f t="shared" si="13"/>
        <v>44748.041666666417</v>
      </c>
      <c r="K109" s="44" t="b">
        <f t="shared" ca="1" si="9"/>
        <v>0</v>
      </c>
      <c r="L109" s="44">
        <f t="shared" si="15"/>
        <v>0</v>
      </c>
      <c r="M109" s="51" t="str">
        <f t="shared" ca="1" si="16"/>
        <v/>
      </c>
      <c r="N109" s="50">
        <f t="shared" si="17"/>
        <v>44748.041666666417</v>
      </c>
    </row>
    <row r="110" spans="4:14" ht="14.1" x14ac:dyDescent="0.7">
      <c r="D110" s="43" t="str">
        <f t="shared" si="8"/>
        <v/>
      </c>
      <c r="G110" s="43">
        <f t="shared" si="12"/>
        <v>44741.749999999745</v>
      </c>
      <c r="H110" s="44"/>
      <c r="J110" s="43">
        <f t="shared" si="13"/>
        <v>44748.083333333081</v>
      </c>
      <c r="K110" s="44" t="b">
        <f t="shared" ca="1" si="9"/>
        <v>0</v>
      </c>
      <c r="L110" s="44">
        <f t="shared" si="15"/>
        <v>0</v>
      </c>
      <c r="M110" s="51" t="str">
        <f t="shared" ca="1" si="16"/>
        <v/>
      </c>
      <c r="N110" s="50">
        <f t="shared" si="17"/>
        <v>44748.083333333081</v>
      </c>
    </row>
    <row r="111" spans="4:14" ht="14.1" x14ac:dyDescent="0.7">
      <c r="D111" s="43" t="str">
        <f t="shared" si="8"/>
        <v/>
      </c>
      <c r="G111" s="43">
        <f t="shared" si="12"/>
        <v>44741.76041666641</v>
      </c>
      <c r="H111" s="44"/>
      <c r="J111" s="43">
        <f t="shared" si="13"/>
        <v>44748.124999999745</v>
      </c>
      <c r="K111" s="44" t="b">
        <f t="shared" ca="1" si="9"/>
        <v>0</v>
      </c>
      <c r="L111" s="44">
        <f t="shared" si="15"/>
        <v>0</v>
      </c>
      <c r="M111" s="51" t="str">
        <f t="shared" ca="1" si="16"/>
        <v/>
      </c>
      <c r="N111" s="50">
        <f t="shared" si="17"/>
        <v>44748.124999999745</v>
      </c>
    </row>
    <row r="112" spans="4:14" ht="14.1" x14ac:dyDescent="0.7">
      <c r="D112" s="43" t="str">
        <f t="shared" si="8"/>
        <v/>
      </c>
      <c r="G112" s="43">
        <f t="shared" si="12"/>
        <v>44741.770833333074</v>
      </c>
      <c r="H112" s="44"/>
      <c r="J112" s="43">
        <f t="shared" si="13"/>
        <v>44748.16666666641</v>
      </c>
      <c r="K112" s="44" t="b">
        <f t="shared" ca="1" si="9"/>
        <v>0</v>
      </c>
      <c r="L112" s="44">
        <f t="shared" si="15"/>
        <v>0</v>
      </c>
      <c r="M112" s="51" t="str">
        <f t="shared" ca="1" si="16"/>
        <v/>
      </c>
      <c r="N112" s="50">
        <f t="shared" si="17"/>
        <v>44748.16666666641</v>
      </c>
    </row>
    <row r="113" spans="4:14" ht="14.1" x14ac:dyDescent="0.7">
      <c r="D113" s="43" t="str">
        <f t="shared" si="8"/>
        <v/>
      </c>
      <c r="G113" s="43">
        <f t="shared" si="12"/>
        <v>44741.781249999738</v>
      </c>
      <c r="H113" s="44"/>
      <c r="J113" s="43">
        <f t="shared" si="13"/>
        <v>44748.208333333074</v>
      </c>
      <c r="K113" s="44" t="b">
        <f t="shared" ca="1" si="9"/>
        <v>0</v>
      </c>
      <c r="L113" s="44">
        <f t="shared" si="15"/>
        <v>0</v>
      </c>
      <c r="M113" s="51" t="str">
        <f t="shared" ca="1" si="16"/>
        <v/>
      </c>
      <c r="N113" s="50">
        <f t="shared" si="17"/>
        <v>44748.208333333074</v>
      </c>
    </row>
    <row r="114" spans="4:14" ht="14.1" x14ac:dyDescent="0.7">
      <c r="D114" s="43" t="str">
        <f t="shared" si="8"/>
        <v/>
      </c>
      <c r="G114" s="43">
        <f t="shared" si="12"/>
        <v>44741.791666666402</v>
      </c>
      <c r="H114" s="44"/>
      <c r="J114" s="43">
        <f t="shared" si="13"/>
        <v>44748.249999999738</v>
      </c>
      <c r="K114" s="44" t="b">
        <f t="shared" ca="1" si="9"/>
        <v>0</v>
      </c>
      <c r="L114" s="44">
        <f t="shared" si="15"/>
        <v>0</v>
      </c>
      <c r="M114" s="51" t="str">
        <f t="shared" ca="1" si="16"/>
        <v/>
      </c>
      <c r="N114" s="50">
        <f t="shared" si="17"/>
        <v>44748.249999999738</v>
      </c>
    </row>
    <row r="115" spans="4:14" ht="14.1" x14ac:dyDescent="0.7">
      <c r="D115" s="43" t="str">
        <f t="shared" si="8"/>
        <v/>
      </c>
      <c r="G115" s="43">
        <f t="shared" si="12"/>
        <v>44741.802083333067</v>
      </c>
      <c r="H115" s="44"/>
      <c r="J115" s="43">
        <f t="shared" si="13"/>
        <v>44748.291666666402</v>
      </c>
      <c r="K115" s="44" t="b">
        <f t="shared" ca="1" si="9"/>
        <v>0</v>
      </c>
      <c r="L115" s="44">
        <f t="shared" si="15"/>
        <v>0</v>
      </c>
      <c r="M115" s="51" t="str">
        <f t="shared" ca="1" si="16"/>
        <v/>
      </c>
      <c r="N115" s="50">
        <f t="shared" si="17"/>
        <v>44748.291666666402</v>
      </c>
    </row>
    <row r="116" spans="4:14" ht="14.1" x14ac:dyDescent="0.7">
      <c r="D116" s="43" t="str">
        <f t="shared" si="8"/>
        <v/>
      </c>
      <c r="G116" s="43">
        <f t="shared" si="12"/>
        <v>44741.812499999731</v>
      </c>
      <c r="H116" s="44"/>
      <c r="J116" s="43">
        <f t="shared" si="13"/>
        <v>44748.333333333067</v>
      </c>
      <c r="K116" s="44" t="b">
        <f t="shared" ca="1" si="9"/>
        <v>0</v>
      </c>
      <c r="L116" s="44">
        <f t="shared" si="15"/>
        <v>0</v>
      </c>
      <c r="M116" s="51" t="str">
        <f t="shared" ca="1" si="16"/>
        <v/>
      </c>
      <c r="N116" s="50">
        <f t="shared" si="17"/>
        <v>44748.333333333067</v>
      </c>
    </row>
    <row r="117" spans="4:14" ht="14.1" x14ac:dyDescent="0.7">
      <c r="D117" s="43" t="str">
        <f t="shared" si="8"/>
        <v/>
      </c>
      <c r="G117" s="43">
        <f t="shared" si="12"/>
        <v>44741.822916666395</v>
      </c>
      <c r="H117" s="44"/>
      <c r="J117" s="43">
        <f t="shared" si="13"/>
        <v>44748.374999999731</v>
      </c>
      <c r="K117" s="44" t="b">
        <f t="shared" ca="1" si="9"/>
        <v>0</v>
      </c>
      <c r="L117" s="44">
        <f t="shared" si="15"/>
        <v>0</v>
      </c>
      <c r="M117" s="51" t="str">
        <f t="shared" ca="1" si="16"/>
        <v/>
      </c>
      <c r="N117" s="50">
        <f t="shared" si="17"/>
        <v>44748.374999999731</v>
      </c>
    </row>
    <row r="118" spans="4:14" ht="14.1" x14ac:dyDescent="0.7">
      <c r="D118" s="43" t="str">
        <f t="shared" si="8"/>
        <v/>
      </c>
      <c r="G118" s="43">
        <f t="shared" si="12"/>
        <v>44741.833333333059</v>
      </c>
      <c r="H118" s="44"/>
      <c r="J118" s="43">
        <f t="shared" si="13"/>
        <v>44748.416666666395</v>
      </c>
      <c r="K118" s="44" t="b">
        <f t="shared" ca="1" si="9"/>
        <v>0</v>
      </c>
      <c r="L118" s="44">
        <f t="shared" si="15"/>
        <v>0</v>
      </c>
      <c r="M118" s="51" t="str">
        <f t="shared" ca="1" si="16"/>
        <v/>
      </c>
      <c r="N118" s="50">
        <f t="shared" si="17"/>
        <v>44748.416666666395</v>
      </c>
    </row>
    <row r="119" spans="4:14" ht="14.1" x14ac:dyDescent="0.7">
      <c r="D119" s="43" t="str">
        <f t="shared" si="8"/>
        <v/>
      </c>
      <c r="G119" s="43">
        <f t="shared" si="12"/>
        <v>44741.843749999724</v>
      </c>
      <c r="H119" s="44"/>
      <c r="J119" s="43">
        <f t="shared" si="13"/>
        <v>44748.458333333059</v>
      </c>
      <c r="K119" s="44" t="b">
        <f t="shared" ca="1" si="9"/>
        <v>0</v>
      </c>
      <c r="L119" s="44">
        <f t="shared" si="15"/>
        <v>0</v>
      </c>
      <c r="M119" s="51" t="str">
        <f t="shared" ca="1" si="16"/>
        <v/>
      </c>
      <c r="N119" s="50">
        <f t="shared" si="17"/>
        <v>44748.458333333059</v>
      </c>
    </row>
    <row r="120" spans="4:14" ht="14.1" x14ac:dyDescent="0.7">
      <c r="D120" s="43" t="str">
        <f t="shared" si="8"/>
        <v/>
      </c>
      <c r="G120" s="43">
        <f t="shared" si="12"/>
        <v>44741.854166666388</v>
      </c>
      <c r="H120" s="44"/>
      <c r="J120" s="43">
        <f t="shared" si="13"/>
        <v>44748.499999999724</v>
      </c>
      <c r="K120" s="44" t="b">
        <f t="shared" ca="1" si="9"/>
        <v>0</v>
      </c>
      <c r="L120" s="44">
        <f t="shared" si="15"/>
        <v>0</v>
      </c>
      <c r="M120" s="51" t="str">
        <f t="shared" ca="1" si="16"/>
        <v/>
      </c>
      <c r="N120" s="50">
        <f t="shared" si="17"/>
        <v>44748.499999999724</v>
      </c>
    </row>
    <row r="121" spans="4:14" ht="14.1" x14ac:dyDescent="0.7">
      <c r="D121" s="43" t="str">
        <f t="shared" si="8"/>
        <v/>
      </c>
      <c r="G121" s="43">
        <f t="shared" si="12"/>
        <v>44741.864583333052</v>
      </c>
      <c r="H121" s="44"/>
      <c r="J121" s="43">
        <f t="shared" si="13"/>
        <v>44748.541666666388</v>
      </c>
      <c r="K121" s="44" t="b">
        <f t="shared" ca="1" si="9"/>
        <v>0</v>
      </c>
      <c r="L121" s="44">
        <f t="shared" si="15"/>
        <v>0</v>
      </c>
      <c r="M121" s="51" t="str">
        <f t="shared" ca="1" si="16"/>
        <v/>
      </c>
      <c r="N121" s="50">
        <f t="shared" si="17"/>
        <v>44748.541666666388</v>
      </c>
    </row>
    <row r="122" spans="4:14" ht="14.1" x14ac:dyDescent="0.7">
      <c r="D122" s="43" t="str">
        <f t="shared" si="8"/>
        <v/>
      </c>
      <c r="G122" s="43">
        <f t="shared" si="12"/>
        <v>44741.874999999716</v>
      </c>
      <c r="H122" s="44"/>
      <c r="J122" s="43">
        <f t="shared" si="13"/>
        <v>44748.583333333052</v>
      </c>
      <c r="K122" s="44" t="b">
        <f t="shared" ca="1" si="9"/>
        <v>0</v>
      </c>
      <c r="L122" s="44">
        <f t="shared" si="15"/>
        <v>0</v>
      </c>
      <c r="M122" s="51" t="str">
        <f t="shared" ca="1" si="16"/>
        <v/>
      </c>
      <c r="N122" s="50">
        <f t="shared" si="17"/>
        <v>44748.583333333052</v>
      </c>
    </row>
    <row r="123" spans="4:14" ht="14.1" x14ac:dyDescent="0.7">
      <c r="D123" s="43" t="str">
        <f t="shared" si="8"/>
        <v/>
      </c>
      <c r="G123" s="43">
        <f t="shared" si="12"/>
        <v>44741.88541666638</v>
      </c>
      <c r="H123" s="44"/>
      <c r="J123" s="43">
        <f t="shared" si="13"/>
        <v>44748.624999999716</v>
      </c>
      <c r="K123" s="44" t="b">
        <f t="shared" ca="1" si="9"/>
        <v>0</v>
      </c>
      <c r="L123" s="44">
        <f t="shared" si="15"/>
        <v>0</v>
      </c>
      <c r="M123" s="51" t="str">
        <f t="shared" ca="1" si="16"/>
        <v/>
      </c>
      <c r="N123" s="50">
        <f t="shared" si="17"/>
        <v>44748.624999999716</v>
      </c>
    </row>
    <row r="124" spans="4:14" ht="14.1" x14ac:dyDescent="0.7">
      <c r="D124" s="43" t="str">
        <f t="shared" si="8"/>
        <v/>
      </c>
      <c r="G124" s="43">
        <f t="shared" si="12"/>
        <v>44741.895833333045</v>
      </c>
      <c r="H124" s="44"/>
      <c r="J124" s="43">
        <f t="shared" si="13"/>
        <v>44748.66666666638</v>
      </c>
      <c r="K124" s="44" t="b">
        <f t="shared" ca="1" si="9"/>
        <v>0</v>
      </c>
      <c r="L124" s="44">
        <f t="shared" si="15"/>
        <v>0</v>
      </c>
      <c r="M124" s="51" t="str">
        <f t="shared" ca="1" si="16"/>
        <v/>
      </c>
      <c r="N124" s="50">
        <f t="shared" si="17"/>
        <v>44748.66666666638</v>
      </c>
    </row>
    <row r="125" spans="4:14" ht="14.1" x14ac:dyDescent="0.7">
      <c r="D125" s="43" t="str">
        <f t="shared" si="8"/>
        <v/>
      </c>
      <c r="G125" s="43">
        <f t="shared" si="12"/>
        <v>44741.906249999709</v>
      </c>
      <c r="H125" s="44"/>
      <c r="J125" s="43">
        <f t="shared" si="13"/>
        <v>44748.708333333045</v>
      </c>
      <c r="K125" s="44" t="b">
        <f t="shared" ca="1" si="9"/>
        <v>0</v>
      </c>
      <c r="L125" s="44">
        <f t="shared" si="15"/>
        <v>0</v>
      </c>
      <c r="M125" s="51" t="str">
        <f t="shared" ca="1" si="16"/>
        <v/>
      </c>
      <c r="N125" s="50">
        <f t="shared" si="17"/>
        <v>44748.708333333045</v>
      </c>
    </row>
    <row r="126" spans="4:14" ht="14.1" x14ac:dyDescent="0.7">
      <c r="D126" s="43" t="str">
        <f t="shared" si="8"/>
        <v/>
      </c>
      <c r="G126" s="43">
        <f t="shared" si="12"/>
        <v>44741.916666666373</v>
      </c>
      <c r="H126" s="44"/>
      <c r="J126" s="43">
        <f t="shared" si="13"/>
        <v>44748.749999999709</v>
      </c>
      <c r="K126" s="44" t="b">
        <f t="shared" ca="1" si="9"/>
        <v>0</v>
      </c>
      <c r="L126" s="44">
        <f t="shared" si="15"/>
        <v>0</v>
      </c>
      <c r="M126" s="51" t="str">
        <f t="shared" ca="1" si="16"/>
        <v/>
      </c>
      <c r="N126" s="50">
        <f t="shared" si="17"/>
        <v>44748.749999999709</v>
      </c>
    </row>
    <row r="127" spans="4:14" ht="14.1" x14ac:dyDescent="0.7">
      <c r="D127" s="43" t="str">
        <f t="shared" si="8"/>
        <v/>
      </c>
      <c r="G127" s="43">
        <f t="shared" si="12"/>
        <v>44741.927083333037</v>
      </c>
      <c r="H127" s="44"/>
      <c r="J127" s="43">
        <f t="shared" si="13"/>
        <v>44748.791666666373</v>
      </c>
      <c r="K127" s="44" t="b">
        <f t="shared" ca="1" si="9"/>
        <v>0</v>
      </c>
      <c r="L127" s="44">
        <f t="shared" si="15"/>
        <v>0</v>
      </c>
      <c r="M127" s="51" t="str">
        <f t="shared" ca="1" si="16"/>
        <v/>
      </c>
      <c r="N127" s="50">
        <f t="shared" si="17"/>
        <v>44748.791666666373</v>
      </c>
    </row>
    <row r="128" spans="4:14" ht="14.1" x14ac:dyDescent="0.7">
      <c r="D128" s="43" t="str">
        <f t="shared" si="8"/>
        <v/>
      </c>
      <c r="G128" s="43">
        <f t="shared" si="12"/>
        <v>44741.937499999702</v>
      </c>
      <c r="H128" s="44"/>
      <c r="J128" s="43">
        <f t="shared" si="13"/>
        <v>44748.833333333037</v>
      </c>
      <c r="K128" s="44" t="b">
        <f t="shared" ca="1" si="9"/>
        <v>0</v>
      </c>
      <c r="L128" s="44">
        <f t="shared" si="15"/>
        <v>0</v>
      </c>
      <c r="M128" s="51" t="str">
        <f t="shared" ca="1" si="16"/>
        <v/>
      </c>
      <c r="N128" s="50">
        <f t="shared" si="17"/>
        <v>44748.833333333037</v>
      </c>
    </row>
    <row r="129" spans="4:14" ht="14.1" x14ac:dyDescent="0.7">
      <c r="D129" s="43" t="str">
        <f t="shared" si="8"/>
        <v/>
      </c>
      <c r="G129" s="43">
        <f t="shared" si="12"/>
        <v>44741.947916666366</v>
      </c>
      <c r="H129" s="44"/>
      <c r="J129" s="43">
        <f t="shared" si="13"/>
        <v>44748.874999999702</v>
      </c>
      <c r="K129" s="44" t="b">
        <f t="shared" ca="1" si="9"/>
        <v>0</v>
      </c>
      <c r="L129" s="44">
        <f t="shared" si="15"/>
        <v>0</v>
      </c>
      <c r="M129" s="51" t="str">
        <f t="shared" ca="1" si="16"/>
        <v/>
      </c>
      <c r="N129" s="50">
        <f t="shared" si="17"/>
        <v>44748.874999999702</v>
      </c>
    </row>
    <row r="130" spans="4:14" ht="14.1" x14ac:dyDescent="0.7">
      <c r="D130" s="43" t="str">
        <f t="shared" si="8"/>
        <v/>
      </c>
      <c r="G130" s="43">
        <f t="shared" si="12"/>
        <v>44741.95833333303</v>
      </c>
      <c r="H130" s="44"/>
      <c r="J130" s="43">
        <f t="shared" si="13"/>
        <v>44748.916666666366</v>
      </c>
      <c r="K130" s="44" t="b">
        <f t="shared" ca="1" si="9"/>
        <v>0</v>
      </c>
      <c r="L130" s="44">
        <f t="shared" si="15"/>
        <v>0</v>
      </c>
      <c r="M130" s="51" t="str">
        <f t="shared" ca="1" si="16"/>
        <v/>
      </c>
      <c r="N130" s="50">
        <f t="shared" si="17"/>
        <v>44748.916666666366</v>
      </c>
    </row>
    <row r="131" spans="4:14" ht="14.1" x14ac:dyDescent="0.7">
      <c r="D131" s="43" t="str">
        <f t="shared" si="8"/>
        <v/>
      </c>
      <c r="G131" s="43">
        <f t="shared" si="12"/>
        <v>44741.968749999694</v>
      </c>
      <c r="H131" s="44"/>
      <c r="J131" s="43">
        <f t="shared" si="13"/>
        <v>44748.95833333303</v>
      </c>
      <c r="K131" s="44" t="b">
        <f t="shared" ca="1" si="9"/>
        <v>0</v>
      </c>
      <c r="L131" s="44">
        <f t="shared" si="15"/>
        <v>0</v>
      </c>
      <c r="M131" s="51" t="str">
        <f t="shared" ca="1" si="16"/>
        <v/>
      </c>
      <c r="N131" s="50">
        <f t="shared" si="17"/>
        <v>44748.95833333303</v>
      </c>
    </row>
    <row r="132" spans="4:14" ht="14.1" x14ac:dyDescent="0.7">
      <c r="D132" s="43" t="str">
        <f t="shared" si="8"/>
        <v/>
      </c>
      <c r="G132" s="43">
        <f t="shared" si="12"/>
        <v>44741.979166666359</v>
      </c>
      <c r="H132" s="44"/>
      <c r="J132" s="43">
        <f t="shared" si="13"/>
        <v>44748.999999999694</v>
      </c>
      <c r="K132" s="44" t="b">
        <f t="shared" ca="1" si="9"/>
        <v>0</v>
      </c>
      <c r="L132" s="44">
        <f t="shared" si="15"/>
        <v>0</v>
      </c>
      <c r="M132" s="51" t="str">
        <f t="shared" ca="1" si="16"/>
        <v/>
      </c>
      <c r="N132" s="50">
        <f t="shared" si="17"/>
        <v>44748.999999999694</v>
      </c>
    </row>
    <row r="133" spans="4:14" ht="14.1" x14ac:dyDescent="0.7">
      <c r="D133" s="43" t="str">
        <f t="shared" si="8"/>
        <v/>
      </c>
      <c r="G133" s="43">
        <f t="shared" si="12"/>
        <v>44741.989583333023</v>
      </c>
      <c r="H133" s="44"/>
      <c r="J133" s="43">
        <f t="shared" si="13"/>
        <v>44749.041666666359</v>
      </c>
      <c r="K133" s="44" t="b">
        <f t="shared" ca="1" si="9"/>
        <v>0</v>
      </c>
      <c r="L133" s="44">
        <f t="shared" si="15"/>
        <v>0</v>
      </c>
      <c r="M133" s="51" t="str">
        <f t="shared" ca="1" si="16"/>
        <v/>
      </c>
      <c r="N133" s="50">
        <f t="shared" si="17"/>
        <v>44749.041666666359</v>
      </c>
    </row>
    <row r="134" spans="4:14" ht="14.1" x14ac:dyDescent="0.7">
      <c r="D134" s="43" t="str">
        <f t="shared" si="8"/>
        <v/>
      </c>
      <c r="G134" s="43">
        <f t="shared" si="12"/>
        <v>44741.999999999687</v>
      </c>
      <c r="H134" s="44"/>
      <c r="J134" s="43">
        <f t="shared" si="13"/>
        <v>44749.083333333023</v>
      </c>
      <c r="K134" s="44" t="b">
        <f t="shared" ca="1" si="9"/>
        <v>0</v>
      </c>
      <c r="L134" s="44">
        <f t="shared" si="15"/>
        <v>0</v>
      </c>
      <c r="M134" s="51" t="str">
        <f t="shared" ca="1" si="16"/>
        <v/>
      </c>
      <c r="N134" s="50">
        <f t="shared" si="17"/>
        <v>44749.083333333023</v>
      </c>
    </row>
    <row r="135" spans="4:14" ht="14.1" x14ac:dyDescent="0.7">
      <c r="D135" s="43" t="str">
        <f t="shared" ref="D135:D198" si="18">IFERROR(DATE(LEFT(B135,4),MID(B135,5,2),MID(B135,7,2))+TIME(MID(B135,9,2),MID(B135,11,2),MID(B135,13,2)),"")</f>
        <v/>
      </c>
      <c r="G135" s="43">
        <f t="shared" si="12"/>
        <v>44742.010416666351</v>
      </c>
      <c r="H135" s="44"/>
      <c r="J135" s="43">
        <f t="shared" si="13"/>
        <v>44749.124999999687</v>
      </c>
      <c r="K135" s="44" t="b">
        <f t="shared" ref="K135:K198" ca="1" si="19">J$1&gt;=J135+TIME(1,0,0)</f>
        <v>0</v>
      </c>
      <c r="L135" s="44">
        <f t="shared" si="15"/>
        <v>0</v>
      </c>
      <c r="M135" s="51" t="str">
        <f t="shared" ca="1" si="16"/>
        <v/>
      </c>
      <c r="N135" s="50">
        <f t="shared" si="17"/>
        <v>44749.124999999687</v>
      </c>
    </row>
    <row r="136" spans="4:14" ht="14.1" x14ac:dyDescent="0.7">
      <c r="D136" s="43" t="str">
        <f t="shared" si="18"/>
        <v/>
      </c>
      <c r="G136" s="43">
        <f t="shared" ref="G136:G199" si="20">G135+TIME(0,15,0)</f>
        <v>44742.020833333016</v>
      </c>
      <c r="H136" s="44"/>
      <c r="J136" s="43">
        <f t="shared" ref="J136:J199" si="21">J135+TIME(1,0,0)</f>
        <v>44749.166666666351</v>
      </c>
      <c r="K136" s="44" t="b">
        <f t="shared" ca="1" si="19"/>
        <v>0</v>
      </c>
      <c r="L136" s="44">
        <f t="shared" si="15"/>
        <v>0</v>
      </c>
      <c r="M136" s="51" t="str">
        <f t="shared" ca="1" si="16"/>
        <v/>
      </c>
      <c r="N136" s="50">
        <f t="shared" si="17"/>
        <v>44749.166666666351</v>
      </c>
    </row>
    <row r="137" spans="4:14" ht="14.1" x14ac:dyDescent="0.7">
      <c r="D137" s="43" t="str">
        <f t="shared" si="18"/>
        <v/>
      </c>
      <c r="G137" s="43">
        <f t="shared" si="20"/>
        <v>44742.03124999968</v>
      </c>
      <c r="H137" s="44"/>
      <c r="J137" s="43">
        <f t="shared" si="21"/>
        <v>44749.208333333016</v>
      </c>
      <c r="K137" s="44" t="b">
        <f t="shared" ca="1" si="19"/>
        <v>0</v>
      </c>
      <c r="L137" s="44">
        <f t="shared" si="15"/>
        <v>0</v>
      </c>
      <c r="M137" s="51" t="str">
        <f t="shared" ca="1" si="16"/>
        <v/>
      </c>
      <c r="N137" s="50">
        <f t="shared" si="17"/>
        <v>44749.208333333016</v>
      </c>
    </row>
    <row r="138" spans="4:14" ht="14.1" x14ac:dyDescent="0.7">
      <c r="D138" s="43" t="str">
        <f t="shared" si="18"/>
        <v/>
      </c>
      <c r="G138" s="43">
        <f t="shared" si="20"/>
        <v>44742.041666666344</v>
      </c>
      <c r="H138" s="44"/>
      <c r="J138" s="43">
        <f t="shared" si="21"/>
        <v>44749.24999999968</v>
      </c>
      <c r="K138" s="44" t="b">
        <f t="shared" ca="1" si="19"/>
        <v>0</v>
      </c>
      <c r="L138" s="44">
        <f t="shared" si="15"/>
        <v>0</v>
      </c>
      <c r="M138" s="51" t="str">
        <f t="shared" ca="1" si="16"/>
        <v/>
      </c>
      <c r="N138" s="50">
        <f t="shared" si="17"/>
        <v>44749.24999999968</v>
      </c>
    </row>
    <row r="139" spans="4:14" ht="14.1" x14ac:dyDescent="0.7">
      <c r="D139" s="43" t="str">
        <f t="shared" si="18"/>
        <v/>
      </c>
      <c r="G139" s="43">
        <f t="shared" si="20"/>
        <v>44742.052083333008</v>
      </c>
      <c r="H139" s="44"/>
      <c r="J139" s="43">
        <f t="shared" si="21"/>
        <v>44749.291666666344</v>
      </c>
      <c r="K139" s="44" t="b">
        <f t="shared" ca="1" si="19"/>
        <v>0</v>
      </c>
      <c r="L139" s="44">
        <f t="shared" si="15"/>
        <v>0</v>
      </c>
      <c r="M139" s="51" t="str">
        <f t="shared" ca="1" si="16"/>
        <v/>
      </c>
      <c r="N139" s="50">
        <f t="shared" si="17"/>
        <v>44749.291666666344</v>
      </c>
    </row>
    <row r="140" spans="4:14" ht="14.1" x14ac:dyDescent="0.7">
      <c r="D140" s="43" t="str">
        <f t="shared" si="18"/>
        <v/>
      </c>
      <c r="G140" s="43">
        <f t="shared" si="20"/>
        <v>44742.062499999673</v>
      </c>
      <c r="H140" s="44"/>
      <c r="J140" s="43">
        <f t="shared" si="21"/>
        <v>44749.333333333008</v>
      </c>
      <c r="K140" s="44" t="b">
        <f t="shared" ca="1" si="19"/>
        <v>0</v>
      </c>
      <c r="L140" s="44">
        <f t="shared" si="15"/>
        <v>0</v>
      </c>
      <c r="M140" s="51" t="str">
        <f t="shared" ca="1" si="16"/>
        <v/>
      </c>
      <c r="N140" s="50">
        <f t="shared" si="17"/>
        <v>44749.333333333008</v>
      </c>
    </row>
    <row r="141" spans="4:14" ht="14.1" x14ac:dyDescent="0.7">
      <c r="D141" s="43" t="str">
        <f t="shared" si="18"/>
        <v/>
      </c>
      <c r="G141" s="43">
        <f t="shared" si="20"/>
        <v>44742.072916666337</v>
      </c>
      <c r="H141" s="44"/>
      <c r="J141" s="43">
        <f t="shared" si="21"/>
        <v>44749.374999999673</v>
      </c>
      <c r="K141" s="44" t="b">
        <f t="shared" ca="1" si="19"/>
        <v>0</v>
      </c>
      <c r="L141" s="44">
        <f t="shared" si="15"/>
        <v>0</v>
      </c>
      <c r="M141" s="51" t="str">
        <f t="shared" ca="1" si="16"/>
        <v/>
      </c>
      <c r="N141" s="50">
        <f t="shared" si="17"/>
        <v>44749.374999999673</v>
      </c>
    </row>
    <row r="142" spans="4:14" ht="14.1" x14ac:dyDescent="0.7">
      <c r="D142" s="43" t="str">
        <f t="shared" si="18"/>
        <v/>
      </c>
      <c r="G142" s="43">
        <f t="shared" si="20"/>
        <v>44742.083333333001</v>
      </c>
      <c r="H142" s="44"/>
      <c r="J142" s="43">
        <f t="shared" si="21"/>
        <v>44749.416666666337</v>
      </c>
      <c r="K142" s="44" t="b">
        <f t="shared" ca="1" si="19"/>
        <v>0</v>
      </c>
      <c r="L142" s="44">
        <f t="shared" si="15"/>
        <v>0</v>
      </c>
      <c r="M142" s="51" t="str">
        <f t="shared" ca="1" si="16"/>
        <v/>
      </c>
      <c r="N142" s="50">
        <f t="shared" si="17"/>
        <v>44749.416666666337</v>
      </c>
    </row>
    <row r="143" spans="4:14" ht="14.1" x14ac:dyDescent="0.7">
      <c r="D143" s="43" t="str">
        <f t="shared" si="18"/>
        <v/>
      </c>
      <c r="G143" s="43">
        <f t="shared" si="20"/>
        <v>44742.093749999665</v>
      </c>
      <c r="H143" s="44"/>
      <c r="J143" s="43">
        <f t="shared" si="21"/>
        <v>44749.458333333001</v>
      </c>
      <c r="K143" s="44" t="b">
        <f t="shared" ca="1" si="19"/>
        <v>0</v>
      </c>
      <c r="L143" s="44">
        <f t="shared" si="15"/>
        <v>0</v>
      </c>
      <c r="M143" s="51" t="str">
        <f t="shared" ca="1" si="16"/>
        <v/>
      </c>
      <c r="N143" s="50">
        <f t="shared" si="17"/>
        <v>44749.458333333001</v>
      </c>
    </row>
    <row r="144" spans="4:14" ht="14.1" x14ac:dyDescent="0.7">
      <c r="D144" s="43" t="str">
        <f t="shared" si="18"/>
        <v/>
      </c>
      <c r="G144" s="43">
        <f t="shared" si="20"/>
        <v>44742.10416666633</v>
      </c>
      <c r="H144" s="44"/>
      <c r="J144" s="43">
        <f t="shared" si="21"/>
        <v>44749.499999999665</v>
      </c>
      <c r="K144" s="44" t="b">
        <f t="shared" ca="1" si="19"/>
        <v>0</v>
      </c>
      <c r="L144" s="44">
        <f t="shared" si="15"/>
        <v>0</v>
      </c>
      <c r="M144" s="51" t="str">
        <f t="shared" ca="1" si="16"/>
        <v/>
      </c>
      <c r="N144" s="50">
        <f t="shared" si="17"/>
        <v>44749.499999999665</v>
      </c>
    </row>
    <row r="145" spans="4:14" ht="14.1" x14ac:dyDescent="0.7">
      <c r="D145" s="43" t="str">
        <f t="shared" si="18"/>
        <v/>
      </c>
      <c r="G145" s="43">
        <f t="shared" si="20"/>
        <v>44742.114583332994</v>
      </c>
      <c r="H145" s="44"/>
      <c r="J145" s="43">
        <f t="shared" si="21"/>
        <v>44749.54166666633</v>
      </c>
      <c r="K145" s="44" t="b">
        <f t="shared" ca="1" si="19"/>
        <v>0</v>
      </c>
      <c r="L145" s="44">
        <f t="shared" si="15"/>
        <v>0</v>
      </c>
      <c r="M145" s="51" t="str">
        <f t="shared" ca="1" si="16"/>
        <v/>
      </c>
      <c r="N145" s="50">
        <f t="shared" si="17"/>
        <v>44749.54166666633</v>
      </c>
    </row>
    <row r="146" spans="4:14" ht="14.1" x14ac:dyDescent="0.7">
      <c r="D146" s="43" t="str">
        <f t="shared" si="18"/>
        <v/>
      </c>
      <c r="G146" s="43">
        <f t="shared" si="20"/>
        <v>44742.124999999658</v>
      </c>
      <c r="H146" s="44"/>
      <c r="J146" s="43">
        <f t="shared" si="21"/>
        <v>44749.583333332994</v>
      </c>
      <c r="K146" s="44" t="b">
        <f t="shared" ca="1" si="19"/>
        <v>0</v>
      </c>
      <c r="L146" s="44">
        <f t="shared" si="15"/>
        <v>0</v>
      </c>
      <c r="M146" s="51" t="str">
        <f t="shared" ca="1" si="16"/>
        <v/>
      </c>
      <c r="N146" s="50">
        <f t="shared" si="17"/>
        <v>44749.583333332994</v>
      </c>
    </row>
    <row r="147" spans="4:14" ht="14.1" x14ac:dyDescent="0.7">
      <c r="D147" s="43" t="str">
        <f t="shared" si="18"/>
        <v/>
      </c>
      <c r="G147" s="43">
        <f t="shared" si="20"/>
        <v>44742.135416666322</v>
      </c>
      <c r="H147" s="44"/>
      <c r="J147" s="43">
        <f t="shared" si="21"/>
        <v>44749.624999999658</v>
      </c>
      <c r="K147" s="44" t="b">
        <f t="shared" ca="1" si="19"/>
        <v>0</v>
      </c>
      <c r="L147" s="44">
        <f t="shared" si="15"/>
        <v>0</v>
      </c>
      <c r="M147" s="51" t="str">
        <f t="shared" ca="1" si="16"/>
        <v/>
      </c>
      <c r="N147" s="50">
        <f t="shared" si="17"/>
        <v>44749.624999999658</v>
      </c>
    </row>
    <row r="148" spans="4:14" ht="14.1" x14ac:dyDescent="0.7">
      <c r="D148" s="43" t="str">
        <f t="shared" si="18"/>
        <v/>
      </c>
      <c r="G148" s="43">
        <f t="shared" si="20"/>
        <v>44742.145833332987</v>
      </c>
      <c r="H148" s="44"/>
      <c r="J148" s="43">
        <f t="shared" si="21"/>
        <v>44749.666666666322</v>
      </c>
      <c r="K148" s="44" t="b">
        <f t="shared" ca="1" si="19"/>
        <v>0</v>
      </c>
      <c r="L148" s="44">
        <f t="shared" si="15"/>
        <v>0</v>
      </c>
      <c r="M148" s="51" t="str">
        <f t="shared" ca="1" si="16"/>
        <v/>
      </c>
      <c r="N148" s="50">
        <f t="shared" si="17"/>
        <v>44749.666666666322</v>
      </c>
    </row>
    <row r="149" spans="4:14" ht="14.1" x14ac:dyDescent="0.7">
      <c r="D149" s="43" t="str">
        <f t="shared" si="18"/>
        <v/>
      </c>
      <c r="G149" s="43">
        <f t="shared" si="20"/>
        <v>44742.156249999651</v>
      </c>
      <c r="H149" s="44"/>
      <c r="J149" s="43">
        <f t="shared" si="21"/>
        <v>44749.708333332987</v>
      </c>
      <c r="K149" s="44" t="b">
        <f t="shared" ca="1" si="19"/>
        <v>0</v>
      </c>
      <c r="L149" s="44">
        <f t="shared" si="15"/>
        <v>0</v>
      </c>
      <c r="M149" s="51" t="str">
        <f t="shared" ca="1" si="16"/>
        <v/>
      </c>
      <c r="N149" s="50">
        <f t="shared" si="17"/>
        <v>44749.708333332987</v>
      </c>
    </row>
    <row r="150" spans="4:14" ht="14.1" x14ac:dyDescent="0.7">
      <c r="D150" s="43" t="str">
        <f t="shared" si="18"/>
        <v/>
      </c>
      <c r="G150" s="43">
        <f t="shared" si="20"/>
        <v>44742.166666666315</v>
      </c>
      <c r="H150" s="44"/>
      <c r="J150" s="43">
        <f t="shared" si="21"/>
        <v>44749.749999999651</v>
      </c>
      <c r="K150" s="44" t="b">
        <f t="shared" ca="1" si="19"/>
        <v>0</v>
      </c>
      <c r="L150" s="44">
        <f t="shared" si="15"/>
        <v>0</v>
      </c>
      <c r="M150" s="51" t="str">
        <f t="shared" ca="1" si="16"/>
        <v/>
      </c>
      <c r="N150" s="50">
        <f t="shared" si="17"/>
        <v>44749.749999999651</v>
      </c>
    </row>
    <row r="151" spans="4:14" ht="14.1" x14ac:dyDescent="0.7">
      <c r="D151" s="43" t="str">
        <f t="shared" si="18"/>
        <v/>
      </c>
      <c r="G151" s="43">
        <f t="shared" si="20"/>
        <v>44742.177083332979</v>
      </c>
      <c r="H151" s="44"/>
      <c r="J151" s="43">
        <f t="shared" si="21"/>
        <v>44749.791666666315</v>
      </c>
      <c r="K151" s="44" t="b">
        <f t="shared" ca="1" si="19"/>
        <v>0</v>
      </c>
      <c r="L151" s="44">
        <f t="shared" si="15"/>
        <v>0</v>
      </c>
      <c r="M151" s="51" t="str">
        <f t="shared" ca="1" si="16"/>
        <v/>
      </c>
      <c r="N151" s="50">
        <f t="shared" si="17"/>
        <v>44749.791666666315</v>
      </c>
    </row>
    <row r="152" spans="4:14" ht="14.1" x14ac:dyDescent="0.7">
      <c r="D152" s="43" t="str">
        <f t="shared" si="18"/>
        <v/>
      </c>
      <c r="G152" s="43">
        <f t="shared" si="20"/>
        <v>44742.187499999643</v>
      </c>
      <c r="H152" s="44"/>
      <c r="J152" s="43">
        <f t="shared" si="21"/>
        <v>44749.833333332979</v>
      </c>
      <c r="K152" s="44" t="b">
        <f t="shared" ca="1" si="19"/>
        <v>0</v>
      </c>
      <c r="L152" s="44">
        <f t="shared" si="15"/>
        <v>0</v>
      </c>
      <c r="M152" s="51" t="str">
        <f t="shared" ca="1" si="16"/>
        <v/>
      </c>
      <c r="N152" s="50">
        <f t="shared" si="17"/>
        <v>44749.833333332979</v>
      </c>
    </row>
    <row r="153" spans="4:14" ht="14.1" x14ac:dyDescent="0.7">
      <c r="D153" s="43" t="str">
        <f t="shared" si="18"/>
        <v/>
      </c>
      <c r="G153" s="43">
        <f t="shared" si="20"/>
        <v>44742.197916666308</v>
      </c>
      <c r="H153" s="44"/>
      <c r="J153" s="43">
        <f t="shared" si="21"/>
        <v>44749.874999999643</v>
      </c>
      <c r="K153" s="44" t="b">
        <f t="shared" ca="1" si="19"/>
        <v>0</v>
      </c>
      <c r="L153" s="44">
        <f t="shared" si="15"/>
        <v>0</v>
      </c>
      <c r="M153" s="51" t="str">
        <f t="shared" ca="1" si="16"/>
        <v/>
      </c>
      <c r="N153" s="50">
        <f t="shared" si="17"/>
        <v>44749.874999999643</v>
      </c>
    </row>
    <row r="154" spans="4:14" ht="14.1" x14ac:dyDescent="0.7">
      <c r="D154" s="43" t="str">
        <f t="shared" si="18"/>
        <v/>
      </c>
      <c r="G154" s="43">
        <f t="shared" si="20"/>
        <v>44742.208333332972</v>
      </c>
      <c r="H154" s="44"/>
      <c r="J154" s="43">
        <f t="shared" si="21"/>
        <v>44749.916666666308</v>
      </c>
      <c r="K154" s="44" t="b">
        <f t="shared" ca="1" si="19"/>
        <v>0</v>
      </c>
      <c r="L154" s="44">
        <f t="shared" si="15"/>
        <v>0</v>
      </c>
      <c r="M154" s="51" t="str">
        <f t="shared" ca="1" si="16"/>
        <v/>
      </c>
      <c r="N154" s="50">
        <f t="shared" si="17"/>
        <v>44749.916666666308</v>
      </c>
    </row>
    <row r="155" spans="4:14" ht="14.1" x14ac:dyDescent="0.7">
      <c r="D155" s="43" t="str">
        <f t="shared" si="18"/>
        <v/>
      </c>
      <c r="G155" s="43">
        <f t="shared" si="20"/>
        <v>44742.218749999636</v>
      </c>
      <c r="H155" s="44"/>
      <c r="J155" s="43">
        <f t="shared" si="21"/>
        <v>44749.958333332972</v>
      </c>
      <c r="K155" s="44" t="b">
        <f t="shared" ca="1" si="19"/>
        <v>0</v>
      </c>
      <c r="L155" s="44">
        <f t="shared" si="15"/>
        <v>0</v>
      </c>
      <c r="M155" s="51" t="str">
        <f t="shared" ca="1" si="16"/>
        <v/>
      </c>
      <c r="N155" s="50">
        <f t="shared" si="17"/>
        <v>44749.958333332972</v>
      </c>
    </row>
    <row r="156" spans="4:14" ht="14.1" x14ac:dyDescent="0.7">
      <c r="D156" s="43" t="str">
        <f t="shared" si="18"/>
        <v/>
      </c>
      <c r="G156" s="43">
        <f t="shared" si="20"/>
        <v>44742.2291666663</v>
      </c>
      <c r="H156" s="44"/>
      <c r="J156" s="43">
        <f t="shared" si="21"/>
        <v>44749.999999999636</v>
      </c>
      <c r="K156" s="44" t="b">
        <f t="shared" ca="1" si="19"/>
        <v>0</v>
      </c>
      <c r="L156" s="44">
        <f t="shared" si="15"/>
        <v>0</v>
      </c>
      <c r="M156" s="51" t="str">
        <f t="shared" ca="1" si="16"/>
        <v/>
      </c>
      <c r="N156" s="50">
        <f t="shared" si="17"/>
        <v>44749.999999999636</v>
      </c>
    </row>
    <row r="157" spans="4:14" ht="14.1" x14ac:dyDescent="0.7">
      <c r="D157" s="43" t="str">
        <f t="shared" si="18"/>
        <v/>
      </c>
      <c r="G157" s="43">
        <f t="shared" si="20"/>
        <v>44742.239583332965</v>
      </c>
      <c r="H157" s="44"/>
      <c r="J157" s="43">
        <f t="shared" si="21"/>
        <v>44750.0416666663</v>
      </c>
      <c r="K157" s="44" t="b">
        <f t="shared" ca="1" si="19"/>
        <v>0</v>
      </c>
      <c r="L157" s="44">
        <f t="shared" si="15"/>
        <v>0</v>
      </c>
      <c r="M157" s="51" t="str">
        <f t="shared" ca="1" si="16"/>
        <v/>
      </c>
      <c r="N157" s="50">
        <f t="shared" si="17"/>
        <v>44750.0416666663</v>
      </c>
    </row>
    <row r="158" spans="4:14" ht="14.1" x14ac:dyDescent="0.7">
      <c r="D158" s="43" t="str">
        <f t="shared" si="18"/>
        <v/>
      </c>
      <c r="G158" s="43">
        <f t="shared" si="20"/>
        <v>44742.249999999629</v>
      </c>
      <c r="H158" s="44"/>
      <c r="J158" s="43">
        <f t="shared" si="21"/>
        <v>44750.083333332965</v>
      </c>
      <c r="K158" s="44" t="b">
        <f t="shared" ca="1" si="19"/>
        <v>0</v>
      </c>
      <c r="L158" s="44">
        <f t="shared" si="15"/>
        <v>0</v>
      </c>
      <c r="M158" s="51" t="str">
        <f t="shared" ca="1" si="16"/>
        <v/>
      </c>
      <c r="N158" s="50">
        <f t="shared" si="17"/>
        <v>44750.083333332965</v>
      </c>
    </row>
    <row r="159" spans="4:14" ht="14.1" x14ac:dyDescent="0.7">
      <c r="D159" s="43" t="str">
        <f t="shared" si="18"/>
        <v/>
      </c>
      <c r="G159" s="43">
        <f t="shared" si="20"/>
        <v>44742.260416666293</v>
      </c>
      <c r="H159" s="44"/>
      <c r="J159" s="43">
        <f t="shared" si="21"/>
        <v>44750.124999999629</v>
      </c>
      <c r="K159" s="44" t="b">
        <f t="shared" ca="1" si="19"/>
        <v>0</v>
      </c>
      <c r="L159" s="44">
        <f t="shared" si="15"/>
        <v>0</v>
      </c>
      <c r="M159" s="51" t="str">
        <f t="shared" ca="1" si="16"/>
        <v/>
      </c>
      <c r="N159" s="50">
        <f t="shared" si="17"/>
        <v>44750.124999999629</v>
      </c>
    </row>
    <row r="160" spans="4:14" ht="14.1" x14ac:dyDescent="0.7">
      <c r="D160" s="43" t="str">
        <f t="shared" si="18"/>
        <v/>
      </c>
      <c r="G160" s="43">
        <f t="shared" si="20"/>
        <v>44742.270833332957</v>
      </c>
      <c r="H160" s="44"/>
      <c r="J160" s="43">
        <f t="shared" si="21"/>
        <v>44750.166666666293</v>
      </c>
      <c r="K160" s="44" t="b">
        <f t="shared" ca="1" si="19"/>
        <v>0</v>
      </c>
      <c r="L160" s="44">
        <f t="shared" si="15"/>
        <v>0</v>
      </c>
      <c r="M160" s="51" t="str">
        <f t="shared" ca="1" si="16"/>
        <v/>
      </c>
      <c r="N160" s="50">
        <f t="shared" si="17"/>
        <v>44750.166666666293</v>
      </c>
    </row>
    <row r="161" spans="4:14" ht="14.1" x14ac:dyDescent="0.7">
      <c r="D161" s="43" t="str">
        <f t="shared" si="18"/>
        <v/>
      </c>
      <c r="G161" s="43">
        <f t="shared" si="20"/>
        <v>44742.281249999622</v>
      </c>
      <c r="H161" s="44"/>
      <c r="J161" s="43">
        <f t="shared" si="21"/>
        <v>44750.208333332957</v>
      </c>
      <c r="K161" s="44" t="b">
        <f t="shared" ca="1" si="19"/>
        <v>0</v>
      </c>
      <c r="L161" s="44">
        <f t="shared" ref="L161:L224" si="22">COUNTIFS($D$6:$D$251,"&gt;="&amp;J161,$D$6:$D$251,"&lt;"&amp;J162)</f>
        <v>0</v>
      </c>
      <c r="M161" s="51" t="str">
        <f t="shared" ref="M161:M224" ca="1" si="23">IF(K161,L161/60,"")</f>
        <v/>
      </c>
      <c r="N161" s="50">
        <f t="shared" ref="N161:N224" si="24">J161</f>
        <v>44750.208333332957</v>
      </c>
    </row>
    <row r="162" spans="4:14" ht="14.1" x14ac:dyDescent="0.7">
      <c r="D162" s="43" t="str">
        <f t="shared" si="18"/>
        <v/>
      </c>
      <c r="G162" s="43">
        <f t="shared" si="20"/>
        <v>44742.291666666286</v>
      </c>
      <c r="H162" s="44"/>
      <c r="J162" s="43">
        <f t="shared" si="21"/>
        <v>44750.249999999622</v>
      </c>
      <c r="K162" s="44" t="b">
        <f t="shared" ca="1" si="19"/>
        <v>0</v>
      </c>
      <c r="L162" s="44">
        <f t="shared" si="22"/>
        <v>0</v>
      </c>
      <c r="M162" s="51" t="str">
        <f t="shared" ca="1" si="23"/>
        <v/>
      </c>
      <c r="N162" s="50">
        <f t="shared" si="24"/>
        <v>44750.249999999622</v>
      </c>
    </row>
    <row r="163" spans="4:14" ht="14.1" x14ac:dyDescent="0.7">
      <c r="D163" s="43" t="str">
        <f t="shared" si="18"/>
        <v/>
      </c>
      <c r="G163" s="43">
        <f t="shared" si="20"/>
        <v>44742.30208333295</v>
      </c>
      <c r="H163" s="44"/>
      <c r="J163" s="43">
        <f t="shared" si="21"/>
        <v>44750.291666666286</v>
      </c>
      <c r="K163" s="44" t="b">
        <f t="shared" ca="1" si="19"/>
        <v>0</v>
      </c>
      <c r="L163" s="44">
        <f t="shared" si="22"/>
        <v>0</v>
      </c>
      <c r="M163" s="51" t="str">
        <f t="shared" ca="1" si="23"/>
        <v/>
      </c>
      <c r="N163" s="50">
        <f t="shared" si="24"/>
        <v>44750.291666666286</v>
      </c>
    </row>
    <row r="164" spans="4:14" ht="14.1" x14ac:dyDescent="0.7">
      <c r="D164" s="43" t="str">
        <f t="shared" si="18"/>
        <v/>
      </c>
      <c r="G164" s="43">
        <f t="shared" si="20"/>
        <v>44742.312499999614</v>
      </c>
      <c r="H164" s="44"/>
      <c r="J164" s="43">
        <f t="shared" si="21"/>
        <v>44750.33333333295</v>
      </c>
      <c r="K164" s="44" t="b">
        <f t="shared" ca="1" si="19"/>
        <v>0</v>
      </c>
      <c r="L164" s="44">
        <f t="shared" si="22"/>
        <v>0</v>
      </c>
      <c r="M164" s="51" t="str">
        <f t="shared" ca="1" si="23"/>
        <v/>
      </c>
      <c r="N164" s="50">
        <f t="shared" si="24"/>
        <v>44750.33333333295</v>
      </c>
    </row>
    <row r="165" spans="4:14" ht="14.1" x14ac:dyDescent="0.7">
      <c r="D165" s="43" t="str">
        <f t="shared" si="18"/>
        <v/>
      </c>
      <c r="G165" s="43">
        <f t="shared" si="20"/>
        <v>44742.322916666279</v>
      </c>
      <c r="H165" s="44"/>
      <c r="J165" s="43">
        <f t="shared" si="21"/>
        <v>44750.374999999614</v>
      </c>
      <c r="K165" s="44" t="b">
        <f t="shared" ca="1" si="19"/>
        <v>0</v>
      </c>
      <c r="L165" s="44">
        <f t="shared" si="22"/>
        <v>0</v>
      </c>
      <c r="M165" s="51" t="str">
        <f t="shared" ca="1" si="23"/>
        <v/>
      </c>
      <c r="N165" s="50">
        <f t="shared" si="24"/>
        <v>44750.374999999614</v>
      </c>
    </row>
    <row r="166" spans="4:14" ht="14.1" x14ac:dyDescent="0.7">
      <c r="D166" s="43" t="str">
        <f t="shared" si="18"/>
        <v/>
      </c>
      <c r="G166" s="43">
        <f t="shared" si="20"/>
        <v>44742.333333332943</v>
      </c>
      <c r="H166" s="44"/>
      <c r="J166" s="43">
        <f t="shared" si="21"/>
        <v>44750.416666666279</v>
      </c>
      <c r="K166" s="44" t="b">
        <f t="shared" ca="1" si="19"/>
        <v>0</v>
      </c>
      <c r="L166" s="44">
        <f t="shared" si="22"/>
        <v>0</v>
      </c>
      <c r="M166" s="51" t="str">
        <f t="shared" ca="1" si="23"/>
        <v/>
      </c>
      <c r="N166" s="50">
        <f t="shared" si="24"/>
        <v>44750.416666666279</v>
      </c>
    </row>
    <row r="167" spans="4:14" ht="14.1" x14ac:dyDescent="0.7">
      <c r="D167" s="43" t="str">
        <f t="shared" si="18"/>
        <v/>
      </c>
      <c r="G167" s="43">
        <f t="shared" si="20"/>
        <v>44742.343749999607</v>
      </c>
      <c r="H167" s="44"/>
      <c r="J167" s="43">
        <f t="shared" si="21"/>
        <v>44750.458333332943</v>
      </c>
      <c r="K167" s="44" t="b">
        <f t="shared" ca="1" si="19"/>
        <v>0</v>
      </c>
      <c r="L167" s="44">
        <f t="shared" si="22"/>
        <v>0</v>
      </c>
      <c r="M167" s="51" t="str">
        <f t="shared" ca="1" si="23"/>
        <v/>
      </c>
      <c r="N167" s="50">
        <f t="shared" si="24"/>
        <v>44750.458333332943</v>
      </c>
    </row>
    <row r="168" spans="4:14" ht="14.1" x14ac:dyDescent="0.7">
      <c r="D168" s="43" t="str">
        <f t="shared" si="18"/>
        <v/>
      </c>
      <c r="G168" s="43">
        <f t="shared" si="20"/>
        <v>44742.354166666271</v>
      </c>
      <c r="H168" s="44"/>
      <c r="J168" s="43">
        <f t="shared" si="21"/>
        <v>44750.499999999607</v>
      </c>
      <c r="K168" s="44" t="b">
        <f t="shared" ca="1" si="19"/>
        <v>0</v>
      </c>
      <c r="L168" s="44">
        <f t="shared" si="22"/>
        <v>0</v>
      </c>
      <c r="M168" s="51" t="str">
        <f t="shared" ca="1" si="23"/>
        <v/>
      </c>
      <c r="N168" s="50">
        <f t="shared" si="24"/>
        <v>44750.499999999607</v>
      </c>
    </row>
    <row r="169" spans="4:14" ht="14.1" x14ac:dyDescent="0.7">
      <c r="D169" s="43" t="str">
        <f t="shared" si="18"/>
        <v/>
      </c>
      <c r="G169" s="43">
        <f t="shared" si="20"/>
        <v>44742.364583332936</v>
      </c>
      <c r="H169" s="44"/>
      <c r="J169" s="43">
        <f t="shared" si="21"/>
        <v>44750.541666666271</v>
      </c>
      <c r="K169" s="44" t="b">
        <f t="shared" ca="1" si="19"/>
        <v>0</v>
      </c>
      <c r="L169" s="44">
        <f t="shared" si="22"/>
        <v>0</v>
      </c>
      <c r="M169" s="51" t="str">
        <f t="shared" ca="1" si="23"/>
        <v/>
      </c>
      <c r="N169" s="50">
        <f t="shared" si="24"/>
        <v>44750.541666666271</v>
      </c>
    </row>
    <row r="170" spans="4:14" ht="14.1" x14ac:dyDescent="0.7">
      <c r="D170" s="43" t="str">
        <f t="shared" si="18"/>
        <v/>
      </c>
      <c r="G170" s="43">
        <f t="shared" si="20"/>
        <v>44742.3749999996</v>
      </c>
      <c r="H170" s="44"/>
      <c r="J170" s="43">
        <f t="shared" si="21"/>
        <v>44750.583333332936</v>
      </c>
      <c r="K170" s="44" t="b">
        <f t="shared" ca="1" si="19"/>
        <v>0</v>
      </c>
      <c r="L170" s="44">
        <f t="shared" si="22"/>
        <v>0</v>
      </c>
      <c r="M170" s="51" t="str">
        <f t="shared" ca="1" si="23"/>
        <v/>
      </c>
      <c r="N170" s="50">
        <f t="shared" si="24"/>
        <v>44750.583333332936</v>
      </c>
    </row>
    <row r="171" spans="4:14" ht="14.1" x14ac:dyDescent="0.7">
      <c r="D171" s="43" t="str">
        <f t="shared" si="18"/>
        <v/>
      </c>
      <c r="G171" s="43">
        <f t="shared" si="20"/>
        <v>44742.385416666264</v>
      </c>
      <c r="H171" s="44"/>
      <c r="J171" s="43">
        <f t="shared" si="21"/>
        <v>44750.6249999996</v>
      </c>
      <c r="K171" s="44" t="b">
        <f t="shared" ca="1" si="19"/>
        <v>0</v>
      </c>
      <c r="L171" s="44">
        <f t="shared" si="22"/>
        <v>0</v>
      </c>
      <c r="M171" s="51" t="str">
        <f t="shared" ca="1" si="23"/>
        <v/>
      </c>
      <c r="N171" s="50">
        <f t="shared" si="24"/>
        <v>44750.6249999996</v>
      </c>
    </row>
    <row r="172" spans="4:14" ht="14.1" x14ac:dyDescent="0.7">
      <c r="D172" s="43" t="str">
        <f t="shared" si="18"/>
        <v/>
      </c>
      <c r="G172" s="43">
        <f t="shared" si="20"/>
        <v>44742.395833332928</v>
      </c>
      <c r="H172" s="44"/>
      <c r="J172" s="43">
        <f t="shared" si="21"/>
        <v>44750.666666666264</v>
      </c>
      <c r="K172" s="44" t="b">
        <f t="shared" ca="1" si="19"/>
        <v>0</v>
      </c>
      <c r="L172" s="44">
        <f t="shared" si="22"/>
        <v>0</v>
      </c>
      <c r="M172" s="51" t="str">
        <f t="shared" ca="1" si="23"/>
        <v/>
      </c>
      <c r="N172" s="50">
        <f t="shared" si="24"/>
        <v>44750.666666666264</v>
      </c>
    </row>
    <row r="173" spans="4:14" ht="14.1" x14ac:dyDescent="0.7">
      <c r="D173" s="43" t="str">
        <f t="shared" si="18"/>
        <v/>
      </c>
      <c r="G173" s="43">
        <f t="shared" si="20"/>
        <v>44742.406249999593</v>
      </c>
      <c r="H173" s="44"/>
      <c r="J173" s="43">
        <f t="shared" si="21"/>
        <v>44750.708333332928</v>
      </c>
      <c r="K173" s="44" t="b">
        <f t="shared" ca="1" si="19"/>
        <v>0</v>
      </c>
      <c r="L173" s="44">
        <f t="shared" si="22"/>
        <v>0</v>
      </c>
      <c r="M173" s="51" t="str">
        <f t="shared" ca="1" si="23"/>
        <v/>
      </c>
      <c r="N173" s="50">
        <f t="shared" si="24"/>
        <v>44750.708333332928</v>
      </c>
    </row>
    <row r="174" spans="4:14" ht="14.1" x14ac:dyDescent="0.7">
      <c r="D174" s="43" t="str">
        <f t="shared" si="18"/>
        <v/>
      </c>
      <c r="G174" s="43">
        <f t="shared" si="20"/>
        <v>44742.416666666257</v>
      </c>
      <c r="H174" s="44"/>
      <c r="J174" s="43">
        <f t="shared" si="21"/>
        <v>44750.749999999593</v>
      </c>
      <c r="K174" s="44" t="b">
        <f t="shared" ca="1" si="19"/>
        <v>0</v>
      </c>
      <c r="L174" s="44">
        <f t="shared" si="22"/>
        <v>0</v>
      </c>
      <c r="M174" s="51" t="str">
        <f t="shared" ca="1" si="23"/>
        <v/>
      </c>
      <c r="N174" s="50">
        <f t="shared" si="24"/>
        <v>44750.749999999593</v>
      </c>
    </row>
    <row r="175" spans="4:14" ht="14.1" x14ac:dyDescent="0.7">
      <c r="D175" s="43" t="str">
        <f t="shared" si="18"/>
        <v/>
      </c>
      <c r="G175" s="43">
        <f t="shared" si="20"/>
        <v>44742.427083332921</v>
      </c>
      <c r="H175" s="44"/>
      <c r="J175" s="43">
        <f t="shared" si="21"/>
        <v>44750.791666666257</v>
      </c>
      <c r="K175" s="44" t="b">
        <f t="shared" ca="1" si="19"/>
        <v>0</v>
      </c>
      <c r="L175" s="44">
        <f t="shared" si="22"/>
        <v>0</v>
      </c>
      <c r="M175" s="51" t="str">
        <f t="shared" ca="1" si="23"/>
        <v/>
      </c>
      <c r="N175" s="50">
        <f t="shared" si="24"/>
        <v>44750.791666666257</v>
      </c>
    </row>
    <row r="176" spans="4:14" ht="14.1" x14ac:dyDescent="0.7">
      <c r="D176" s="43" t="str">
        <f t="shared" si="18"/>
        <v/>
      </c>
      <c r="G176" s="43">
        <f t="shared" si="20"/>
        <v>44742.437499999585</v>
      </c>
      <c r="H176" s="44"/>
      <c r="J176" s="43">
        <f t="shared" si="21"/>
        <v>44750.833333332921</v>
      </c>
      <c r="K176" s="44" t="b">
        <f t="shared" ca="1" si="19"/>
        <v>0</v>
      </c>
      <c r="L176" s="44">
        <f t="shared" si="22"/>
        <v>0</v>
      </c>
      <c r="M176" s="51" t="str">
        <f t="shared" ca="1" si="23"/>
        <v/>
      </c>
      <c r="N176" s="50">
        <f t="shared" si="24"/>
        <v>44750.833333332921</v>
      </c>
    </row>
    <row r="177" spans="4:14" ht="14.1" x14ac:dyDescent="0.7">
      <c r="D177" s="43" t="str">
        <f t="shared" si="18"/>
        <v/>
      </c>
      <c r="G177" s="43">
        <f t="shared" si="20"/>
        <v>44742.44791666625</v>
      </c>
      <c r="H177" s="44"/>
      <c r="J177" s="43">
        <f t="shared" si="21"/>
        <v>44750.874999999585</v>
      </c>
      <c r="K177" s="44" t="b">
        <f t="shared" ca="1" si="19"/>
        <v>0</v>
      </c>
      <c r="L177" s="44">
        <f t="shared" si="22"/>
        <v>0</v>
      </c>
      <c r="M177" s="51" t="str">
        <f t="shared" ca="1" si="23"/>
        <v/>
      </c>
      <c r="N177" s="50">
        <f t="shared" si="24"/>
        <v>44750.874999999585</v>
      </c>
    </row>
    <row r="178" spans="4:14" ht="14.1" x14ac:dyDescent="0.7">
      <c r="D178" s="43" t="str">
        <f t="shared" si="18"/>
        <v/>
      </c>
      <c r="G178" s="43">
        <f t="shared" si="20"/>
        <v>44742.458333332914</v>
      </c>
      <c r="H178" s="44"/>
      <c r="J178" s="43">
        <f t="shared" si="21"/>
        <v>44750.91666666625</v>
      </c>
      <c r="K178" s="44" t="b">
        <f t="shared" ca="1" si="19"/>
        <v>0</v>
      </c>
      <c r="L178" s="44">
        <f t="shared" si="22"/>
        <v>0</v>
      </c>
      <c r="M178" s="51" t="str">
        <f t="shared" ca="1" si="23"/>
        <v/>
      </c>
      <c r="N178" s="50">
        <f t="shared" si="24"/>
        <v>44750.91666666625</v>
      </c>
    </row>
    <row r="179" spans="4:14" ht="14.1" x14ac:dyDescent="0.7">
      <c r="D179" s="43" t="str">
        <f t="shared" si="18"/>
        <v/>
      </c>
      <c r="G179" s="43">
        <f t="shared" si="20"/>
        <v>44742.468749999578</v>
      </c>
      <c r="H179" s="44"/>
      <c r="J179" s="43">
        <f t="shared" si="21"/>
        <v>44750.958333332914</v>
      </c>
      <c r="K179" s="44" t="b">
        <f t="shared" ca="1" si="19"/>
        <v>0</v>
      </c>
      <c r="L179" s="44">
        <f t="shared" si="22"/>
        <v>0</v>
      </c>
      <c r="M179" s="51" t="str">
        <f t="shared" ca="1" si="23"/>
        <v/>
      </c>
      <c r="N179" s="50">
        <f t="shared" si="24"/>
        <v>44750.958333332914</v>
      </c>
    </row>
    <row r="180" spans="4:14" ht="14.1" x14ac:dyDescent="0.7">
      <c r="D180" s="43" t="str">
        <f t="shared" si="18"/>
        <v/>
      </c>
      <c r="G180" s="43">
        <f t="shared" si="20"/>
        <v>44742.479166666242</v>
      </c>
      <c r="H180" s="44"/>
      <c r="J180" s="43">
        <f t="shared" si="21"/>
        <v>44750.999999999578</v>
      </c>
      <c r="K180" s="44" t="b">
        <f t="shared" ca="1" si="19"/>
        <v>0</v>
      </c>
      <c r="L180" s="44">
        <f t="shared" si="22"/>
        <v>0</v>
      </c>
      <c r="M180" s="51" t="str">
        <f t="shared" ca="1" si="23"/>
        <v/>
      </c>
      <c r="N180" s="50">
        <f t="shared" si="24"/>
        <v>44750.999999999578</v>
      </c>
    </row>
    <row r="181" spans="4:14" ht="14.1" x14ac:dyDescent="0.7">
      <c r="D181" s="43" t="str">
        <f t="shared" si="18"/>
        <v/>
      </c>
      <c r="G181" s="43">
        <f t="shared" si="20"/>
        <v>44742.489583332906</v>
      </c>
      <c r="H181" s="44"/>
      <c r="J181" s="43">
        <f t="shared" si="21"/>
        <v>44751.041666666242</v>
      </c>
      <c r="K181" s="44" t="b">
        <f t="shared" ca="1" si="19"/>
        <v>0</v>
      </c>
      <c r="L181" s="44">
        <f t="shared" si="22"/>
        <v>0</v>
      </c>
      <c r="M181" s="51" t="str">
        <f t="shared" ca="1" si="23"/>
        <v/>
      </c>
      <c r="N181" s="50">
        <f t="shared" si="24"/>
        <v>44751.041666666242</v>
      </c>
    </row>
    <row r="182" spans="4:14" ht="14.1" x14ac:dyDescent="0.7">
      <c r="D182" s="43" t="str">
        <f t="shared" si="18"/>
        <v/>
      </c>
      <c r="G182" s="43">
        <f t="shared" si="20"/>
        <v>44742.499999999571</v>
      </c>
      <c r="H182" s="44"/>
      <c r="J182" s="43">
        <f t="shared" si="21"/>
        <v>44751.083333332906</v>
      </c>
      <c r="K182" s="44" t="b">
        <f t="shared" ca="1" si="19"/>
        <v>0</v>
      </c>
      <c r="L182" s="44">
        <f t="shared" si="22"/>
        <v>0</v>
      </c>
      <c r="M182" s="51" t="str">
        <f t="shared" ca="1" si="23"/>
        <v/>
      </c>
      <c r="N182" s="50">
        <f t="shared" si="24"/>
        <v>44751.083333332906</v>
      </c>
    </row>
    <row r="183" spans="4:14" ht="14.1" x14ac:dyDescent="0.7">
      <c r="D183" s="43" t="str">
        <f t="shared" si="18"/>
        <v/>
      </c>
      <c r="G183" s="43">
        <f t="shared" si="20"/>
        <v>44742.510416666235</v>
      </c>
      <c r="H183" s="44"/>
      <c r="J183" s="43">
        <f t="shared" si="21"/>
        <v>44751.124999999571</v>
      </c>
      <c r="K183" s="44" t="b">
        <f t="shared" ca="1" si="19"/>
        <v>0</v>
      </c>
      <c r="L183" s="44">
        <f t="shared" si="22"/>
        <v>0</v>
      </c>
      <c r="M183" s="51" t="str">
        <f t="shared" ca="1" si="23"/>
        <v/>
      </c>
      <c r="N183" s="50">
        <f t="shared" si="24"/>
        <v>44751.124999999571</v>
      </c>
    </row>
    <row r="184" spans="4:14" ht="14.1" x14ac:dyDescent="0.7">
      <c r="D184" s="43" t="str">
        <f t="shared" si="18"/>
        <v/>
      </c>
      <c r="G184" s="43">
        <f t="shared" si="20"/>
        <v>44742.520833332899</v>
      </c>
      <c r="H184" s="44"/>
      <c r="J184" s="43">
        <f t="shared" si="21"/>
        <v>44751.166666666235</v>
      </c>
      <c r="K184" s="44" t="b">
        <f t="shared" ca="1" si="19"/>
        <v>0</v>
      </c>
      <c r="L184" s="44">
        <f t="shared" si="22"/>
        <v>0</v>
      </c>
      <c r="M184" s="51" t="str">
        <f t="shared" ca="1" si="23"/>
        <v/>
      </c>
      <c r="N184" s="50">
        <f t="shared" si="24"/>
        <v>44751.166666666235</v>
      </c>
    </row>
    <row r="185" spans="4:14" ht="14.1" x14ac:dyDescent="0.7">
      <c r="D185" s="43" t="str">
        <f t="shared" si="18"/>
        <v/>
      </c>
      <c r="G185" s="43">
        <f t="shared" si="20"/>
        <v>44742.531249999563</v>
      </c>
      <c r="H185" s="44"/>
      <c r="J185" s="43">
        <f t="shared" si="21"/>
        <v>44751.208333332899</v>
      </c>
      <c r="K185" s="44" t="b">
        <f t="shared" ca="1" si="19"/>
        <v>0</v>
      </c>
      <c r="L185" s="44">
        <f t="shared" si="22"/>
        <v>0</v>
      </c>
      <c r="M185" s="51" t="str">
        <f t="shared" ca="1" si="23"/>
        <v/>
      </c>
      <c r="N185" s="50">
        <f t="shared" si="24"/>
        <v>44751.208333332899</v>
      </c>
    </row>
    <row r="186" spans="4:14" ht="14.1" x14ac:dyDescent="0.7">
      <c r="D186" s="43" t="str">
        <f t="shared" si="18"/>
        <v/>
      </c>
      <c r="G186" s="43">
        <f t="shared" si="20"/>
        <v>44742.541666666228</v>
      </c>
      <c r="H186" s="44"/>
      <c r="J186" s="43">
        <f t="shared" si="21"/>
        <v>44751.249999999563</v>
      </c>
      <c r="K186" s="44" t="b">
        <f t="shared" ca="1" si="19"/>
        <v>0</v>
      </c>
      <c r="L186" s="44">
        <f t="shared" si="22"/>
        <v>0</v>
      </c>
      <c r="M186" s="51" t="str">
        <f t="shared" ca="1" si="23"/>
        <v/>
      </c>
      <c r="N186" s="50">
        <f t="shared" si="24"/>
        <v>44751.249999999563</v>
      </c>
    </row>
    <row r="187" spans="4:14" ht="14.1" x14ac:dyDescent="0.7">
      <c r="D187" s="43" t="str">
        <f t="shared" si="18"/>
        <v/>
      </c>
      <c r="G187" s="43">
        <f t="shared" si="20"/>
        <v>44742.552083332892</v>
      </c>
      <c r="H187" s="44"/>
      <c r="J187" s="43">
        <f t="shared" si="21"/>
        <v>44751.291666666228</v>
      </c>
      <c r="K187" s="44" t="b">
        <f t="shared" ca="1" si="19"/>
        <v>0</v>
      </c>
      <c r="L187" s="44">
        <f t="shared" si="22"/>
        <v>0</v>
      </c>
      <c r="M187" s="51" t="str">
        <f t="shared" ca="1" si="23"/>
        <v/>
      </c>
      <c r="N187" s="50">
        <f t="shared" si="24"/>
        <v>44751.291666666228</v>
      </c>
    </row>
    <row r="188" spans="4:14" ht="14.1" x14ac:dyDescent="0.7">
      <c r="D188" s="43" t="str">
        <f t="shared" si="18"/>
        <v/>
      </c>
      <c r="G188" s="43">
        <f t="shared" si="20"/>
        <v>44742.562499999556</v>
      </c>
      <c r="H188" s="44"/>
      <c r="J188" s="43">
        <f t="shared" si="21"/>
        <v>44751.333333332892</v>
      </c>
      <c r="K188" s="44" t="b">
        <f t="shared" ca="1" si="19"/>
        <v>0</v>
      </c>
      <c r="L188" s="44">
        <f t="shared" si="22"/>
        <v>0</v>
      </c>
      <c r="M188" s="51" t="str">
        <f t="shared" ca="1" si="23"/>
        <v/>
      </c>
      <c r="N188" s="50">
        <f t="shared" si="24"/>
        <v>44751.333333332892</v>
      </c>
    </row>
    <row r="189" spans="4:14" ht="14.1" x14ac:dyDescent="0.7">
      <c r="D189" s="43" t="str">
        <f t="shared" si="18"/>
        <v/>
      </c>
      <c r="G189" s="43">
        <f t="shared" si="20"/>
        <v>44742.57291666622</v>
      </c>
      <c r="H189" s="44"/>
      <c r="J189" s="43">
        <f t="shared" si="21"/>
        <v>44751.374999999556</v>
      </c>
      <c r="K189" s="44" t="b">
        <f t="shared" ca="1" si="19"/>
        <v>0</v>
      </c>
      <c r="L189" s="44">
        <f t="shared" si="22"/>
        <v>0</v>
      </c>
      <c r="M189" s="51" t="str">
        <f t="shared" ca="1" si="23"/>
        <v/>
      </c>
      <c r="N189" s="50">
        <f t="shared" si="24"/>
        <v>44751.374999999556</v>
      </c>
    </row>
    <row r="190" spans="4:14" ht="14.1" x14ac:dyDescent="0.7">
      <c r="D190" s="43" t="str">
        <f t="shared" si="18"/>
        <v/>
      </c>
      <c r="G190" s="43">
        <f t="shared" si="20"/>
        <v>44742.583333332885</v>
      </c>
      <c r="H190" s="44"/>
      <c r="J190" s="43">
        <f t="shared" si="21"/>
        <v>44751.41666666622</v>
      </c>
      <c r="K190" s="44" t="b">
        <f t="shared" ca="1" si="19"/>
        <v>0</v>
      </c>
      <c r="L190" s="44">
        <f t="shared" si="22"/>
        <v>0</v>
      </c>
      <c r="M190" s="51" t="str">
        <f t="shared" ca="1" si="23"/>
        <v/>
      </c>
      <c r="N190" s="50">
        <f t="shared" si="24"/>
        <v>44751.41666666622</v>
      </c>
    </row>
    <row r="191" spans="4:14" ht="14.1" x14ac:dyDescent="0.7">
      <c r="D191" s="43" t="str">
        <f t="shared" si="18"/>
        <v/>
      </c>
      <c r="G191" s="43">
        <f t="shared" si="20"/>
        <v>44742.593749999549</v>
      </c>
      <c r="H191" s="44"/>
      <c r="J191" s="43">
        <f t="shared" si="21"/>
        <v>44751.458333332885</v>
      </c>
      <c r="K191" s="44" t="b">
        <f t="shared" ca="1" si="19"/>
        <v>0</v>
      </c>
      <c r="L191" s="44">
        <f t="shared" si="22"/>
        <v>0</v>
      </c>
      <c r="M191" s="51" t="str">
        <f t="shared" ca="1" si="23"/>
        <v/>
      </c>
      <c r="N191" s="50">
        <f t="shared" si="24"/>
        <v>44751.458333332885</v>
      </c>
    </row>
    <row r="192" spans="4:14" ht="14.1" x14ac:dyDescent="0.7">
      <c r="D192" s="43" t="str">
        <f t="shared" si="18"/>
        <v/>
      </c>
      <c r="G192" s="43">
        <f t="shared" si="20"/>
        <v>44742.604166666213</v>
      </c>
      <c r="H192" s="44"/>
      <c r="J192" s="43">
        <f t="shared" si="21"/>
        <v>44751.499999999549</v>
      </c>
      <c r="K192" s="44" t="b">
        <f t="shared" ca="1" si="19"/>
        <v>0</v>
      </c>
      <c r="L192" s="44">
        <f t="shared" si="22"/>
        <v>0</v>
      </c>
      <c r="M192" s="51" t="str">
        <f t="shared" ca="1" si="23"/>
        <v/>
      </c>
      <c r="N192" s="50">
        <f t="shared" si="24"/>
        <v>44751.499999999549</v>
      </c>
    </row>
    <row r="193" spans="4:14" ht="14.1" x14ac:dyDescent="0.7">
      <c r="D193" s="43" t="str">
        <f t="shared" si="18"/>
        <v/>
      </c>
      <c r="G193" s="43">
        <f t="shared" si="20"/>
        <v>44742.614583332877</v>
      </c>
      <c r="H193" s="44"/>
      <c r="J193" s="43">
        <f t="shared" si="21"/>
        <v>44751.541666666213</v>
      </c>
      <c r="K193" s="44" t="b">
        <f t="shared" ca="1" si="19"/>
        <v>0</v>
      </c>
      <c r="L193" s="44">
        <f t="shared" si="22"/>
        <v>0</v>
      </c>
      <c r="M193" s="51" t="str">
        <f t="shared" ca="1" si="23"/>
        <v/>
      </c>
      <c r="N193" s="50">
        <f t="shared" si="24"/>
        <v>44751.541666666213</v>
      </c>
    </row>
    <row r="194" spans="4:14" ht="14.1" x14ac:dyDescent="0.7">
      <c r="D194" s="43" t="str">
        <f t="shared" si="18"/>
        <v/>
      </c>
      <c r="G194" s="43">
        <f t="shared" si="20"/>
        <v>44742.624999999542</v>
      </c>
      <c r="H194" s="44"/>
      <c r="J194" s="43">
        <f t="shared" si="21"/>
        <v>44751.583333332877</v>
      </c>
      <c r="K194" s="44" t="b">
        <f t="shared" ca="1" si="19"/>
        <v>0</v>
      </c>
      <c r="L194" s="44">
        <f t="shared" si="22"/>
        <v>0</v>
      </c>
      <c r="M194" s="51" t="str">
        <f t="shared" ca="1" si="23"/>
        <v/>
      </c>
      <c r="N194" s="50">
        <f t="shared" si="24"/>
        <v>44751.583333332877</v>
      </c>
    </row>
    <row r="195" spans="4:14" ht="14.1" x14ac:dyDescent="0.7">
      <c r="D195" s="43" t="str">
        <f t="shared" si="18"/>
        <v/>
      </c>
      <c r="G195" s="43">
        <f t="shared" si="20"/>
        <v>44742.635416666206</v>
      </c>
      <c r="H195" s="44"/>
      <c r="J195" s="43">
        <f t="shared" si="21"/>
        <v>44751.624999999542</v>
      </c>
      <c r="K195" s="44" t="b">
        <f t="shared" ca="1" si="19"/>
        <v>0</v>
      </c>
      <c r="L195" s="44">
        <f t="shared" si="22"/>
        <v>0</v>
      </c>
      <c r="M195" s="51" t="str">
        <f t="shared" ca="1" si="23"/>
        <v/>
      </c>
      <c r="N195" s="50">
        <f t="shared" si="24"/>
        <v>44751.624999999542</v>
      </c>
    </row>
    <row r="196" spans="4:14" ht="14.1" x14ac:dyDescent="0.7">
      <c r="D196" s="43" t="str">
        <f t="shared" si="18"/>
        <v/>
      </c>
      <c r="G196" s="43">
        <f t="shared" si="20"/>
        <v>44742.64583333287</v>
      </c>
      <c r="H196" s="44"/>
      <c r="J196" s="43">
        <f t="shared" si="21"/>
        <v>44751.666666666206</v>
      </c>
      <c r="K196" s="44" t="b">
        <f t="shared" ca="1" si="19"/>
        <v>0</v>
      </c>
      <c r="L196" s="44">
        <f t="shared" si="22"/>
        <v>0</v>
      </c>
      <c r="M196" s="51" t="str">
        <f t="shared" ca="1" si="23"/>
        <v/>
      </c>
      <c r="N196" s="50">
        <f t="shared" si="24"/>
        <v>44751.666666666206</v>
      </c>
    </row>
    <row r="197" spans="4:14" ht="14.1" x14ac:dyDescent="0.7">
      <c r="D197" s="43" t="str">
        <f t="shared" si="18"/>
        <v/>
      </c>
      <c r="G197" s="43">
        <f t="shared" si="20"/>
        <v>44742.656249999534</v>
      </c>
      <c r="H197" s="44"/>
      <c r="J197" s="43">
        <f t="shared" si="21"/>
        <v>44751.70833333287</v>
      </c>
      <c r="K197" s="44" t="b">
        <f t="shared" ca="1" si="19"/>
        <v>0</v>
      </c>
      <c r="L197" s="44">
        <f t="shared" si="22"/>
        <v>0</v>
      </c>
      <c r="M197" s="51" t="str">
        <f t="shared" ca="1" si="23"/>
        <v/>
      </c>
      <c r="N197" s="50">
        <f t="shared" si="24"/>
        <v>44751.70833333287</v>
      </c>
    </row>
    <row r="198" spans="4:14" ht="14.1" x14ac:dyDescent="0.7">
      <c r="D198" s="43" t="str">
        <f t="shared" si="18"/>
        <v/>
      </c>
      <c r="G198" s="43">
        <f t="shared" si="20"/>
        <v>44742.666666666199</v>
      </c>
      <c r="H198" s="44"/>
      <c r="J198" s="43">
        <f t="shared" si="21"/>
        <v>44751.749999999534</v>
      </c>
      <c r="K198" s="44" t="b">
        <f t="shared" ca="1" si="19"/>
        <v>0</v>
      </c>
      <c r="L198" s="44">
        <f t="shared" si="22"/>
        <v>0</v>
      </c>
      <c r="M198" s="51" t="str">
        <f t="shared" ca="1" si="23"/>
        <v/>
      </c>
      <c r="N198" s="50">
        <f t="shared" si="24"/>
        <v>44751.749999999534</v>
      </c>
    </row>
    <row r="199" spans="4:14" ht="14.1" x14ac:dyDescent="0.7">
      <c r="D199" s="43" t="str">
        <f t="shared" ref="D199:D262" si="25">IFERROR(DATE(LEFT(B199,4),MID(B199,5,2),MID(B199,7,2))+TIME(MID(B199,9,2),MID(B199,11,2),MID(B199,13,2)),"")</f>
        <v/>
      </c>
      <c r="G199" s="43">
        <f t="shared" si="20"/>
        <v>44742.677083332863</v>
      </c>
      <c r="H199" s="44"/>
      <c r="J199" s="43">
        <f t="shared" si="21"/>
        <v>44751.791666666199</v>
      </c>
      <c r="K199" s="44" t="b">
        <f t="shared" ref="K199:K262" ca="1" si="26">J$1&gt;=J199+TIME(1,0,0)</f>
        <v>0</v>
      </c>
      <c r="L199" s="44">
        <f t="shared" si="22"/>
        <v>0</v>
      </c>
      <c r="M199" s="51" t="str">
        <f t="shared" ca="1" si="23"/>
        <v/>
      </c>
      <c r="N199" s="50">
        <f t="shared" si="24"/>
        <v>44751.791666666199</v>
      </c>
    </row>
    <row r="200" spans="4:14" ht="14.1" x14ac:dyDescent="0.7">
      <c r="D200" s="43" t="str">
        <f t="shared" si="25"/>
        <v/>
      </c>
      <c r="G200" s="43">
        <f t="shared" ref="G200:G263" si="27">G199+TIME(0,15,0)</f>
        <v>44742.687499999527</v>
      </c>
      <c r="H200" s="44"/>
      <c r="J200" s="43">
        <f t="shared" ref="J200:J263" si="28">J199+TIME(1,0,0)</f>
        <v>44751.833333332863</v>
      </c>
      <c r="K200" s="44" t="b">
        <f t="shared" ca="1" si="26"/>
        <v>0</v>
      </c>
      <c r="L200" s="44">
        <f t="shared" si="22"/>
        <v>0</v>
      </c>
      <c r="M200" s="51" t="str">
        <f t="shared" ca="1" si="23"/>
        <v/>
      </c>
      <c r="N200" s="50">
        <f t="shared" si="24"/>
        <v>44751.833333332863</v>
      </c>
    </row>
    <row r="201" spans="4:14" ht="14.1" x14ac:dyDescent="0.7">
      <c r="D201" s="43" t="str">
        <f t="shared" si="25"/>
        <v/>
      </c>
      <c r="G201" s="43">
        <f t="shared" si="27"/>
        <v>44742.697916666191</v>
      </c>
      <c r="H201" s="44"/>
      <c r="J201" s="43">
        <f t="shared" si="28"/>
        <v>44751.874999999527</v>
      </c>
      <c r="K201" s="44" t="b">
        <f t="shared" ca="1" si="26"/>
        <v>0</v>
      </c>
      <c r="L201" s="44">
        <f t="shared" si="22"/>
        <v>0</v>
      </c>
      <c r="M201" s="51" t="str">
        <f t="shared" ca="1" si="23"/>
        <v/>
      </c>
      <c r="N201" s="50">
        <f t="shared" si="24"/>
        <v>44751.874999999527</v>
      </c>
    </row>
    <row r="202" spans="4:14" ht="14.1" x14ac:dyDescent="0.7">
      <c r="D202" s="43" t="str">
        <f t="shared" si="25"/>
        <v/>
      </c>
      <c r="G202" s="43">
        <f t="shared" si="27"/>
        <v>44742.708333332856</v>
      </c>
      <c r="H202" s="44"/>
      <c r="J202" s="43">
        <f t="shared" si="28"/>
        <v>44751.916666666191</v>
      </c>
      <c r="K202" s="44" t="b">
        <f t="shared" ca="1" si="26"/>
        <v>0</v>
      </c>
      <c r="L202" s="44">
        <f t="shared" si="22"/>
        <v>0</v>
      </c>
      <c r="M202" s="51" t="str">
        <f t="shared" ca="1" si="23"/>
        <v/>
      </c>
      <c r="N202" s="50">
        <f t="shared" si="24"/>
        <v>44751.916666666191</v>
      </c>
    </row>
    <row r="203" spans="4:14" ht="14.1" x14ac:dyDescent="0.7">
      <c r="D203" s="43" t="str">
        <f t="shared" si="25"/>
        <v/>
      </c>
      <c r="G203" s="43">
        <f t="shared" si="27"/>
        <v>44742.71874999952</v>
      </c>
      <c r="H203" s="44"/>
      <c r="J203" s="43">
        <f t="shared" si="28"/>
        <v>44751.958333332856</v>
      </c>
      <c r="K203" s="44" t="b">
        <f t="shared" ca="1" si="26"/>
        <v>0</v>
      </c>
      <c r="L203" s="44">
        <f t="shared" si="22"/>
        <v>0</v>
      </c>
      <c r="M203" s="51" t="str">
        <f t="shared" ca="1" si="23"/>
        <v/>
      </c>
      <c r="N203" s="50">
        <f t="shared" si="24"/>
        <v>44751.958333332856</v>
      </c>
    </row>
    <row r="204" spans="4:14" ht="14.1" x14ac:dyDescent="0.7">
      <c r="D204" s="43" t="str">
        <f t="shared" si="25"/>
        <v/>
      </c>
      <c r="G204" s="43">
        <f t="shared" si="27"/>
        <v>44742.729166666184</v>
      </c>
      <c r="H204" s="44"/>
      <c r="J204" s="43">
        <f t="shared" si="28"/>
        <v>44751.99999999952</v>
      </c>
      <c r="K204" s="44" t="b">
        <f t="shared" ca="1" si="26"/>
        <v>0</v>
      </c>
      <c r="L204" s="44">
        <f t="shared" si="22"/>
        <v>0</v>
      </c>
      <c r="M204" s="51" t="str">
        <f t="shared" ca="1" si="23"/>
        <v/>
      </c>
      <c r="N204" s="50">
        <f t="shared" si="24"/>
        <v>44751.99999999952</v>
      </c>
    </row>
    <row r="205" spans="4:14" ht="14.1" x14ac:dyDescent="0.7">
      <c r="D205" s="43" t="str">
        <f t="shared" si="25"/>
        <v/>
      </c>
      <c r="G205" s="43">
        <f t="shared" si="27"/>
        <v>44742.739583332848</v>
      </c>
      <c r="H205" s="44"/>
      <c r="J205" s="43">
        <f t="shared" si="28"/>
        <v>44752.041666666184</v>
      </c>
      <c r="K205" s="44" t="b">
        <f t="shared" ca="1" si="26"/>
        <v>0</v>
      </c>
      <c r="L205" s="44">
        <f t="shared" si="22"/>
        <v>0</v>
      </c>
      <c r="M205" s="51" t="str">
        <f t="shared" ca="1" si="23"/>
        <v/>
      </c>
      <c r="N205" s="50">
        <f t="shared" si="24"/>
        <v>44752.041666666184</v>
      </c>
    </row>
    <row r="206" spans="4:14" ht="14.1" x14ac:dyDescent="0.7">
      <c r="D206" s="43" t="str">
        <f t="shared" si="25"/>
        <v/>
      </c>
      <c r="G206" s="43">
        <f t="shared" si="27"/>
        <v>44742.749999999513</v>
      </c>
      <c r="H206" s="44"/>
      <c r="J206" s="43">
        <f t="shared" si="28"/>
        <v>44752.083333332848</v>
      </c>
      <c r="K206" s="44" t="b">
        <f t="shared" ca="1" si="26"/>
        <v>0</v>
      </c>
      <c r="L206" s="44">
        <f t="shared" si="22"/>
        <v>0</v>
      </c>
      <c r="M206" s="51" t="str">
        <f t="shared" ca="1" si="23"/>
        <v/>
      </c>
      <c r="N206" s="50">
        <f t="shared" si="24"/>
        <v>44752.083333332848</v>
      </c>
    </row>
    <row r="207" spans="4:14" ht="14.1" x14ac:dyDescent="0.7">
      <c r="D207" s="43" t="str">
        <f t="shared" si="25"/>
        <v/>
      </c>
      <c r="G207" s="43">
        <f t="shared" si="27"/>
        <v>44742.760416666177</v>
      </c>
      <c r="H207" s="44"/>
      <c r="J207" s="43">
        <f t="shared" si="28"/>
        <v>44752.124999999513</v>
      </c>
      <c r="K207" s="44" t="b">
        <f t="shared" ca="1" si="26"/>
        <v>0</v>
      </c>
      <c r="L207" s="44">
        <f t="shared" si="22"/>
        <v>0</v>
      </c>
      <c r="M207" s="51" t="str">
        <f t="shared" ca="1" si="23"/>
        <v/>
      </c>
      <c r="N207" s="50">
        <f t="shared" si="24"/>
        <v>44752.124999999513</v>
      </c>
    </row>
    <row r="208" spans="4:14" ht="14.1" x14ac:dyDescent="0.7">
      <c r="D208" s="43" t="str">
        <f t="shared" si="25"/>
        <v/>
      </c>
      <c r="G208" s="43">
        <f t="shared" si="27"/>
        <v>44742.770833332841</v>
      </c>
      <c r="H208" s="44"/>
      <c r="J208" s="43">
        <f t="shared" si="28"/>
        <v>44752.166666666177</v>
      </c>
      <c r="K208" s="44" t="b">
        <f t="shared" ca="1" si="26"/>
        <v>0</v>
      </c>
      <c r="L208" s="44">
        <f t="shared" si="22"/>
        <v>0</v>
      </c>
      <c r="M208" s="51" t="str">
        <f t="shared" ca="1" si="23"/>
        <v/>
      </c>
      <c r="N208" s="50">
        <f t="shared" si="24"/>
        <v>44752.166666666177</v>
      </c>
    </row>
    <row r="209" spans="4:14" ht="14.1" x14ac:dyDescent="0.7">
      <c r="D209" s="43" t="str">
        <f t="shared" si="25"/>
        <v/>
      </c>
      <c r="G209" s="43">
        <f t="shared" si="27"/>
        <v>44742.781249999505</v>
      </c>
      <c r="H209" s="44"/>
      <c r="J209" s="43">
        <f t="shared" si="28"/>
        <v>44752.208333332841</v>
      </c>
      <c r="K209" s="44" t="b">
        <f t="shared" ca="1" si="26"/>
        <v>0</v>
      </c>
      <c r="L209" s="44">
        <f t="shared" si="22"/>
        <v>0</v>
      </c>
      <c r="M209" s="51" t="str">
        <f t="shared" ca="1" si="23"/>
        <v/>
      </c>
      <c r="N209" s="50">
        <f t="shared" si="24"/>
        <v>44752.208333332841</v>
      </c>
    </row>
    <row r="210" spans="4:14" ht="14.1" x14ac:dyDescent="0.7">
      <c r="D210" s="43" t="str">
        <f t="shared" si="25"/>
        <v/>
      </c>
      <c r="G210" s="43">
        <f t="shared" si="27"/>
        <v>44742.791666666169</v>
      </c>
      <c r="H210" s="44"/>
      <c r="J210" s="43">
        <f t="shared" si="28"/>
        <v>44752.249999999505</v>
      </c>
      <c r="K210" s="44" t="b">
        <f t="shared" ca="1" si="26"/>
        <v>0</v>
      </c>
      <c r="L210" s="44">
        <f t="shared" si="22"/>
        <v>0</v>
      </c>
      <c r="M210" s="51" t="str">
        <f t="shared" ca="1" si="23"/>
        <v/>
      </c>
      <c r="N210" s="50">
        <f t="shared" si="24"/>
        <v>44752.249999999505</v>
      </c>
    </row>
    <row r="211" spans="4:14" ht="14.1" x14ac:dyDescent="0.7">
      <c r="D211" s="43" t="str">
        <f t="shared" si="25"/>
        <v/>
      </c>
      <c r="G211" s="43">
        <f t="shared" si="27"/>
        <v>44742.802083332834</v>
      </c>
      <c r="H211" s="44"/>
      <c r="J211" s="43">
        <f t="shared" si="28"/>
        <v>44752.291666666169</v>
      </c>
      <c r="K211" s="44" t="b">
        <f t="shared" ca="1" si="26"/>
        <v>0</v>
      </c>
      <c r="L211" s="44">
        <f t="shared" si="22"/>
        <v>0</v>
      </c>
      <c r="M211" s="51" t="str">
        <f t="shared" ca="1" si="23"/>
        <v/>
      </c>
      <c r="N211" s="50">
        <f t="shared" si="24"/>
        <v>44752.291666666169</v>
      </c>
    </row>
    <row r="212" spans="4:14" ht="14.1" x14ac:dyDescent="0.7">
      <c r="D212" s="43" t="str">
        <f t="shared" si="25"/>
        <v/>
      </c>
      <c r="G212" s="43">
        <f t="shared" si="27"/>
        <v>44742.812499999498</v>
      </c>
      <c r="H212" s="44"/>
      <c r="J212" s="43">
        <f t="shared" si="28"/>
        <v>44752.333333332834</v>
      </c>
      <c r="K212" s="44" t="b">
        <f t="shared" ca="1" si="26"/>
        <v>0</v>
      </c>
      <c r="L212" s="44">
        <f t="shared" si="22"/>
        <v>0</v>
      </c>
      <c r="M212" s="51" t="str">
        <f t="shared" ca="1" si="23"/>
        <v/>
      </c>
      <c r="N212" s="50">
        <f t="shared" si="24"/>
        <v>44752.333333332834</v>
      </c>
    </row>
    <row r="213" spans="4:14" ht="14.1" x14ac:dyDescent="0.7">
      <c r="D213" s="43" t="str">
        <f t="shared" si="25"/>
        <v/>
      </c>
      <c r="G213" s="43">
        <f t="shared" si="27"/>
        <v>44742.822916666162</v>
      </c>
      <c r="H213" s="44"/>
      <c r="J213" s="43">
        <f t="shared" si="28"/>
        <v>44752.374999999498</v>
      </c>
      <c r="K213" s="44" t="b">
        <f t="shared" ca="1" si="26"/>
        <v>0</v>
      </c>
      <c r="L213" s="44">
        <f t="shared" si="22"/>
        <v>0</v>
      </c>
      <c r="M213" s="51" t="str">
        <f t="shared" ca="1" si="23"/>
        <v/>
      </c>
      <c r="N213" s="50">
        <f t="shared" si="24"/>
        <v>44752.374999999498</v>
      </c>
    </row>
    <row r="214" spans="4:14" ht="14.1" x14ac:dyDescent="0.7">
      <c r="D214" s="43" t="str">
        <f t="shared" si="25"/>
        <v/>
      </c>
      <c r="G214" s="43">
        <f t="shared" si="27"/>
        <v>44742.833333332826</v>
      </c>
      <c r="H214" s="44"/>
      <c r="J214" s="43">
        <f t="shared" si="28"/>
        <v>44752.416666666162</v>
      </c>
      <c r="K214" s="44" t="b">
        <f t="shared" ca="1" si="26"/>
        <v>0</v>
      </c>
      <c r="L214" s="44">
        <f t="shared" si="22"/>
        <v>0</v>
      </c>
      <c r="M214" s="51" t="str">
        <f t="shared" ca="1" si="23"/>
        <v/>
      </c>
      <c r="N214" s="50">
        <f t="shared" si="24"/>
        <v>44752.416666666162</v>
      </c>
    </row>
    <row r="215" spans="4:14" ht="14.1" x14ac:dyDescent="0.7">
      <c r="D215" s="43" t="str">
        <f t="shared" si="25"/>
        <v/>
      </c>
      <c r="G215" s="43">
        <f t="shared" si="27"/>
        <v>44742.843749999491</v>
      </c>
      <c r="H215" s="44"/>
      <c r="J215" s="43">
        <f t="shared" si="28"/>
        <v>44752.458333332826</v>
      </c>
      <c r="K215" s="44" t="b">
        <f t="shared" ca="1" si="26"/>
        <v>0</v>
      </c>
      <c r="L215" s="44">
        <f t="shared" si="22"/>
        <v>0</v>
      </c>
      <c r="M215" s="51" t="str">
        <f t="shared" ca="1" si="23"/>
        <v/>
      </c>
      <c r="N215" s="50">
        <f t="shared" si="24"/>
        <v>44752.458333332826</v>
      </c>
    </row>
    <row r="216" spans="4:14" ht="14.1" x14ac:dyDescent="0.7">
      <c r="D216" s="43" t="str">
        <f t="shared" si="25"/>
        <v/>
      </c>
      <c r="G216" s="43">
        <f t="shared" si="27"/>
        <v>44742.854166666155</v>
      </c>
      <c r="H216" s="44"/>
      <c r="J216" s="43">
        <f t="shared" si="28"/>
        <v>44752.499999999491</v>
      </c>
      <c r="K216" s="44" t="b">
        <f t="shared" ca="1" si="26"/>
        <v>0</v>
      </c>
      <c r="L216" s="44">
        <f t="shared" si="22"/>
        <v>0</v>
      </c>
      <c r="M216" s="51" t="str">
        <f t="shared" ca="1" si="23"/>
        <v/>
      </c>
      <c r="N216" s="50">
        <f t="shared" si="24"/>
        <v>44752.499999999491</v>
      </c>
    </row>
    <row r="217" spans="4:14" ht="14.1" x14ac:dyDescent="0.7">
      <c r="D217" s="43" t="str">
        <f t="shared" si="25"/>
        <v/>
      </c>
      <c r="G217" s="43">
        <f t="shared" si="27"/>
        <v>44742.864583332819</v>
      </c>
      <c r="H217" s="44"/>
      <c r="J217" s="43">
        <f t="shared" si="28"/>
        <v>44752.541666666155</v>
      </c>
      <c r="K217" s="44" t="b">
        <f t="shared" ca="1" si="26"/>
        <v>0</v>
      </c>
      <c r="L217" s="44">
        <f t="shared" si="22"/>
        <v>0</v>
      </c>
      <c r="M217" s="51" t="str">
        <f t="shared" ca="1" si="23"/>
        <v/>
      </c>
      <c r="N217" s="50">
        <f t="shared" si="24"/>
        <v>44752.541666666155</v>
      </c>
    </row>
    <row r="218" spans="4:14" ht="14.1" x14ac:dyDescent="0.7">
      <c r="D218" s="43" t="str">
        <f t="shared" si="25"/>
        <v/>
      </c>
      <c r="G218" s="43">
        <f t="shared" si="27"/>
        <v>44742.874999999483</v>
      </c>
      <c r="H218" s="44"/>
      <c r="J218" s="43">
        <f t="shared" si="28"/>
        <v>44752.583333332819</v>
      </c>
      <c r="K218" s="44" t="b">
        <f t="shared" ca="1" si="26"/>
        <v>0</v>
      </c>
      <c r="L218" s="44">
        <f t="shared" si="22"/>
        <v>0</v>
      </c>
      <c r="M218" s="51" t="str">
        <f t="shared" ca="1" si="23"/>
        <v/>
      </c>
      <c r="N218" s="50">
        <f t="shared" si="24"/>
        <v>44752.583333332819</v>
      </c>
    </row>
    <row r="219" spans="4:14" ht="14.1" x14ac:dyDescent="0.7">
      <c r="D219" s="43" t="str">
        <f t="shared" si="25"/>
        <v/>
      </c>
      <c r="G219" s="43">
        <f t="shared" si="27"/>
        <v>44742.885416666148</v>
      </c>
      <c r="H219" s="44"/>
      <c r="J219" s="43">
        <f t="shared" si="28"/>
        <v>44752.624999999483</v>
      </c>
      <c r="K219" s="44" t="b">
        <f t="shared" ca="1" si="26"/>
        <v>0</v>
      </c>
      <c r="L219" s="44">
        <f t="shared" si="22"/>
        <v>0</v>
      </c>
      <c r="M219" s="51" t="str">
        <f t="shared" ca="1" si="23"/>
        <v/>
      </c>
      <c r="N219" s="50">
        <f t="shared" si="24"/>
        <v>44752.624999999483</v>
      </c>
    </row>
    <row r="220" spans="4:14" ht="14.1" x14ac:dyDescent="0.7">
      <c r="D220" s="43" t="str">
        <f t="shared" si="25"/>
        <v/>
      </c>
      <c r="G220" s="43">
        <f t="shared" si="27"/>
        <v>44742.895833332812</v>
      </c>
      <c r="H220" s="44"/>
      <c r="J220" s="43">
        <f t="shared" si="28"/>
        <v>44752.666666666148</v>
      </c>
      <c r="K220" s="44" t="b">
        <f t="shared" ca="1" si="26"/>
        <v>0</v>
      </c>
      <c r="L220" s="44">
        <f t="shared" si="22"/>
        <v>0</v>
      </c>
      <c r="M220" s="51" t="str">
        <f t="shared" ca="1" si="23"/>
        <v/>
      </c>
      <c r="N220" s="50">
        <f t="shared" si="24"/>
        <v>44752.666666666148</v>
      </c>
    </row>
    <row r="221" spans="4:14" ht="14.1" x14ac:dyDescent="0.7">
      <c r="D221" s="43" t="str">
        <f t="shared" si="25"/>
        <v/>
      </c>
      <c r="G221" s="43">
        <f t="shared" si="27"/>
        <v>44742.906249999476</v>
      </c>
      <c r="H221" s="44"/>
      <c r="J221" s="43">
        <f t="shared" si="28"/>
        <v>44752.708333332812</v>
      </c>
      <c r="K221" s="44" t="b">
        <f t="shared" ca="1" si="26"/>
        <v>0</v>
      </c>
      <c r="L221" s="44">
        <f t="shared" si="22"/>
        <v>0</v>
      </c>
      <c r="M221" s="51" t="str">
        <f t="shared" ca="1" si="23"/>
        <v/>
      </c>
      <c r="N221" s="50">
        <f t="shared" si="24"/>
        <v>44752.708333332812</v>
      </c>
    </row>
    <row r="222" spans="4:14" ht="14.1" x14ac:dyDescent="0.7">
      <c r="D222" s="43" t="str">
        <f t="shared" si="25"/>
        <v/>
      </c>
      <c r="G222" s="43">
        <f t="shared" si="27"/>
        <v>44742.91666666614</v>
      </c>
      <c r="H222" s="44"/>
      <c r="J222" s="43">
        <f t="shared" si="28"/>
        <v>44752.749999999476</v>
      </c>
      <c r="K222" s="44" t="b">
        <f t="shared" ca="1" si="26"/>
        <v>0</v>
      </c>
      <c r="L222" s="44">
        <f t="shared" si="22"/>
        <v>0</v>
      </c>
      <c r="M222" s="51" t="str">
        <f t="shared" ca="1" si="23"/>
        <v/>
      </c>
      <c r="N222" s="50">
        <f t="shared" si="24"/>
        <v>44752.749999999476</v>
      </c>
    </row>
    <row r="223" spans="4:14" ht="14.1" x14ac:dyDescent="0.7">
      <c r="D223" s="43" t="str">
        <f t="shared" si="25"/>
        <v/>
      </c>
      <c r="G223" s="43">
        <f t="shared" si="27"/>
        <v>44742.927083332805</v>
      </c>
      <c r="H223" s="44"/>
      <c r="J223" s="43">
        <f t="shared" si="28"/>
        <v>44752.79166666614</v>
      </c>
      <c r="K223" s="44" t="b">
        <f t="shared" ca="1" si="26"/>
        <v>0</v>
      </c>
      <c r="L223" s="44">
        <f t="shared" si="22"/>
        <v>0</v>
      </c>
      <c r="M223" s="51" t="str">
        <f t="shared" ca="1" si="23"/>
        <v/>
      </c>
      <c r="N223" s="50">
        <f t="shared" si="24"/>
        <v>44752.79166666614</v>
      </c>
    </row>
    <row r="224" spans="4:14" ht="14.1" x14ac:dyDescent="0.7">
      <c r="D224" s="43" t="str">
        <f t="shared" si="25"/>
        <v/>
      </c>
      <c r="G224" s="43">
        <f t="shared" si="27"/>
        <v>44742.937499999469</v>
      </c>
      <c r="H224" s="44"/>
      <c r="J224" s="43">
        <f t="shared" si="28"/>
        <v>44752.833333332805</v>
      </c>
      <c r="K224" s="44" t="b">
        <f t="shared" ca="1" si="26"/>
        <v>0</v>
      </c>
      <c r="L224" s="44">
        <f t="shared" si="22"/>
        <v>0</v>
      </c>
      <c r="M224" s="51" t="str">
        <f t="shared" ca="1" si="23"/>
        <v/>
      </c>
      <c r="N224" s="50">
        <f t="shared" si="24"/>
        <v>44752.833333332805</v>
      </c>
    </row>
    <row r="225" spans="4:14" ht="14.1" x14ac:dyDescent="0.7">
      <c r="D225" s="43" t="str">
        <f t="shared" si="25"/>
        <v/>
      </c>
      <c r="G225" s="43">
        <f t="shared" si="27"/>
        <v>44742.947916666133</v>
      </c>
      <c r="H225" s="44"/>
      <c r="J225" s="43">
        <f t="shared" si="28"/>
        <v>44752.874999999469</v>
      </c>
      <c r="K225" s="44" t="b">
        <f t="shared" ca="1" si="26"/>
        <v>0</v>
      </c>
      <c r="L225" s="44">
        <f t="shared" ref="L225:L288" si="29">COUNTIFS($D$6:$D$251,"&gt;="&amp;J225,$D$6:$D$251,"&lt;"&amp;J226)</f>
        <v>0</v>
      </c>
      <c r="M225" s="51" t="str">
        <f t="shared" ref="M225:M288" ca="1" si="30">IF(K225,L225/60,"")</f>
        <v/>
      </c>
      <c r="N225" s="50">
        <f t="shared" ref="N225:N288" si="31">J225</f>
        <v>44752.874999999469</v>
      </c>
    </row>
    <row r="226" spans="4:14" ht="14.1" x14ac:dyDescent="0.7">
      <c r="D226" s="43" t="str">
        <f t="shared" si="25"/>
        <v/>
      </c>
      <c r="G226" s="43">
        <f t="shared" si="27"/>
        <v>44742.958333332797</v>
      </c>
      <c r="H226" s="44"/>
      <c r="J226" s="43">
        <f t="shared" si="28"/>
        <v>44752.916666666133</v>
      </c>
      <c r="K226" s="44" t="b">
        <f t="shared" ca="1" si="26"/>
        <v>0</v>
      </c>
      <c r="L226" s="44">
        <f t="shared" si="29"/>
        <v>0</v>
      </c>
      <c r="M226" s="51" t="str">
        <f t="shared" ca="1" si="30"/>
        <v/>
      </c>
      <c r="N226" s="50">
        <f t="shared" si="31"/>
        <v>44752.916666666133</v>
      </c>
    </row>
    <row r="227" spans="4:14" ht="14.1" x14ac:dyDescent="0.7">
      <c r="D227" s="43" t="str">
        <f t="shared" si="25"/>
        <v/>
      </c>
      <c r="G227" s="43">
        <f t="shared" si="27"/>
        <v>44742.968749999462</v>
      </c>
      <c r="H227" s="44"/>
      <c r="J227" s="43">
        <f t="shared" si="28"/>
        <v>44752.958333332797</v>
      </c>
      <c r="K227" s="44" t="b">
        <f t="shared" ca="1" si="26"/>
        <v>0</v>
      </c>
      <c r="L227" s="44">
        <f t="shared" si="29"/>
        <v>0</v>
      </c>
      <c r="M227" s="51" t="str">
        <f t="shared" ca="1" si="30"/>
        <v/>
      </c>
      <c r="N227" s="50">
        <f t="shared" si="31"/>
        <v>44752.958333332797</v>
      </c>
    </row>
    <row r="228" spans="4:14" ht="14.1" x14ac:dyDescent="0.7">
      <c r="D228" s="43" t="str">
        <f t="shared" si="25"/>
        <v/>
      </c>
      <c r="G228" s="43">
        <f t="shared" si="27"/>
        <v>44742.979166666126</v>
      </c>
      <c r="H228" s="44"/>
      <c r="J228" s="43">
        <f t="shared" si="28"/>
        <v>44752.999999999462</v>
      </c>
      <c r="K228" s="44" t="b">
        <f t="shared" ca="1" si="26"/>
        <v>0</v>
      </c>
      <c r="L228" s="44">
        <f t="shared" si="29"/>
        <v>0</v>
      </c>
      <c r="M228" s="51" t="str">
        <f t="shared" ca="1" si="30"/>
        <v/>
      </c>
      <c r="N228" s="50">
        <f t="shared" si="31"/>
        <v>44752.999999999462</v>
      </c>
    </row>
    <row r="229" spans="4:14" ht="14.1" x14ac:dyDescent="0.7">
      <c r="D229" s="43" t="str">
        <f t="shared" si="25"/>
        <v/>
      </c>
      <c r="G229" s="43">
        <f t="shared" si="27"/>
        <v>44742.98958333279</v>
      </c>
      <c r="H229" s="44"/>
      <c r="J229" s="43">
        <f t="shared" si="28"/>
        <v>44753.041666666126</v>
      </c>
      <c r="K229" s="44" t="b">
        <f t="shared" ca="1" si="26"/>
        <v>0</v>
      </c>
      <c r="L229" s="44">
        <f t="shared" si="29"/>
        <v>0</v>
      </c>
      <c r="M229" s="51" t="str">
        <f t="shared" ca="1" si="30"/>
        <v/>
      </c>
      <c r="N229" s="50">
        <f t="shared" si="31"/>
        <v>44753.041666666126</v>
      </c>
    </row>
    <row r="230" spans="4:14" ht="14.1" x14ac:dyDescent="0.7">
      <c r="D230" s="43" t="str">
        <f t="shared" si="25"/>
        <v/>
      </c>
      <c r="G230" s="43">
        <f t="shared" si="27"/>
        <v>44742.999999999454</v>
      </c>
      <c r="H230" s="44"/>
      <c r="J230" s="43">
        <f t="shared" si="28"/>
        <v>44753.08333333279</v>
      </c>
      <c r="K230" s="44" t="b">
        <f t="shared" ca="1" si="26"/>
        <v>0</v>
      </c>
      <c r="L230" s="44">
        <f t="shared" si="29"/>
        <v>0</v>
      </c>
      <c r="M230" s="51" t="str">
        <f t="shared" ca="1" si="30"/>
        <v/>
      </c>
      <c r="N230" s="50">
        <f t="shared" si="31"/>
        <v>44753.08333333279</v>
      </c>
    </row>
    <row r="231" spans="4:14" ht="14.1" x14ac:dyDescent="0.7">
      <c r="D231" s="43" t="str">
        <f t="shared" si="25"/>
        <v/>
      </c>
      <c r="G231" s="43">
        <f t="shared" si="27"/>
        <v>44743.010416666119</v>
      </c>
      <c r="H231" s="44"/>
      <c r="J231" s="43">
        <f t="shared" si="28"/>
        <v>44753.124999999454</v>
      </c>
      <c r="K231" s="44" t="b">
        <f t="shared" ca="1" si="26"/>
        <v>0</v>
      </c>
      <c r="L231" s="44">
        <f t="shared" si="29"/>
        <v>0</v>
      </c>
      <c r="M231" s="51" t="str">
        <f t="shared" ca="1" si="30"/>
        <v/>
      </c>
      <c r="N231" s="50">
        <f t="shared" si="31"/>
        <v>44753.124999999454</v>
      </c>
    </row>
    <row r="232" spans="4:14" ht="14.1" x14ac:dyDescent="0.7">
      <c r="D232" s="43" t="str">
        <f t="shared" si="25"/>
        <v/>
      </c>
      <c r="G232" s="43">
        <f t="shared" si="27"/>
        <v>44743.020833332783</v>
      </c>
      <c r="H232" s="44"/>
      <c r="J232" s="43">
        <f t="shared" si="28"/>
        <v>44753.166666666119</v>
      </c>
      <c r="K232" s="44" t="b">
        <f t="shared" ca="1" si="26"/>
        <v>0</v>
      </c>
      <c r="L232" s="44">
        <f t="shared" si="29"/>
        <v>0</v>
      </c>
      <c r="M232" s="51" t="str">
        <f t="shared" ca="1" si="30"/>
        <v/>
      </c>
      <c r="N232" s="50">
        <f t="shared" si="31"/>
        <v>44753.166666666119</v>
      </c>
    </row>
    <row r="233" spans="4:14" ht="14.1" x14ac:dyDescent="0.7">
      <c r="D233" s="43" t="str">
        <f t="shared" si="25"/>
        <v/>
      </c>
      <c r="G233" s="43">
        <f t="shared" si="27"/>
        <v>44743.031249999447</v>
      </c>
      <c r="H233" s="44"/>
      <c r="J233" s="43">
        <f t="shared" si="28"/>
        <v>44753.208333332783</v>
      </c>
      <c r="K233" s="44" t="b">
        <f t="shared" ca="1" si="26"/>
        <v>0</v>
      </c>
      <c r="L233" s="44">
        <f t="shared" si="29"/>
        <v>0</v>
      </c>
      <c r="M233" s="51" t="str">
        <f t="shared" ca="1" si="30"/>
        <v/>
      </c>
      <c r="N233" s="50">
        <f t="shared" si="31"/>
        <v>44753.208333332783</v>
      </c>
    </row>
    <row r="234" spans="4:14" ht="14.1" x14ac:dyDescent="0.7">
      <c r="D234" s="43" t="str">
        <f t="shared" si="25"/>
        <v/>
      </c>
      <c r="G234" s="43">
        <f t="shared" si="27"/>
        <v>44743.041666666111</v>
      </c>
      <c r="H234" s="44"/>
      <c r="J234" s="43">
        <f t="shared" si="28"/>
        <v>44753.249999999447</v>
      </c>
      <c r="K234" s="44" t="b">
        <f t="shared" ca="1" si="26"/>
        <v>0</v>
      </c>
      <c r="L234" s="44">
        <f t="shared" si="29"/>
        <v>0</v>
      </c>
      <c r="M234" s="51" t="str">
        <f t="shared" ca="1" si="30"/>
        <v/>
      </c>
      <c r="N234" s="50">
        <f t="shared" si="31"/>
        <v>44753.249999999447</v>
      </c>
    </row>
    <row r="235" spans="4:14" ht="14.1" x14ac:dyDescent="0.7">
      <c r="D235" s="43" t="str">
        <f t="shared" si="25"/>
        <v/>
      </c>
      <c r="G235" s="43">
        <f t="shared" si="27"/>
        <v>44743.052083332776</v>
      </c>
      <c r="H235" s="44"/>
      <c r="J235" s="43">
        <f t="shared" si="28"/>
        <v>44753.291666666111</v>
      </c>
      <c r="K235" s="44" t="b">
        <f t="shared" ca="1" si="26"/>
        <v>0</v>
      </c>
      <c r="L235" s="44">
        <f t="shared" si="29"/>
        <v>0</v>
      </c>
      <c r="M235" s="51" t="str">
        <f t="shared" ca="1" si="30"/>
        <v/>
      </c>
      <c r="N235" s="50">
        <f t="shared" si="31"/>
        <v>44753.291666666111</v>
      </c>
    </row>
    <row r="236" spans="4:14" ht="14.1" x14ac:dyDescent="0.7">
      <c r="D236" s="43" t="str">
        <f t="shared" si="25"/>
        <v/>
      </c>
      <c r="G236" s="43">
        <f t="shared" si="27"/>
        <v>44743.06249999944</v>
      </c>
      <c r="H236" s="44"/>
      <c r="J236" s="43">
        <f t="shared" si="28"/>
        <v>44753.333333332776</v>
      </c>
      <c r="K236" s="44" t="b">
        <f t="shared" ca="1" si="26"/>
        <v>0</v>
      </c>
      <c r="L236" s="44">
        <f t="shared" si="29"/>
        <v>0</v>
      </c>
      <c r="M236" s="51" t="str">
        <f t="shared" ca="1" si="30"/>
        <v/>
      </c>
      <c r="N236" s="50">
        <f t="shared" si="31"/>
        <v>44753.333333332776</v>
      </c>
    </row>
    <row r="237" spans="4:14" ht="14.1" x14ac:dyDescent="0.7">
      <c r="D237" s="43" t="str">
        <f t="shared" si="25"/>
        <v/>
      </c>
      <c r="G237" s="43">
        <f t="shared" si="27"/>
        <v>44743.072916666104</v>
      </c>
      <c r="H237" s="44"/>
      <c r="J237" s="43">
        <f t="shared" si="28"/>
        <v>44753.37499999944</v>
      </c>
      <c r="K237" s="44" t="b">
        <f t="shared" ca="1" si="26"/>
        <v>0</v>
      </c>
      <c r="L237" s="44">
        <f t="shared" si="29"/>
        <v>0</v>
      </c>
      <c r="M237" s="51" t="str">
        <f t="shared" ca="1" si="30"/>
        <v/>
      </c>
      <c r="N237" s="50">
        <f t="shared" si="31"/>
        <v>44753.37499999944</v>
      </c>
    </row>
    <row r="238" spans="4:14" ht="14.1" x14ac:dyDescent="0.7">
      <c r="D238" s="43" t="str">
        <f t="shared" si="25"/>
        <v/>
      </c>
      <c r="G238" s="43">
        <f t="shared" si="27"/>
        <v>44743.083333332768</v>
      </c>
      <c r="H238" s="44"/>
      <c r="J238" s="43">
        <f t="shared" si="28"/>
        <v>44753.416666666104</v>
      </c>
      <c r="K238" s="44" t="b">
        <f t="shared" ca="1" si="26"/>
        <v>0</v>
      </c>
      <c r="L238" s="44">
        <f t="shared" si="29"/>
        <v>0</v>
      </c>
      <c r="M238" s="51" t="str">
        <f t="shared" ca="1" si="30"/>
        <v/>
      </c>
      <c r="N238" s="50">
        <f t="shared" si="31"/>
        <v>44753.416666666104</v>
      </c>
    </row>
    <row r="239" spans="4:14" ht="14.1" x14ac:dyDescent="0.7">
      <c r="D239" s="43" t="str">
        <f t="shared" si="25"/>
        <v/>
      </c>
      <c r="G239" s="43">
        <f t="shared" si="27"/>
        <v>44743.093749999432</v>
      </c>
      <c r="H239" s="44"/>
      <c r="J239" s="43">
        <f t="shared" si="28"/>
        <v>44753.458333332768</v>
      </c>
      <c r="K239" s="44" t="b">
        <f t="shared" ca="1" si="26"/>
        <v>0</v>
      </c>
      <c r="L239" s="44">
        <f t="shared" si="29"/>
        <v>0</v>
      </c>
      <c r="M239" s="51" t="str">
        <f t="shared" ca="1" si="30"/>
        <v/>
      </c>
      <c r="N239" s="50">
        <f t="shared" si="31"/>
        <v>44753.458333332768</v>
      </c>
    </row>
    <row r="240" spans="4:14" ht="14.1" x14ac:dyDescent="0.7">
      <c r="D240" s="43" t="str">
        <f t="shared" si="25"/>
        <v/>
      </c>
      <c r="G240" s="43">
        <f t="shared" si="27"/>
        <v>44743.104166666097</v>
      </c>
      <c r="H240" s="44"/>
      <c r="J240" s="43">
        <f t="shared" si="28"/>
        <v>44753.499999999432</v>
      </c>
      <c r="K240" s="44" t="b">
        <f t="shared" ca="1" si="26"/>
        <v>0</v>
      </c>
      <c r="L240" s="44">
        <f t="shared" si="29"/>
        <v>0</v>
      </c>
      <c r="M240" s="51" t="str">
        <f t="shared" ca="1" si="30"/>
        <v/>
      </c>
      <c r="N240" s="50">
        <f t="shared" si="31"/>
        <v>44753.499999999432</v>
      </c>
    </row>
    <row r="241" spans="4:14" ht="14.1" x14ac:dyDescent="0.7">
      <c r="D241" s="43" t="str">
        <f t="shared" si="25"/>
        <v/>
      </c>
      <c r="G241" s="43">
        <f t="shared" si="27"/>
        <v>44743.114583332761</v>
      </c>
      <c r="H241" s="44"/>
      <c r="J241" s="43">
        <f t="shared" si="28"/>
        <v>44753.541666666097</v>
      </c>
      <c r="K241" s="44" t="b">
        <f t="shared" ca="1" si="26"/>
        <v>0</v>
      </c>
      <c r="L241" s="44">
        <f t="shared" si="29"/>
        <v>0</v>
      </c>
      <c r="M241" s="51" t="str">
        <f t="shared" ca="1" si="30"/>
        <v/>
      </c>
      <c r="N241" s="50">
        <f t="shared" si="31"/>
        <v>44753.541666666097</v>
      </c>
    </row>
    <row r="242" spans="4:14" ht="14.1" x14ac:dyDescent="0.7">
      <c r="D242" s="43" t="str">
        <f t="shared" si="25"/>
        <v/>
      </c>
      <c r="G242" s="43">
        <f t="shared" si="27"/>
        <v>44743.124999999425</v>
      </c>
      <c r="H242" s="44"/>
      <c r="J242" s="43">
        <f t="shared" si="28"/>
        <v>44753.583333332761</v>
      </c>
      <c r="K242" s="44" t="b">
        <f t="shared" ca="1" si="26"/>
        <v>0</v>
      </c>
      <c r="L242" s="44">
        <f t="shared" si="29"/>
        <v>0</v>
      </c>
      <c r="M242" s="51" t="str">
        <f t="shared" ca="1" si="30"/>
        <v/>
      </c>
      <c r="N242" s="50">
        <f t="shared" si="31"/>
        <v>44753.583333332761</v>
      </c>
    </row>
    <row r="243" spans="4:14" ht="14.1" x14ac:dyDescent="0.7">
      <c r="D243" s="43" t="str">
        <f t="shared" si="25"/>
        <v/>
      </c>
      <c r="G243" s="43">
        <f t="shared" si="27"/>
        <v>44743.135416666089</v>
      </c>
      <c r="H243" s="44"/>
      <c r="J243" s="43">
        <f t="shared" si="28"/>
        <v>44753.624999999425</v>
      </c>
      <c r="K243" s="44" t="b">
        <f t="shared" ca="1" si="26"/>
        <v>0</v>
      </c>
      <c r="L243" s="44">
        <f t="shared" si="29"/>
        <v>0</v>
      </c>
      <c r="M243" s="51" t="str">
        <f t="shared" ca="1" si="30"/>
        <v/>
      </c>
      <c r="N243" s="50">
        <f t="shared" si="31"/>
        <v>44753.624999999425</v>
      </c>
    </row>
    <row r="244" spans="4:14" ht="14.1" x14ac:dyDescent="0.7">
      <c r="D244" s="43" t="str">
        <f t="shared" si="25"/>
        <v/>
      </c>
      <c r="G244" s="43">
        <f t="shared" si="27"/>
        <v>44743.145833332754</v>
      </c>
      <c r="H244" s="44"/>
      <c r="J244" s="43">
        <f t="shared" si="28"/>
        <v>44753.666666666089</v>
      </c>
      <c r="K244" s="44" t="b">
        <f t="shared" ca="1" si="26"/>
        <v>0</v>
      </c>
      <c r="L244" s="44">
        <f t="shared" si="29"/>
        <v>0</v>
      </c>
      <c r="M244" s="51" t="str">
        <f t="shared" ca="1" si="30"/>
        <v/>
      </c>
      <c r="N244" s="50">
        <f t="shared" si="31"/>
        <v>44753.666666666089</v>
      </c>
    </row>
    <row r="245" spans="4:14" ht="14.1" x14ac:dyDescent="0.7">
      <c r="D245" s="43" t="str">
        <f t="shared" si="25"/>
        <v/>
      </c>
      <c r="G245" s="43">
        <f t="shared" si="27"/>
        <v>44743.156249999418</v>
      </c>
      <c r="H245" s="44"/>
      <c r="J245" s="43">
        <f t="shared" si="28"/>
        <v>44753.708333332754</v>
      </c>
      <c r="K245" s="44" t="b">
        <f t="shared" ca="1" si="26"/>
        <v>0</v>
      </c>
      <c r="L245" s="44">
        <f t="shared" si="29"/>
        <v>0</v>
      </c>
      <c r="M245" s="51" t="str">
        <f t="shared" ca="1" si="30"/>
        <v/>
      </c>
      <c r="N245" s="50">
        <f t="shared" si="31"/>
        <v>44753.708333332754</v>
      </c>
    </row>
    <row r="246" spans="4:14" ht="14.1" x14ac:dyDescent="0.7">
      <c r="D246" s="43" t="str">
        <f t="shared" si="25"/>
        <v/>
      </c>
      <c r="G246" s="43">
        <f t="shared" si="27"/>
        <v>44743.166666666082</v>
      </c>
      <c r="H246" s="44"/>
      <c r="J246" s="43">
        <f t="shared" si="28"/>
        <v>44753.749999999418</v>
      </c>
      <c r="K246" s="44" t="b">
        <f t="shared" ca="1" si="26"/>
        <v>0</v>
      </c>
      <c r="L246" s="44">
        <f t="shared" si="29"/>
        <v>0</v>
      </c>
      <c r="M246" s="51" t="str">
        <f t="shared" ca="1" si="30"/>
        <v/>
      </c>
      <c r="N246" s="50">
        <f t="shared" si="31"/>
        <v>44753.749999999418</v>
      </c>
    </row>
    <row r="247" spans="4:14" ht="14.1" x14ac:dyDescent="0.7">
      <c r="D247" s="43" t="str">
        <f t="shared" si="25"/>
        <v/>
      </c>
      <c r="G247" s="43">
        <f t="shared" si="27"/>
        <v>44743.177083332746</v>
      </c>
      <c r="H247" s="44"/>
      <c r="J247" s="43">
        <f t="shared" si="28"/>
        <v>44753.791666666082</v>
      </c>
      <c r="K247" s="44" t="b">
        <f t="shared" ca="1" si="26"/>
        <v>0</v>
      </c>
      <c r="L247" s="44">
        <f t="shared" si="29"/>
        <v>0</v>
      </c>
      <c r="M247" s="51" t="str">
        <f t="shared" ca="1" si="30"/>
        <v/>
      </c>
      <c r="N247" s="50">
        <f t="shared" si="31"/>
        <v>44753.791666666082</v>
      </c>
    </row>
    <row r="248" spans="4:14" ht="14.1" x14ac:dyDescent="0.7">
      <c r="D248" s="43" t="str">
        <f t="shared" si="25"/>
        <v/>
      </c>
      <c r="G248" s="43">
        <f t="shared" si="27"/>
        <v>44743.187499999411</v>
      </c>
      <c r="H248" s="44"/>
      <c r="J248" s="43">
        <f t="shared" si="28"/>
        <v>44753.833333332746</v>
      </c>
      <c r="K248" s="44" t="b">
        <f t="shared" ca="1" si="26"/>
        <v>0</v>
      </c>
      <c r="L248" s="44">
        <f t="shared" si="29"/>
        <v>0</v>
      </c>
      <c r="M248" s="51" t="str">
        <f t="shared" ca="1" si="30"/>
        <v/>
      </c>
      <c r="N248" s="50">
        <f t="shared" si="31"/>
        <v>44753.833333332746</v>
      </c>
    </row>
    <row r="249" spans="4:14" ht="14.1" x14ac:dyDescent="0.7">
      <c r="D249" s="43" t="str">
        <f t="shared" si="25"/>
        <v/>
      </c>
      <c r="G249" s="43">
        <f t="shared" si="27"/>
        <v>44743.197916666075</v>
      </c>
      <c r="H249" s="44"/>
      <c r="J249" s="43">
        <f t="shared" si="28"/>
        <v>44753.874999999411</v>
      </c>
      <c r="K249" s="44" t="b">
        <f t="shared" ca="1" si="26"/>
        <v>0</v>
      </c>
      <c r="L249" s="44">
        <f t="shared" si="29"/>
        <v>0</v>
      </c>
      <c r="M249" s="51" t="str">
        <f t="shared" ca="1" si="30"/>
        <v/>
      </c>
      <c r="N249" s="50">
        <f t="shared" si="31"/>
        <v>44753.874999999411</v>
      </c>
    </row>
    <row r="250" spans="4:14" ht="14.1" x14ac:dyDescent="0.7">
      <c r="D250" s="43" t="str">
        <f t="shared" si="25"/>
        <v/>
      </c>
      <c r="G250" s="43">
        <f t="shared" si="27"/>
        <v>44743.208333332739</v>
      </c>
      <c r="H250" s="44"/>
      <c r="J250" s="43">
        <f t="shared" si="28"/>
        <v>44753.916666666075</v>
      </c>
      <c r="K250" s="44" t="b">
        <f t="shared" ca="1" si="26"/>
        <v>0</v>
      </c>
      <c r="L250" s="44">
        <f t="shared" si="29"/>
        <v>0</v>
      </c>
      <c r="M250" s="51" t="str">
        <f t="shared" ca="1" si="30"/>
        <v/>
      </c>
      <c r="N250" s="50">
        <f t="shared" si="31"/>
        <v>44753.916666666075</v>
      </c>
    </row>
    <row r="251" spans="4:14" ht="14.1" x14ac:dyDescent="0.7">
      <c r="D251" s="43" t="str">
        <f t="shared" si="25"/>
        <v/>
      </c>
      <c r="G251" s="43">
        <f t="shared" si="27"/>
        <v>44743.218749999403</v>
      </c>
      <c r="H251" s="44"/>
      <c r="J251" s="43">
        <f t="shared" si="28"/>
        <v>44753.958333332739</v>
      </c>
      <c r="K251" s="44" t="b">
        <f t="shared" ca="1" si="26"/>
        <v>0</v>
      </c>
      <c r="L251" s="44">
        <f t="shared" si="29"/>
        <v>0</v>
      </c>
      <c r="M251" s="51" t="str">
        <f t="shared" ca="1" si="30"/>
        <v/>
      </c>
      <c r="N251" s="50">
        <f t="shared" si="31"/>
        <v>44753.958333332739</v>
      </c>
    </row>
    <row r="252" spans="4:14" ht="14.1" x14ac:dyDescent="0.7">
      <c r="D252" s="43" t="str">
        <f t="shared" si="25"/>
        <v/>
      </c>
      <c r="G252" s="43">
        <f t="shared" si="27"/>
        <v>44743.229166666068</v>
      </c>
      <c r="H252" s="44"/>
      <c r="J252" s="43">
        <f t="shared" si="28"/>
        <v>44753.999999999403</v>
      </c>
      <c r="K252" s="44" t="b">
        <f t="shared" ca="1" si="26"/>
        <v>0</v>
      </c>
      <c r="L252" s="44">
        <f t="shared" si="29"/>
        <v>0</v>
      </c>
      <c r="M252" s="51" t="str">
        <f t="shared" ca="1" si="30"/>
        <v/>
      </c>
      <c r="N252" s="50">
        <f t="shared" si="31"/>
        <v>44753.999999999403</v>
      </c>
    </row>
    <row r="253" spans="4:14" ht="14.1" x14ac:dyDescent="0.7">
      <c r="D253" s="43" t="str">
        <f t="shared" si="25"/>
        <v/>
      </c>
      <c r="G253" s="43">
        <f t="shared" si="27"/>
        <v>44743.239583332732</v>
      </c>
      <c r="H253" s="44"/>
      <c r="J253" s="43">
        <f t="shared" si="28"/>
        <v>44754.041666666068</v>
      </c>
      <c r="K253" s="44" t="b">
        <f t="shared" ca="1" si="26"/>
        <v>0</v>
      </c>
      <c r="L253" s="44">
        <f t="shared" si="29"/>
        <v>0</v>
      </c>
      <c r="M253" s="51" t="str">
        <f t="shared" ca="1" si="30"/>
        <v/>
      </c>
      <c r="N253" s="50">
        <f t="shared" si="31"/>
        <v>44754.041666666068</v>
      </c>
    </row>
    <row r="254" spans="4:14" ht="14.1" x14ac:dyDescent="0.7">
      <c r="D254" s="43" t="str">
        <f t="shared" si="25"/>
        <v/>
      </c>
      <c r="G254" s="43">
        <f t="shared" si="27"/>
        <v>44743.249999999396</v>
      </c>
      <c r="H254" s="44"/>
      <c r="J254" s="43">
        <f t="shared" si="28"/>
        <v>44754.083333332732</v>
      </c>
      <c r="K254" s="44" t="b">
        <f t="shared" ca="1" si="26"/>
        <v>0</v>
      </c>
      <c r="L254" s="44">
        <f t="shared" si="29"/>
        <v>0</v>
      </c>
      <c r="M254" s="51" t="str">
        <f t="shared" ca="1" si="30"/>
        <v/>
      </c>
      <c r="N254" s="50">
        <f t="shared" si="31"/>
        <v>44754.083333332732</v>
      </c>
    </row>
    <row r="255" spans="4:14" ht="14.1" x14ac:dyDescent="0.7">
      <c r="D255" s="43" t="str">
        <f t="shared" si="25"/>
        <v/>
      </c>
      <c r="G255" s="43">
        <f t="shared" si="27"/>
        <v>44743.26041666606</v>
      </c>
      <c r="H255" s="44"/>
      <c r="J255" s="43">
        <f t="shared" si="28"/>
        <v>44754.124999999396</v>
      </c>
      <c r="K255" s="44" t="b">
        <f t="shared" ca="1" si="26"/>
        <v>0</v>
      </c>
      <c r="L255" s="44">
        <f t="shared" si="29"/>
        <v>0</v>
      </c>
      <c r="M255" s="51" t="str">
        <f t="shared" ca="1" si="30"/>
        <v/>
      </c>
      <c r="N255" s="50">
        <f t="shared" si="31"/>
        <v>44754.124999999396</v>
      </c>
    </row>
    <row r="256" spans="4:14" ht="14.1" x14ac:dyDescent="0.7">
      <c r="D256" s="43" t="str">
        <f t="shared" si="25"/>
        <v/>
      </c>
      <c r="G256" s="43">
        <f t="shared" si="27"/>
        <v>44743.270833332725</v>
      </c>
      <c r="H256" s="44"/>
      <c r="J256" s="43">
        <f t="shared" si="28"/>
        <v>44754.16666666606</v>
      </c>
      <c r="K256" s="44" t="b">
        <f t="shared" ca="1" si="26"/>
        <v>0</v>
      </c>
      <c r="L256" s="44">
        <f t="shared" si="29"/>
        <v>0</v>
      </c>
      <c r="M256" s="51" t="str">
        <f t="shared" ca="1" si="30"/>
        <v/>
      </c>
      <c r="N256" s="50">
        <f t="shared" si="31"/>
        <v>44754.16666666606</v>
      </c>
    </row>
    <row r="257" spans="4:14" ht="14.1" x14ac:dyDescent="0.7">
      <c r="D257" s="43" t="str">
        <f t="shared" si="25"/>
        <v/>
      </c>
      <c r="G257" s="43">
        <f t="shared" si="27"/>
        <v>44743.281249999389</v>
      </c>
      <c r="H257" s="44"/>
      <c r="J257" s="43">
        <f t="shared" si="28"/>
        <v>44754.208333332725</v>
      </c>
      <c r="K257" s="44" t="b">
        <f t="shared" ca="1" si="26"/>
        <v>0</v>
      </c>
      <c r="L257" s="44">
        <f t="shared" si="29"/>
        <v>0</v>
      </c>
      <c r="M257" s="51" t="str">
        <f t="shared" ca="1" si="30"/>
        <v/>
      </c>
      <c r="N257" s="50">
        <f t="shared" si="31"/>
        <v>44754.208333332725</v>
      </c>
    </row>
    <row r="258" spans="4:14" ht="14.1" x14ac:dyDescent="0.7">
      <c r="D258" s="43" t="str">
        <f t="shared" si="25"/>
        <v/>
      </c>
      <c r="G258" s="43">
        <f t="shared" si="27"/>
        <v>44743.291666666053</v>
      </c>
      <c r="H258" s="44"/>
      <c r="J258" s="43">
        <f t="shared" si="28"/>
        <v>44754.249999999389</v>
      </c>
      <c r="K258" s="44" t="b">
        <f t="shared" ca="1" si="26"/>
        <v>0</v>
      </c>
      <c r="L258" s="44">
        <f t="shared" si="29"/>
        <v>0</v>
      </c>
      <c r="M258" s="51" t="str">
        <f t="shared" ca="1" si="30"/>
        <v/>
      </c>
      <c r="N258" s="50">
        <f t="shared" si="31"/>
        <v>44754.249999999389</v>
      </c>
    </row>
    <row r="259" spans="4:14" ht="14.1" x14ac:dyDescent="0.7">
      <c r="D259" s="43" t="str">
        <f t="shared" si="25"/>
        <v/>
      </c>
      <c r="G259" s="43">
        <f t="shared" si="27"/>
        <v>44743.302083332717</v>
      </c>
      <c r="H259" s="44"/>
      <c r="J259" s="43">
        <f t="shared" si="28"/>
        <v>44754.291666666053</v>
      </c>
      <c r="K259" s="44" t="b">
        <f t="shared" ca="1" si="26"/>
        <v>0</v>
      </c>
      <c r="L259" s="44">
        <f t="shared" si="29"/>
        <v>0</v>
      </c>
      <c r="M259" s="51" t="str">
        <f t="shared" ca="1" si="30"/>
        <v/>
      </c>
      <c r="N259" s="50">
        <f t="shared" si="31"/>
        <v>44754.291666666053</v>
      </c>
    </row>
    <row r="260" spans="4:14" ht="14.1" x14ac:dyDescent="0.7">
      <c r="D260" s="43" t="str">
        <f t="shared" si="25"/>
        <v/>
      </c>
      <c r="G260" s="43">
        <f t="shared" si="27"/>
        <v>44743.312499999382</v>
      </c>
      <c r="H260" s="44"/>
      <c r="J260" s="43">
        <f t="shared" si="28"/>
        <v>44754.333333332717</v>
      </c>
      <c r="K260" s="44" t="b">
        <f t="shared" ca="1" si="26"/>
        <v>0</v>
      </c>
      <c r="L260" s="44">
        <f t="shared" si="29"/>
        <v>0</v>
      </c>
      <c r="M260" s="51" t="str">
        <f t="shared" ca="1" si="30"/>
        <v/>
      </c>
      <c r="N260" s="50">
        <f t="shared" si="31"/>
        <v>44754.333333332717</v>
      </c>
    </row>
    <row r="261" spans="4:14" ht="14.1" x14ac:dyDescent="0.7">
      <c r="D261" s="43" t="str">
        <f t="shared" si="25"/>
        <v/>
      </c>
      <c r="G261" s="43">
        <f t="shared" si="27"/>
        <v>44743.322916666046</v>
      </c>
      <c r="H261" s="44"/>
      <c r="J261" s="43">
        <f t="shared" si="28"/>
        <v>44754.374999999382</v>
      </c>
      <c r="K261" s="44" t="b">
        <f t="shared" ca="1" si="26"/>
        <v>0</v>
      </c>
      <c r="L261" s="44">
        <f t="shared" si="29"/>
        <v>0</v>
      </c>
      <c r="M261" s="51" t="str">
        <f t="shared" ca="1" si="30"/>
        <v/>
      </c>
      <c r="N261" s="50">
        <f t="shared" si="31"/>
        <v>44754.374999999382</v>
      </c>
    </row>
    <row r="262" spans="4:14" ht="14.1" x14ac:dyDescent="0.7">
      <c r="D262" s="43" t="str">
        <f t="shared" si="25"/>
        <v/>
      </c>
      <c r="G262" s="43">
        <f t="shared" si="27"/>
        <v>44743.33333333271</v>
      </c>
      <c r="H262" s="44"/>
      <c r="J262" s="43">
        <f t="shared" si="28"/>
        <v>44754.416666666046</v>
      </c>
      <c r="K262" s="44" t="b">
        <f t="shared" ca="1" si="26"/>
        <v>0</v>
      </c>
      <c r="L262" s="44">
        <f t="shared" si="29"/>
        <v>0</v>
      </c>
      <c r="M262" s="51" t="str">
        <f t="shared" ca="1" si="30"/>
        <v/>
      </c>
      <c r="N262" s="50">
        <f t="shared" si="31"/>
        <v>44754.416666666046</v>
      </c>
    </row>
    <row r="263" spans="4:14" ht="14.1" x14ac:dyDescent="0.7">
      <c r="D263" s="43" t="str">
        <f t="shared" ref="D263:D326" si="32">IFERROR(DATE(LEFT(B263,4),MID(B263,5,2),MID(B263,7,2))+TIME(MID(B263,9,2),MID(B263,11,2),MID(B263,13,2)),"")</f>
        <v/>
      </c>
      <c r="G263" s="43">
        <f t="shared" si="27"/>
        <v>44743.343749999374</v>
      </c>
      <c r="H263" s="44"/>
      <c r="J263" s="43">
        <f t="shared" si="28"/>
        <v>44754.45833333271</v>
      </c>
      <c r="K263" s="44" t="b">
        <f t="shared" ref="K263:K326" ca="1" si="33">J$1&gt;=J263+TIME(1,0,0)</f>
        <v>0</v>
      </c>
      <c r="L263" s="44">
        <f t="shared" si="29"/>
        <v>0</v>
      </c>
      <c r="M263" s="51" t="str">
        <f t="shared" ca="1" si="30"/>
        <v/>
      </c>
      <c r="N263" s="50">
        <f t="shared" si="31"/>
        <v>44754.45833333271</v>
      </c>
    </row>
    <row r="264" spans="4:14" ht="14.1" x14ac:dyDescent="0.7">
      <c r="D264" s="43" t="str">
        <f t="shared" si="32"/>
        <v/>
      </c>
      <c r="G264" s="43">
        <f t="shared" ref="G264:G327" si="34">G263+TIME(0,15,0)</f>
        <v>44743.354166666039</v>
      </c>
      <c r="H264" s="44"/>
      <c r="J264" s="43">
        <f t="shared" ref="J264:J327" si="35">J263+TIME(1,0,0)</f>
        <v>44754.499999999374</v>
      </c>
      <c r="K264" s="44" t="b">
        <f t="shared" ca="1" si="33"/>
        <v>0</v>
      </c>
      <c r="L264" s="44">
        <f t="shared" si="29"/>
        <v>0</v>
      </c>
      <c r="M264" s="51" t="str">
        <f t="shared" ca="1" si="30"/>
        <v/>
      </c>
      <c r="N264" s="50">
        <f t="shared" si="31"/>
        <v>44754.499999999374</v>
      </c>
    </row>
    <row r="265" spans="4:14" ht="14.1" x14ac:dyDescent="0.7">
      <c r="D265" s="43" t="str">
        <f t="shared" si="32"/>
        <v/>
      </c>
      <c r="G265" s="43">
        <f t="shared" si="34"/>
        <v>44743.364583332703</v>
      </c>
      <c r="H265" s="44"/>
      <c r="J265" s="43">
        <f t="shared" si="35"/>
        <v>44754.541666666039</v>
      </c>
      <c r="K265" s="44" t="b">
        <f t="shared" ca="1" si="33"/>
        <v>0</v>
      </c>
      <c r="L265" s="44">
        <f t="shared" si="29"/>
        <v>0</v>
      </c>
      <c r="M265" s="51" t="str">
        <f t="shared" ca="1" si="30"/>
        <v/>
      </c>
      <c r="N265" s="50">
        <f t="shared" si="31"/>
        <v>44754.541666666039</v>
      </c>
    </row>
    <row r="266" spans="4:14" ht="14.1" x14ac:dyDescent="0.7">
      <c r="D266" s="43" t="str">
        <f t="shared" si="32"/>
        <v/>
      </c>
      <c r="G266" s="43">
        <f t="shared" si="34"/>
        <v>44743.374999999367</v>
      </c>
      <c r="H266" s="44"/>
      <c r="J266" s="43">
        <f t="shared" si="35"/>
        <v>44754.583333332703</v>
      </c>
      <c r="K266" s="44" t="b">
        <f t="shared" ca="1" si="33"/>
        <v>0</v>
      </c>
      <c r="L266" s="44">
        <f t="shared" si="29"/>
        <v>0</v>
      </c>
      <c r="M266" s="51" t="str">
        <f t="shared" ca="1" si="30"/>
        <v/>
      </c>
      <c r="N266" s="50">
        <f t="shared" si="31"/>
        <v>44754.583333332703</v>
      </c>
    </row>
    <row r="267" spans="4:14" ht="14.1" x14ac:dyDescent="0.7">
      <c r="D267" s="43" t="str">
        <f t="shared" si="32"/>
        <v/>
      </c>
      <c r="G267" s="43">
        <f t="shared" si="34"/>
        <v>44743.385416666031</v>
      </c>
      <c r="H267" s="44"/>
      <c r="J267" s="43">
        <f t="shared" si="35"/>
        <v>44754.624999999367</v>
      </c>
      <c r="K267" s="44" t="b">
        <f t="shared" ca="1" si="33"/>
        <v>0</v>
      </c>
      <c r="L267" s="44">
        <f t="shared" si="29"/>
        <v>0</v>
      </c>
      <c r="M267" s="51" t="str">
        <f t="shared" ca="1" si="30"/>
        <v/>
      </c>
      <c r="N267" s="50">
        <f t="shared" si="31"/>
        <v>44754.624999999367</v>
      </c>
    </row>
    <row r="268" spans="4:14" ht="14.1" x14ac:dyDescent="0.7">
      <c r="D268" s="43" t="str">
        <f t="shared" si="32"/>
        <v/>
      </c>
      <c r="G268" s="43">
        <f t="shared" si="34"/>
        <v>44743.395833332695</v>
      </c>
      <c r="H268" s="44"/>
      <c r="J268" s="43">
        <f t="shared" si="35"/>
        <v>44754.666666666031</v>
      </c>
      <c r="K268" s="44" t="b">
        <f t="shared" ca="1" si="33"/>
        <v>0</v>
      </c>
      <c r="L268" s="44">
        <f t="shared" si="29"/>
        <v>0</v>
      </c>
      <c r="M268" s="51" t="str">
        <f t="shared" ca="1" si="30"/>
        <v/>
      </c>
      <c r="N268" s="50">
        <f t="shared" si="31"/>
        <v>44754.666666666031</v>
      </c>
    </row>
    <row r="269" spans="4:14" ht="14.1" x14ac:dyDescent="0.7">
      <c r="D269" s="43" t="str">
        <f t="shared" si="32"/>
        <v/>
      </c>
      <c r="G269" s="43">
        <f t="shared" si="34"/>
        <v>44743.40624999936</v>
      </c>
      <c r="H269" s="44"/>
      <c r="J269" s="43">
        <f t="shared" si="35"/>
        <v>44754.708333332695</v>
      </c>
      <c r="K269" s="44" t="b">
        <f t="shared" ca="1" si="33"/>
        <v>0</v>
      </c>
      <c r="L269" s="44">
        <f t="shared" si="29"/>
        <v>0</v>
      </c>
      <c r="M269" s="51" t="str">
        <f t="shared" ca="1" si="30"/>
        <v/>
      </c>
      <c r="N269" s="50">
        <f t="shared" si="31"/>
        <v>44754.708333332695</v>
      </c>
    </row>
    <row r="270" spans="4:14" ht="14.1" x14ac:dyDescent="0.7">
      <c r="D270" s="43" t="str">
        <f t="shared" si="32"/>
        <v/>
      </c>
      <c r="G270" s="43">
        <f t="shared" si="34"/>
        <v>44743.416666666024</v>
      </c>
      <c r="H270" s="44"/>
      <c r="J270" s="43">
        <f t="shared" si="35"/>
        <v>44754.74999999936</v>
      </c>
      <c r="K270" s="44" t="b">
        <f t="shared" ca="1" si="33"/>
        <v>0</v>
      </c>
      <c r="L270" s="44">
        <f t="shared" si="29"/>
        <v>0</v>
      </c>
      <c r="M270" s="51" t="str">
        <f t="shared" ca="1" si="30"/>
        <v/>
      </c>
      <c r="N270" s="50">
        <f t="shared" si="31"/>
        <v>44754.74999999936</v>
      </c>
    </row>
    <row r="271" spans="4:14" ht="14.1" x14ac:dyDescent="0.7">
      <c r="D271" s="43" t="str">
        <f t="shared" si="32"/>
        <v/>
      </c>
      <c r="G271" s="43">
        <f t="shared" si="34"/>
        <v>44743.427083332688</v>
      </c>
      <c r="H271" s="44"/>
      <c r="J271" s="43">
        <f t="shared" si="35"/>
        <v>44754.791666666024</v>
      </c>
      <c r="K271" s="44" t="b">
        <f t="shared" ca="1" si="33"/>
        <v>0</v>
      </c>
      <c r="L271" s="44">
        <f t="shared" si="29"/>
        <v>0</v>
      </c>
      <c r="M271" s="51" t="str">
        <f t="shared" ca="1" si="30"/>
        <v/>
      </c>
      <c r="N271" s="50">
        <f t="shared" si="31"/>
        <v>44754.791666666024</v>
      </c>
    </row>
    <row r="272" spans="4:14" ht="14.1" x14ac:dyDescent="0.7">
      <c r="D272" s="43" t="str">
        <f t="shared" si="32"/>
        <v/>
      </c>
      <c r="G272" s="43">
        <f t="shared" si="34"/>
        <v>44743.437499999352</v>
      </c>
      <c r="H272" s="44"/>
      <c r="J272" s="43">
        <f t="shared" si="35"/>
        <v>44754.833333332688</v>
      </c>
      <c r="K272" s="44" t="b">
        <f t="shared" ca="1" si="33"/>
        <v>0</v>
      </c>
      <c r="L272" s="44">
        <f t="shared" si="29"/>
        <v>0</v>
      </c>
      <c r="M272" s="51" t="str">
        <f t="shared" ca="1" si="30"/>
        <v/>
      </c>
      <c r="N272" s="50">
        <f t="shared" si="31"/>
        <v>44754.833333332688</v>
      </c>
    </row>
    <row r="273" spans="4:14" ht="14.1" x14ac:dyDescent="0.7">
      <c r="D273" s="43" t="str">
        <f t="shared" si="32"/>
        <v/>
      </c>
      <c r="G273" s="43">
        <f t="shared" si="34"/>
        <v>44743.447916666017</v>
      </c>
      <c r="H273" s="44"/>
      <c r="J273" s="43">
        <f t="shared" si="35"/>
        <v>44754.874999999352</v>
      </c>
      <c r="K273" s="44" t="b">
        <f t="shared" ca="1" si="33"/>
        <v>0</v>
      </c>
      <c r="L273" s="44">
        <f t="shared" si="29"/>
        <v>0</v>
      </c>
      <c r="M273" s="51" t="str">
        <f t="shared" ca="1" si="30"/>
        <v/>
      </c>
      <c r="N273" s="50">
        <f t="shared" si="31"/>
        <v>44754.874999999352</v>
      </c>
    </row>
    <row r="274" spans="4:14" ht="14.1" x14ac:dyDescent="0.7">
      <c r="D274" s="43" t="str">
        <f t="shared" si="32"/>
        <v/>
      </c>
      <c r="G274" s="43">
        <f t="shared" si="34"/>
        <v>44743.458333332681</v>
      </c>
      <c r="H274" s="44"/>
      <c r="J274" s="43">
        <f t="shared" si="35"/>
        <v>44754.916666666017</v>
      </c>
      <c r="K274" s="44" t="b">
        <f t="shared" ca="1" si="33"/>
        <v>0</v>
      </c>
      <c r="L274" s="44">
        <f t="shared" si="29"/>
        <v>0</v>
      </c>
      <c r="M274" s="51" t="str">
        <f t="shared" ca="1" si="30"/>
        <v/>
      </c>
      <c r="N274" s="50">
        <f t="shared" si="31"/>
        <v>44754.916666666017</v>
      </c>
    </row>
    <row r="275" spans="4:14" ht="14.1" x14ac:dyDescent="0.7">
      <c r="D275" s="43" t="str">
        <f t="shared" si="32"/>
        <v/>
      </c>
      <c r="G275" s="43">
        <f t="shared" si="34"/>
        <v>44743.468749999345</v>
      </c>
      <c r="H275" s="44"/>
      <c r="J275" s="43">
        <f t="shared" si="35"/>
        <v>44754.958333332681</v>
      </c>
      <c r="K275" s="44" t="b">
        <f t="shared" ca="1" si="33"/>
        <v>0</v>
      </c>
      <c r="L275" s="44">
        <f t="shared" si="29"/>
        <v>0</v>
      </c>
      <c r="M275" s="51" t="str">
        <f t="shared" ca="1" si="30"/>
        <v/>
      </c>
      <c r="N275" s="50">
        <f t="shared" si="31"/>
        <v>44754.958333332681</v>
      </c>
    </row>
    <row r="276" spans="4:14" ht="14.1" x14ac:dyDescent="0.7">
      <c r="D276" s="43" t="str">
        <f t="shared" si="32"/>
        <v/>
      </c>
      <c r="G276" s="43">
        <f t="shared" si="34"/>
        <v>44743.479166666009</v>
      </c>
      <c r="H276" s="44"/>
      <c r="J276" s="43">
        <f t="shared" si="35"/>
        <v>44754.999999999345</v>
      </c>
      <c r="K276" s="44" t="b">
        <f t="shared" ca="1" si="33"/>
        <v>0</v>
      </c>
      <c r="L276" s="44">
        <f t="shared" si="29"/>
        <v>0</v>
      </c>
      <c r="M276" s="51" t="str">
        <f t="shared" ca="1" si="30"/>
        <v/>
      </c>
      <c r="N276" s="50">
        <f t="shared" si="31"/>
        <v>44754.999999999345</v>
      </c>
    </row>
    <row r="277" spans="4:14" ht="14.1" x14ac:dyDescent="0.7">
      <c r="D277" s="43" t="str">
        <f t="shared" si="32"/>
        <v/>
      </c>
      <c r="G277" s="43">
        <f t="shared" si="34"/>
        <v>44743.489583332674</v>
      </c>
      <c r="H277" s="44"/>
      <c r="J277" s="43">
        <f t="shared" si="35"/>
        <v>44755.041666666009</v>
      </c>
      <c r="K277" s="44" t="b">
        <f t="shared" ca="1" si="33"/>
        <v>0</v>
      </c>
      <c r="L277" s="44">
        <f t="shared" si="29"/>
        <v>0</v>
      </c>
      <c r="M277" s="51" t="str">
        <f t="shared" ca="1" si="30"/>
        <v/>
      </c>
      <c r="N277" s="50">
        <f t="shared" si="31"/>
        <v>44755.041666666009</v>
      </c>
    </row>
    <row r="278" spans="4:14" ht="14.1" x14ac:dyDescent="0.7">
      <c r="D278" s="43" t="str">
        <f t="shared" si="32"/>
        <v/>
      </c>
      <c r="G278" s="43">
        <f t="shared" si="34"/>
        <v>44743.499999999338</v>
      </c>
      <c r="H278" s="44"/>
      <c r="J278" s="43">
        <f t="shared" si="35"/>
        <v>44755.083333332674</v>
      </c>
      <c r="K278" s="44" t="b">
        <f t="shared" ca="1" si="33"/>
        <v>0</v>
      </c>
      <c r="L278" s="44">
        <f t="shared" si="29"/>
        <v>0</v>
      </c>
      <c r="M278" s="51" t="str">
        <f t="shared" ca="1" si="30"/>
        <v/>
      </c>
      <c r="N278" s="50">
        <f t="shared" si="31"/>
        <v>44755.083333332674</v>
      </c>
    </row>
    <row r="279" spans="4:14" ht="14.1" x14ac:dyDescent="0.7">
      <c r="D279" s="43" t="str">
        <f t="shared" si="32"/>
        <v/>
      </c>
      <c r="G279" s="43">
        <f t="shared" si="34"/>
        <v>44743.510416666002</v>
      </c>
      <c r="H279" s="44"/>
      <c r="J279" s="43">
        <f t="shared" si="35"/>
        <v>44755.124999999338</v>
      </c>
      <c r="K279" s="44" t="b">
        <f t="shared" ca="1" si="33"/>
        <v>0</v>
      </c>
      <c r="L279" s="44">
        <f t="shared" si="29"/>
        <v>0</v>
      </c>
      <c r="M279" s="51" t="str">
        <f t="shared" ca="1" si="30"/>
        <v/>
      </c>
      <c r="N279" s="50">
        <f t="shared" si="31"/>
        <v>44755.124999999338</v>
      </c>
    </row>
    <row r="280" spans="4:14" ht="14.1" x14ac:dyDescent="0.7">
      <c r="D280" s="43" t="str">
        <f t="shared" si="32"/>
        <v/>
      </c>
      <c r="G280" s="43">
        <f t="shared" si="34"/>
        <v>44743.520833332666</v>
      </c>
      <c r="H280" s="44"/>
      <c r="J280" s="43">
        <f t="shared" si="35"/>
        <v>44755.166666666002</v>
      </c>
      <c r="K280" s="44" t="b">
        <f t="shared" ca="1" si="33"/>
        <v>0</v>
      </c>
      <c r="L280" s="44">
        <f t="shared" si="29"/>
        <v>0</v>
      </c>
      <c r="M280" s="51" t="str">
        <f t="shared" ca="1" si="30"/>
        <v/>
      </c>
      <c r="N280" s="50">
        <f t="shared" si="31"/>
        <v>44755.166666666002</v>
      </c>
    </row>
    <row r="281" spans="4:14" ht="14.1" x14ac:dyDescent="0.7">
      <c r="D281" s="43" t="str">
        <f t="shared" si="32"/>
        <v/>
      </c>
      <c r="G281" s="43">
        <f t="shared" si="34"/>
        <v>44743.531249999331</v>
      </c>
      <c r="H281" s="44"/>
      <c r="J281" s="43">
        <f t="shared" si="35"/>
        <v>44755.208333332666</v>
      </c>
      <c r="K281" s="44" t="b">
        <f t="shared" ca="1" si="33"/>
        <v>0</v>
      </c>
      <c r="L281" s="44">
        <f t="shared" si="29"/>
        <v>0</v>
      </c>
      <c r="M281" s="51" t="str">
        <f t="shared" ca="1" si="30"/>
        <v/>
      </c>
      <c r="N281" s="50">
        <f t="shared" si="31"/>
        <v>44755.208333332666</v>
      </c>
    </row>
    <row r="282" spans="4:14" ht="14.1" x14ac:dyDescent="0.7">
      <c r="D282" s="43" t="str">
        <f t="shared" si="32"/>
        <v/>
      </c>
      <c r="G282" s="43">
        <f t="shared" si="34"/>
        <v>44743.541666665995</v>
      </c>
      <c r="H282" s="44"/>
      <c r="J282" s="43">
        <f t="shared" si="35"/>
        <v>44755.249999999331</v>
      </c>
      <c r="K282" s="44" t="b">
        <f t="shared" ca="1" si="33"/>
        <v>0</v>
      </c>
      <c r="L282" s="44">
        <f t="shared" si="29"/>
        <v>0</v>
      </c>
      <c r="M282" s="51" t="str">
        <f t="shared" ca="1" si="30"/>
        <v/>
      </c>
      <c r="N282" s="50">
        <f t="shared" si="31"/>
        <v>44755.249999999331</v>
      </c>
    </row>
    <row r="283" spans="4:14" ht="14.1" x14ac:dyDescent="0.7">
      <c r="D283" s="43" t="str">
        <f t="shared" si="32"/>
        <v/>
      </c>
      <c r="G283" s="43">
        <f t="shared" si="34"/>
        <v>44743.552083332659</v>
      </c>
      <c r="H283" s="44"/>
      <c r="J283" s="43">
        <f t="shared" si="35"/>
        <v>44755.291666665995</v>
      </c>
      <c r="K283" s="44" t="b">
        <f t="shared" ca="1" si="33"/>
        <v>0</v>
      </c>
      <c r="L283" s="44">
        <f t="shared" si="29"/>
        <v>0</v>
      </c>
      <c r="M283" s="51" t="str">
        <f t="shared" ca="1" si="30"/>
        <v/>
      </c>
      <c r="N283" s="50">
        <f t="shared" si="31"/>
        <v>44755.291666665995</v>
      </c>
    </row>
    <row r="284" spans="4:14" ht="14.1" x14ac:dyDescent="0.7">
      <c r="D284" s="43" t="str">
        <f t="shared" si="32"/>
        <v/>
      </c>
      <c r="G284" s="43">
        <f t="shared" si="34"/>
        <v>44743.562499999323</v>
      </c>
      <c r="H284" s="44"/>
      <c r="J284" s="43">
        <f t="shared" si="35"/>
        <v>44755.333333332659</v>
      </c>
      <c r="K284" s="44" t="b">
        <f t="shared" ca="1" si="33"/>
        <v>0</v>
      </c>
      <c r="L284" s="44">
        <f t="shared" si="29"/>
        <v>0</v>
      </c>
      <c r="M284" s="51" t="str">
        <f t="shared" ca="1" si="30"/>
        <v/>
      </c>
      <c r="N284" s="50">
        <f t="shared" si="31"/>
        <v>44755.333333332659</v>
      </c>
    </row>
    <row r="285" spans="4:14" ht="14.1" x14ac:dyDescent="0.7">
      <c r="D285" s="43" t="str">
        <f t="shared" si="32"/>
        <v/>
      </c>
      <c r="G285" s="43">
        <f t="shared" si="34"/>
        <v>44743.572916665988</v>
      </c>
      <c r="H285" s="44"/>
      <c r="J285" s="43">
        <f t="shared" si="35"/>
        <v>44755.374999999323</v>
      </c>
      <c r="K285" s="44" t="b">
        <f t="shared" ca="1" si="33"/>
        <v>0</v>
      </c>
      <c r="L285" s="44">
        <f t="shared" si="29"/>
        <v>0</v>
      </c>
      <c r="M285" s="51" t="str">
        <f t="shared" ca="1" si="30"/>
        <v/>
      </c>
      <c r="N285" s="50">
        <f t="shared" si="31"/>
        <v>44755.374999999323</v>
      </c>
    </row>
    <row r="286" spans="4:14" ht="14.1" x14ac:dyDescent="0.7">
      <c r="D286" s="43" t="str">
        <f t="shared" si="32"/>
        <v/>
      </c>
      <c r="G286" s="43">
        <f t="shared" si="34"/>
        <v>44743.583333332652</v>
      </c>
      <c r="H286" s="44"/>
      <c r="J286" s="43">
        <f t="shared" si="35"/>
        <v>44755.416666665988</v>
      </c>
      <c r="K286" s="44" t="b">
        <f t="shared" ca="1" si="33"/>
        <v>0</v>
      </c>
      <c r="L286" s="44">
        <f t="shared" si="29"/>
        <v>0</v>
      </c>
      <c r="M286" s="51" t="str">
        <f t="shared" ca="1" si="30"/>
        <v/>
      </c>
      <c r="N286" s="50">
        <f t="shared" si="31"/>
        <v>44755.416666665988</v>
      </c>
    </row>
    <row r="287" spans="4:14" ht="14.1" x14ac:dyDescent="0.7">
      <c r="D287" s="43" t="str">
        <f t="shared" si="32"/>
        <v/>
      </c>
      <c r="G287" s="43">
        <f t="shared" si="34"/>
        <v>44743.593749999316</v>
      </c>
      <c r="H287" s="44"/>
      <c r="J287" s="43">
        <f t="shared" si="35"/>
        <v>44755.458333332652</v>
      </c>
      <c r="K287" s="44" t="b">
        <f t="shared" ca="1" si="33"/>
        <v>0</v>
      </c>
      <c r="L287" s="44">
        <f t="shared" si="29"/>
        <v>0</v>
      </c>
      <c r="M287" s="51" t="str">
        <f t="shared" ca="1" si="30"/>
        <v/>
      </c>
      <c r="N287" s="50">
        <f t="shared" si="31"/>
        <v>44755.458333332652</v>
      </c>
    </row>
    <row r="288" spans="4:14" ht="14.1" x14ac:dyDescent="0.7">
      <c r="D288" s="43" t="str">
        <f t="shared" si="32"/>
        <v/>
      </c>
      <c r="G288" s="43">
        <f t="shared" si="34"/>
        <v>44743.60416666598</v>
      </c>
      <c r="H288" s="44"/>
      <c r="J288" s="43">
        <f t="shared" si="35"/>
        <v>44755.499999999316</v>
      </c>
      <c r="K288" s="44" t="b">
        <f t="shared" ca="1" si="33"/>
        <v>0</v>
      </c>
      <c r="L288" s="44">
        <f t="shared" si="29"/>
        <v>0</v>
      </c>
      <c r="M288" s="51" t="str">
        <f t="shared" ca="1" si="30"/>
        <v/>
      </c>
      <c r="N288" s="50">
        <f t="shared" si="31"/>
        <v>44755.499999999316</v>
      </c>
    </row>
    <row r="289" spans="4:14" ht="14.1" x14ac:dyDescent="0.7">
      <c r="D289" s="43" t="str">
        <f t="shared" si="32"/>
        <v/>
      </c>
      <c r="G289" s="43">
        <f t="shared" si="34"/>
        <v>44743.614583332645</v>
      </c>
      <c r="H289" s="44"/>
      <c r="J289" s="43">
        <f t="shared" si="35"/>
        <v>44755.54166666598</v>
      </c>
      <c r="K289" s="44" t="b">
        <f t="shared" ca="1" si="33"/>
        <v>0</v>
      </c>
      <c r="L289" s="44">
        <f t="shared" ref="L289:L352" si="36">COUNTIFS($D$6:$D$251,"&gt;="&amp;J289,$D$6:$D$251,"&lt;"&amp;J290)</f>
        <v>0</v>
      </c>
      <c r="M289" s="51" t="str">
        <f t="shared" ref="M289:M352" ca="1" si="37">IF(K289,L289/60,"")</f>
        <v/>
      </c>
      <c r="N289" s="50">
        <f t="shared" ref="N289:N352" si="38">J289</f>
        <v>44755.54166666598</v>
      </c>
    </row>
    <row r="290" spans="4:14" ht="14.1" x14ac:dyDescent="0.7">
      <c r="D290" s="43" t="str">
        <f t="shared" si="32"/>
        <v/>
      </c>
      <c r="G290" s="43">
        <f t="shared" si="34"/>
        <v>44743.624999999309</v>
      </c>
      <c r="H290" s="44"/>
      <c r="J290" s="43">
        <f t="shared" si="35"/>
        <v>44755.583333332645</v>
      </c>
      <c r="K290" s="44" t="b">
        <f t="shared" ca="1" si="33"/>
        <v>0</v>
      </c>
      <c r="L290" s="44">
        <f t="shared" si="36"/>
        <v>0</v>
      </c>
      <c r="M290" s="51" t="str">
        <f t="shared" ca="1" si="37"/>
        <v/>
      </c>
      <c r="N290" s="50">
        <f t="shared" si="38"/>
        <v>44755.583333332645</v>
      </c>
    </row>
    <row r="291" spans="4:14" ht="14.1" x14ac:dyDescent="0.7">
      <c r="D291" s="43" t="str">
        <f t="shared" si="32"/>
        <v/>
      </c>
      <c r="G291" s="43">
        <f t="shared" si="34"/>
        <v>44743.635416665973</v>
      </c>
      <c r="H291" s="44"/>
      <c r="J291" s="43">
        <f t="shared" si="35"/>
        <v>44755.624999999309</v>
      </c>
      <c r="K291" s="44" t="b">
        <f t="shared" ca="1" si="33"/>
        <v>0</v>
      </c>
      <c r="L291" s="44">
        <f t="shared" si="36"/>
        <v>0</v>
      </c>
      <c r="M291" s="51" t="str">
        <f t="shared" ca="1" si="37"/>
        <v/>
      </c>
      <c r="N291" s="50">
        <f t="shared" si="38"/>
        <v>44755.624999999309</v>
      </c>
    </row>
    <row r="292" spans="4:14" ht="14.1" x14ac:dyDescent="0.7">
      <c r="D292" s="43" t="str">
        <f t="shared" si="32"/>
        <v/>
      </c>
      <c r="G292" s="43">
        <f t="shared" si="34"/>
        <v>44743.645833332637</v>
      </c>
      <c r="H292" s="44"/>
      <c r="J292" s="43">
        <f t="shared" si="35"/>
        <v>44755.666666665973</v>
      </c>
      <c r="K292" s="44" t="b">
        <f t="shared" ca="1" si="33"/>
        <v>0</v>
      </c>
      <c r="L292" s="44">
        <f t="shared" si="36"/>
        <v>0</v>
      </c>
      <c r="M292" s="51" t="str">
        <f t="shared" ca="1" si="37"/>
        <v/>
      </c>
      <c r="N292" s="50">
        <f t="shared" si="38"/>
        <v>44755.666666665973</v>
      </c>
    </row>
    <row r="293" spans="4:14" ht="14.1" x14ac:dyDescent="0.7">
      <c r="D293" s="43" t="str">
        <f t="shared" si="32"/>
        <v/>
      </c>
      <c r="G293" s="43">
        <f t="shared" si="34"/>
        <v>44743.656249999302</v>
      </c>
      <c r="H293" s="44"/>
      <c r="J293" s="43">
        <f t="shared" si="35"/>
        <v>44755.708333332637</v>
      </c>
      <c r="K293" s="44" t="b">
        <f t="shared" ca="1" si="33"/>
        <v>0</v>
      </c>
      <c r="L293" s="44">
        <f t="shared" si="36"/>
        <v>0</v>
      </c>
      <c r="M293" s="51" t="str">
        <f t="shared" ca="1" si="37"/>
        <v/>
      </c>
      <c r="N293" s="50">
        <f t="shared" si="38"/>
        <v>44755.708333332637</v>
      </c>
    </row>
    <row r="294" spans="4:14" ht="14.1" x14ac:dyDescent="0.7">
      <c r="D294" s="43" t="str">
        <f t="shared" si="32"/>
        <v/>
      </c>
      <c r="G294" s="43">
        <f t="shared" si="34"/>
        <v>44743.666666665966</v>
      </c>
      <c r="H294" s="44"/>
      <c r="J294" s="43">
        <f t="shared" si="35"/>
        <v>44755.749999999302</v>
      </c>
      <c r="K294" s="44" t="b">
        <f t="shared" ca="1" si="33"/>
        <v>0</v>
      </c>
      <c r="L294" s="44">
        <f t="shared" si="36"/>
        <v>0</v>
      </c>
      <c r="M294" s="51" t="str">
        <f t="shared" ca="1" si="37"/>
        <v/>
      </c>
      <c r="N294" s="50">
        <f t="shared" si="38"/>
        <v>44755.749999999302</v>
      </c>
    </row>
    <row r="295" spans="4:14" ht="14.1" x14ac:dyDescent="0.7">
      <c r="D295" s="43" t="str">
        <f t="shared" si="32"/>
        <v/>
      </c>
      <c r="G295" s="43">
        <f t="shared" si="34"/>
        <v>44743.67708333263</v>
      </c>
      <c r="H295" s="44"/>
      <c r="J295" s="43">
        <f t="shared" si="35"/>
        <v>44755.791666665966</v>
      </c>
      <c r="K295" s="44" t="b">
        <f t="shared" ca="1" si="33"/>
        <v>0</v>
      </c>
      <c r="L295" s="44">
        <f t="shared" si="36"/>
        <v>0</v>
      </c>
      <c r="M295" s="51" t="str">
        <f t="shared" ca="1" si="37"/>
        <v/>
      </c>
      <c r="N295" s="50">
        <f t="shared" si="38"/>
        <v>44755.791666665966</v>
      </c>
    </row>
    <row r="296" spans="4:14" ht="14.1" x14ac:dyDescent="0.7">
      <c r="D296" s="43" t="str">
        <f t="shared" si="32"/>
        <v/>
      </c>
      <c r="G296" s="43">
        <f t="shared" si="34"/>
        <v>44743.687499999294</v>
      </c>
      <c r="H296" s="44"/>
      <c r="J296" s="43">
        <f t="shared" si="35"/>
        <v>44755.83333333263</v>
      </c>
      <c r="K296" s="44" t="b">
        <f t="shared" ca="1" si="33"/>
        <v>0</v>
      </c>
      <c r="L296" s="44">
        <f t="shared" si="36"/>
        <v>0</v>
      </c>
      <c r="M296" s="51" t="str">
        <f t="shared" ca="1" si="37"/>
        <v/>
      </c>
      <c r="N296" s="50">
        <f t="shared" si="38"/>
        <v>44755.83333333263</v>
      </c>
    </row>
    <row r="297" spans="4:14" ht="14.1" x14ac:dyDescent="0.7">
      <c r="D297" s="43" t="str">
        <f t="shared" si="32"/>
        <v/>
      </c>
      <c r="G297" s="43">
        <f t="shared" si="34"/>
        <v>44743.697916665958</v>
      </c>
      <c r="H297" s="44"/>
      <c r="J297" s="43">
        <f t="shared" si="35"/>
        <v>44755.874999999294</v>
      </c>
      <c r="K297" s="44" t="b">
        <f t="shared" ca="1" si="33"/>
        <v>0</v>
      </c>
      <c r="L297" s="44">
        <f t="shared" si="36"/>
        <v>0</v>
      </c>
      <c r="M297" s="51" t="str">
        <f t="shared" ca="1" si="37"/>
        <v/>
      </c>
      <c r="N297" s="50">
        <f t="shared" si="38"/>
        <v>44755.874999999294</v>
      </c>
    </row>
    <row r="298" spans="4:14" ht="14.1" x14ac:dyDescent="0.7">
      <c r="D298" s="43" t="str">
        <f t="shared" si="32"/>
        <v/>
      </c>
      <c r="G298" s="43">
        <f t="shared" si="34"/>
        <v>44743.708333332623</v>
      </c>
      <c r="H298" s="44"/>
      <c r="J298" s="43">
        <f t="shared" si="35"/>
        <v>44755.916666665958</v>
      </c>
      <c r="K298" s="44" t="b">
        <f t="shared" ca="1" si="33"/>
        <v>0</v>
      </c>
      <c r="L298" s="44">
        <f t="shared" si="36"/>
        <v>0</v>
      </c>
      <c r="M298" s="51" t="str">
        <f t="shared" ca="1" si="37"/>
        <v/>
      </c>
      <c r="N298" s="50">
        <f t="shared" si="38"/>
        <v>44755.916666665958</v>
      </c>
    </row>
    <row r="299" spans="4:14" ht="14.1" x14ac:dyDescent="0.7">
      <c r="D299" s="43" t="str">
        <f t="shared" si="32"/>
        <v/>
      </c>
      <c r="G299" s="43">
        <f t="shared" si="34"/>
        <v>44743.718749999287</v>
      </c>
      <c r="H299" s="44"/>
      <c r="J299" s="43">
        <f t="shared" si="35"/>
        <v>44755.958333332623</v>
      </c>
      <c r="K299" s="44" t="b">
        <f t="shared" ca="1" si="33"/>
        <v>0</v>
      </c>
      <c r="L299" s="44">
        <f t="shared" si="36"/>
        <v>0</v>
      </c>
      <c r="M299" s="51" t="str">
        <f t="shared" ca="1" si="37"/>
        <v/>
      </c>
      <c r="N299" s="50">
        <f t="shared" si="38"/>
        <v>44755.958333332623</v>
      </c>
    </row>
    <row r="300" spans="4:14" ht="14.1" x14ac:dyDescent="0.7">
      <c r="D300" s="43" t="str">
        <f t="shared" si="32"/>
        <v/>
      </c>
      <c r="G300" s="43">
        <f t="shared" si="34"/>
        <v>44743.729166665951</v>
      </c>
      <c r="H300" s="44"/>
      <c r="J300" s="43">
        <f t="shared" si="35"/>
        <v>44755.999999999287</v>
      </c>
      <c r="K300" s="44" t="b">
        <f t="shared" ca="1" si="33"/>
        <v>0</v>
      </c>
      <c r="L300" s="44">
        <f t="shared" si="36"/>
        <v>0</v>
      </c>
      <c r="M300" s="51" t="str">
        <f t="shared" ca="1" si="37"/>
        <v/>
      </c>
      <c r="N300" s="50">
        <f t="shared" si="38"/>
        <v>44755.999999999287</v>
      </c>
    </row>
    <row r="301" spans="4:14" ht="14.1" x14ac:dyDescent="0.7">
      <c r="D301" s="43" t="str">
        <f t="shared" si="32"/>
        <v/>
      </c>
      <c r="G301" s="43">
        <f t="shared" si="34"/>
        <v>44743.739583332615</v>
      </c>
      <c r="H301" s="44"/>
      <c r="J301" s="43">
        <f t="shared" si="35"/>
        <v>44756.041666665951</v>
      </c>
      <c r="K301" s="44" t="b">
        <f t="shared" ca="1" si="33"/>
        <v>0</v>
      </c>
      <c r="L301" s="44">
        <f t="shared" si="36"/>
        <v>0</v>
      </c>
      <c r="M301" s="51" t="str">
        <f t="shared" ca="1" si="37"/>
        <v/>
      </c>
      <c r="N301" s="50">
        <f t="shared" si="38"/>
        <v>44756.041666665951</v>
      </c>
    </row>
    <row r="302" spans="4:14" ht="14.1" x14ac:dyDescent="0.7">
      <c r="D302" s="43" t="str">
        <f t="shared" si="32"/>
        <v/>
      </c>
      <c r="G302" s="43">
        <f t="shared" si="34"/>
        <v>44743.74999999928</v>
      </c>
      <c r="H302" s="44"/>
      <c r="J302" s="43">
        <f t="shared" si="35"/>
        <v>44756.083333332615</v>
      </c>
      <c r="K302" s="44" t="b">
        <f t="shared" ca="1" si="33"/>
        <v>0</v>
      </c>
      <c r="L302" s="44">
        <f t="shared" si="36"/>
        <v>0</v>
      </c>
      <c r="M302" s="51" t="str">
        <f t="shared" ca="1" si="37"/>
        <v/>
      </c>
      <c r="N302" s="50">
        <f t="shared" si="38"/>
        <v>44756.083333332615</v>
      </c>
    </row>
    <row r="303" spans="4:14" ht="14.1" x14ac:dyDescent="0.7">
      <c r="D303" s="43" t="str">
        <f t="shared" si="32"/>
        <v/>
      </c>
      <c r="G303" s="43">
        <f t="shared" si="34"/>
        <v>44743.760416665944</v>
      </c>
      <c r="H303" s="44"/>
      <c r="J303" s="43">
        <f t="shared" si="35"/>
        <v>44756.12499999928</v>
      </c>
      <c r="K303" s="44" t="b">
        <f t="shared" ca="1" si="33"/>
        <v>0</v>
      </c>
      <c r="L303" s="44">
        <f t="shared" si="36"/>
        <v>0</v>
      </c>
      <c r="M303" s="51" t="str">
        <f t="shared" ca="1" si="37"/>
        <v/>
      </c>
      <c r="N303" s="50">
        <f t="shared" si="38"/>
        <v>44756.12499999928</v>
      </c>
    </row>
    <row r="304" spans="4:14" ht="14.1" x14ac:dyDescent="0.7">
      <c r="D304" s="43" t="str">
        <f t="shared" si="32"/>
        <v/>
      </c>
      <c r="G304" s="43">
        <f t="shared" si="34"/>
        <v>44743.770833332608</v>
      </c>
      <c r="H304" s="44"/>
      <c r="J304" s="43">
        <f t="shared" si="35"/>
        <v>44756.166666665944</v>
      </c>
      <c r="K304" s="44" t="b">
        <f t="shared" ca="1" si="33"/>
        <v>0</v>
      </c>
      <c r="L304" s="44">
        <f t="shared" si="36"/>
        <v>0</v>
      </c>
      <c r="M304" s="51" t="str">
        <f t="shared" ca="1" si="37"/>
        <v/>
      </c>
      <c r="N304" s="50">
        <f t="shared" si="38"/>
        <v>44756.166666665944</v>
      </c>
    </row>
    <row r="305" spans="4:14" ht="14.1" x14ac:dyDescent="0.7">
      <c r="D305" s="43" t="str">
        <f t="shared" si="32"/>
        <v/>
      </c>
      <c r="G305" s="43">
        <f t="shared" si="34"/>
        <v>44743.781249999272</v>
      </c>
      <c r="H305" s="44"/>
      <c r="J305" s="43">
        <f t="shared" si="35"/>
        <v>44756.208333332608</v>
      </c>
      <c r="K305" s="44" t="b">
        <f t="shared" ca="1" si="33"/>
        <v>0</v>
      </c>
      <c r="L305" s="44">
        <f t="shared" si="36"/>
        <v>0</v>
      </c>
      <c r="M305" s="51" t="str">
        <f t="shared" ca="1" si="37"/>
        <v/>
      </c>
      <c r="N305" s="50">
        <f t="shared" si="38"/>
        <v>44756.208333332608</v>
      </c>
    </row>
    <row r="306" spans="4:14" ht="14.1" x14ac:dyDescent="0.7">
      <c r="D306" s="43" t="str">
        <f t="shared" si="32"/>
        <v/>
      </c>
      <c r="G306" s="43">
        <f t="shared" si="34"/>
        <v>44743.791666665937</v>
      </c>
      <c r="H306" s="44"/>
      <c r="J306" s="43">
        <f t="shared" si="35"/>
        <v>44756.249999999272</v>
      </c>
      <c r="K306" s="44" t="b">
        <f t="shared" ca="1" si="33"/>
        <v>0</v>
      </c>
      <c r="L306" s="44">
        <f t="shared" si="36"/>
        <v>0</v>
      </c>
      <c r="M306" s="51" t="str">
        <f t="shared" ca="1" si="37"/>
        <v/>
      </c>
      <c r="N306" s="50">
        <f t="shared" si="38"/>
        <v>44756.249999999272</v>
      </c>
    </row>
    <row r="307" spans="4:14" ht="14.1" x14ac:dyDescent="0.7">
      <c r="D307" s="43" t="str">
        <f t="shared" si="32"/>
        <v/>
      </c>
      <c r="G307" s="43">
        <f t="shared" si="34"/>
        <v>44743.802083332601</v>
      </c>
      <c r="H307" s="44"/>
      <c r="J307" s="43">
        <f t="shared" si="35"/>
        <v>44756.291666665937</v>
      </c>
      <c r="K307" s="44" t="b">
        <f t="shared" ca="1" si="33"/>
        <v>0</v>
      </c>
      <c r="L307" s="44">
        <f t="shared" si="36"/>
        <v>0</v>
      </c>
      <c r="M307" s="51" t="str">
        <f t="shared" ca="1" si="37"/>
        <v/>
      </c>
      <c r="N307" s="50">
        <f t="shared" si="38"/>
        <v>44756.291666665937</v>
      </c>
    </row>
    <row r="308" spans="4:14" ht="14.1" x14ac:dyDescent="0.7">
      <c r="D308" s="43" t="str">
        <f t="shared" si="32"/>
        <v/>
      </c>
      <c r="G308" s="43">
        <f t="shared" si="34"/>
        <v>44743.812499999265</v>
      </c>
      <c r="H308" s="44"/>
      <c r="J308" s="43">
        <f t="shared" si="35"/>
        <v>44756.333333332601</v>
      </c>
      <c r="K308" s="44" t="b">
        <f t="shared" ca="1" si="33"/>
        <v>0</v>
      </c>
      <c r="L308" s="44">
        <f t="shared" si="36"/>
        <v>0</v>
      </c>
      <c r="M308" s="51" t="str">
        <f t="shared" ca="1" si="37"/>
        <v/>
      </c>
      <c r="N308" s="50">
        <f t="shared" si="38"/>
        <v>44756.333333332601</v>
      </c>
    </row>
    <row r="309" spans="4:14" ht="14.1" x14ac:dyDescent="0.7">
      <c r="D309" s="43" t="str">
        <f t="shared" si="32"/>
        <v/>
      </c>
      <c r="G309" s="43">
        <f t="shared" si="34"/>
        <v>44743.822916665929</v>
      </c>
      <c r="H309" s="44"/>
      <c r="J309" s="43">
        <f t="shared" si="35"/>
        <v>44756.374999999265</v>
      </c>
      <c r="K309" s="44" t="b">
        <f t="shared" ca="1" si="33"/>
        <v>0</v>
      </c>
      <c r="L309" s="44">
        <f t="shared" si="36"/>
        <v>0</v>
      </c>
      <c r="M309" s="51" t="str">
        <f t="shared" ca="1" si="37"/>
        <v/>
      </c>
      <c r="N309" s="50">
        <f t="shared" si="38"/>
        <v>44756.374999999265</v>
      </c>
    </row>
    <row r="310" spans="4:14" ht="14.1" x14ac:dyDescent="0.7">
      <c r="D310" s="43" t="str">
        <f t="shared" si="32"/>
        <v/>
      </c>
      <c r="G310" s="43">
        <f t="shared" si="34"/>
        <v>44743.833333332594</v>
      </c>
      <c r="H310" s="44"/>
      <c r="J310" s="43">
        <f t="shared" si="35"/>
        <v>44756.416666665929</v>
      </c>
      <c r="K310" s="44" t="b">
        <f t="shared" ca="1" si="33"/>
        <v>0</v>
      </c>
      <c r="L310" s="44">
        <f t="shared" si="36"/>
        <v>0</v>
      </c>
      <c r="M310" s="51" t="str">
        <f t="shared" ca="1" si="37"/>
        <v/>
      </c>
      <c r="N310" s="50">
        <f t="shared" si="38"/>
        <v>44756.416666665929</v>
      </c>
    </row>
    <row r="311" spans="4:14" ht="14.1" x14ac:dyDescent="0.7">
      <c r="D311" s="43" t="str">
        <f t="shared" si="32"/>
        <v/>
      </c>
      <c r="G311" s="43">
        <f t="shared" si="34"/>
        <v>44743.843749999258</v>
      </c>
      <c r="H311" s="44"/>
      <c r="J311" s="43">
        <f t="shared" si="35"/>
        <v>44756.458333332594</v>
      </c>
      <c r="K311" s="44" t="b">
        <f t="shared" ca="1" si="33"/>
        <v>0</v>
      </c>
      <c r="L311" s="44">
        <f t="shared" si="36"/>
        <v>0</v>
      </c>
      <c r="M311" s="51" t="str">
        <f t="shared" ca="1" si="37"/>
        <v/>
      </c>
      <c r="N311" s="50">
        <f t="shared" si="38"/>
        <v>44756.458333332594</v>
      </c>
    </row>
    <row r="312" spans="4:14" ht="14.1" x14ac:dyDescent="0.7">
      <c r="D312" s="43" t="str">
        <f t="shared" si="32"/>
        <v/>
      </c>
      <c r="G312" s="43">
        <f t="shared" si="34"/>
        <v>44743.854166665922</v>
      </c>
      <c r="H312" s="44"/>
      <c r="J312" s="43">
        <f t="shared" si="35"/>
        <v>44756.499999999258</v>
      </c>
      <c r="K312" s="44" t="b">
        <f t="shared" ca="1" si="33"/>
        <v>0</v>
      </c>
      <c r="L312" s="44">
        <f t="shared" si="36"/>
        <v>0</v>
      </c>
      <c r="M312" s="51" t="str">
        <f t="shared" ca="1" si="37"/>
        <v/>
      </c>
      <c r="N312" s="50">
        <f t="shared" si="38"/>
        <v>44756.499999999258</v>
      </c>
    </row>
    <row r="313" spans="4:14" ht="14.1" x14ac:dyDescent="0.7">
      <c r="D313" s="43" t="str">
        <f t="shared" si="32"/>
        <v/>
      </c>
      <c r="G313" s="43">
        <f t="shared" si="34"/>
        <v>44743.864583332586</v>
      </c>
      <c r="H313" s="44"/>
      <c r="J313" s="43">
        <f t="shared" si="35"/>
        <v>44756.541666665922</v>
      </c>
      <c r="K313" s="44" t="b">
        <f t="shared" ca="1" si="33"/>
        <v>0</v>
      </c>
      <c r="L313" s="44">
        <f t="shared" si="36"/>
        <v>0</v>
      </c>
      <c r="M313" s="51" t="str">
        <f t="shared" ca="1" si="37"/>
        <v/>
      </c>
      <c r="N313" s="50">
        <f t="shared" si="38"/>
        <v>44756.541666665922</v>
      </c>
    </row>
    <row r="314" spans="4:14" ht="14.1" x14ac:dyDescent="0.7">
      <c r="D314" s="43" t="str">
        <f t="shared" si="32"/>
        <v/>
      </c>
      <c r="G314" s="43">
        <f t="shared" si="34"/>
        <v>44743.874999999251</v>
      </c>
      <c r="H314" s="44"/>
      <c r="J314" s="43">
        <f t="shared" si="35"/>
        <v>44756.583333332586</v>
      </c>
      <c r="K314" s="44" t="b">
        <f t="shared" ca="1" si="33"/>
        <v>0</v>
      </c>
      <c r="L314" s="44">
        <f t="shared" si="36"/>
        <v>0</v>
      </c>
      <c r="M314" s="51" t="str">
        <f t="shared" ca="1" si="37"/>
        <v/>
      </c>
      <c r="N314" s="50">
        <f t="shared" si="38"/>
        <v>44756.583333332586</v>
      </c>
    </row>
    <row r="315" spans="4:14" ht="14.1" x14ac:dyDescent="0.7">
      <c r="D315" s="43" t="str">
        <f t="shared" si="32"/>
        <v/>
      </c>
      <c r="G315" s="43">
        <f t="shared" si="34"/>
        <v>44743.885416665915</v>
      </c>
      <c r="H315" s="44"/>
      <c r="J315" s="43">
        <f t="shared" si="35"/>
        <v>44756.624999999251</v>
      </c>
      <c r="K315" s="44" t="b">
        <f t="shared" ca="1" si="33"/>
        <v>0</v>
      </c>
      <c r="L315" s="44">
        <f t="shared" si="36"/>
        <v>0</v>
      </c>
      <c r="M315" s="51" t="str">
        <f t="shared" ca="1" si="37"/>
        <v/>
      </c>
      <c r="N315" s="50">
        <f t="shared" si="38"/>
        <v>44756.624999999251</v>
      </c>
    </row>
    <row r="316" spans="4:14" ht="14.1" x14ac:dyDescent="0.7">
      <c r="D316" s="43" t="str">
        <f t="shared" si="32"/>
        <v/>
      </c>
      <c r="G316" s="43">
        <f t="shared" si="34"/>
        <v>44743.895833332579</v>
      </c>
      <c r="H316" s="44"/>
      <c r="J316" s="43">
        <f t="shared" si="35"/>
        <v>44756.666666665915</v>
      </c>
      <c r="K316" s="44" t="b">
        <f t="shared" ca="1" si="33"/>
        <v>0</v>
      </c>
      <c r="L316" s="44">
        <f t="shared" si="36"/>
        <v>0</v>
      </c>
      <c r="M316" s="51" t="str">
        <f t="shared" ca="1" si="37"/>
        <v/>
      </c>
      <c r="N316" s="50">
        <f t="shared" si="38"/>
        <v>44756.666666665915</v>
      </c>
    </row>
    <row r="317" spans="4:14" ht="14.1" x14ac:dyDescent="0.7">
      <c r="D317" s="43" t="str">
        <f t="shared" si="32"/>
        <v/>
      </c>
      <c r="G317" s="43">
        <f t="shared" si="34"/>
        <v>44743.906249999243</v>
      </c>
      <c r="H317" s="44"/>
      <c r="J317" s="43">
        <f t="shared" si="35"/>
        <v>44756.708333332579</v>
      </c>
      <c r="K317" s="44" t="b">
        <f t="shared" ca="1" si="33"/>
        <v>0</v>
      </c>
      <c r="L317" s="44">
        <f t="shared" si="36"/>
        <v>0</v>
      </c>
      <c r="M317" s="51" t="str">
        <f t="shared" ca="1" si="37"/>
        <v/>
      </c>
      <c r="N317" s="50">
        <f t="shared" si="38"/>
        <v>44756.708333332579</v>
      </c>
    </row>
    <row r="318" spans="4:14" ht="14.1" x14ac:dyDescent="0.7">
      <c r="D318" s="43" t="str">
        <f t="shared" si="32"/>
        <v/>
      </c>
      <c r="G318" s="43">
        <f t="shared" si="34"/>
        <v>44743.916666665908</v>
      </c>
      <c r="H318" s="44"/>
      <c r="J318" s="43">
        <f t="shared" si="35"/>
        <v>44756.749999999243</v>
      </c>
      <c r="K318" s="44" t="b">
        <f t="shared" ca="1" si="33"/>
        <v>0</v>
      </c>
      <c r="L318" s="44">
        <f t="shared" si="36"/>
        <v>0</v>
      </c>
      <c r="M318" s="51" t="str">
        <f t="shared" ca="1" si="37"/>
        <v/>
      </c>
      <c r="N318" s="50">
        <f t="shared" si="38"/>
        <v>44756.749999999243</v>
      </c>
    </row>
    <row r="319" spans="4:14" ht="14.1" x14ac:dyDescent="0.7">
      <c r="D319" s="43" t="str">
        <f t="shared" si="32"/>
        <v/>
      </c>
      <c r="G319" s="43">
        <f t="shared" si="34"/>
        <v>44743.927083332572</v>
      </c>
      <c r="H319" s="44"/>
      <c r="J319" s="43">
        <f t="shared" si="35"/>
        <v>44756.791666665908</v>
      </c>
      <c r="K319" s="44" t="b">
        <f t="shared" ca="1" si="33"/>
        <v>0</v>
      </c>
      <c r="L319" s="44">
        <f t="shared" si="36"/>
        <v>0</v>
      </c>
      <c r="M319" s="51" t="str">
        <f t="shared" ca="1" si="37"/>
        <v/>
      </c>
      <c r="N319" s="50">
        <f t="shared" si="38"/>
        <v>44756.791666665908</v>
      </c>
    </row>
    <row r="320" spans="4:14" ht="14.1" x14ac:dyDescent="0.7">
      <c r="D320" s="43" t="str">
        <f t="shared" si="32"/>
        <v/>
      </c>
      <c r="G320" s="43">
        <f t="shared" si="34"/>
        <v>44743.937499999236</v>
      </c>
      <c r="H320" s="44"/>
      <c r="J320" s="43">
        <f t="shared" si="35"/>
        <v>44756.833333332572</v>
      </c>
      <c r="K320" s="44" t="b">
        <f t="shared" ca="1" si="33"/>
        <v>0</v>
      </c>
      <c r="L320" s="44">
        <f t="shared" si="36"/>
        <v>0</v>
      </c>
      <c r="M320" s="51" t="str">
        <f t="shared" ca="1" si="37"/>
        <v/>
      </c>
      <c r="N320" s="50">
        <f t="shared" si="38"/>
        <v>44756.833333332572</v>
      </c>
    </row>
    <row r="321" spans="4:14" ht="14.1" x14ac:dyDescent="0.7">
      <c r="D321" s="43" t="str">
        <f t="shared" si="32"/>
        <v/>
      </c>
      <c r="G321" s="43">
        <f t="shared" si="34"/>
        <v>44743.9479166659</v>
      </c>
      <c r="H321" s="44"/>
      <c r="J321" s="43">
        <f t="shared" si="35"/>
        <v>44756.874999999236</v>
      </c>
      <c r="K321" s="44" t="b">
        <f t="shared" ca="1" si="33"/>
        <v>0</v>
      </c>
      <c r="L321" s="44">
        <f t="shared" si="36"/>
        <v>0</v>
      </c>
      <c r="M321" s="51" t="str">
        <f t="shared" ca="1" si="37"/>
        <v/>
      </c>
      <c r="N321" s="50">
        <f t="shared" si="38"/>
        <v>44756.874999999236</v>
      </c>
    </row>
    <row r="322" spans="4:14" ht="14.1" x14ac:dyDescent="0.7">
      <c r="D322" s="43" t="str">
        <f t="shared" si="32"/>
        <v/>
      </c>
      <c r="G322" s="43">
        <f t="shared" si="34"/>
        <v>44743.958333332565</v>
      </c>
      <c r="H322" s="44"/>
      <c r="J322" s="43">
        <f t="shared" si="35"/>
        <v>44756.9166666659</v>
      </c>
      <c r="K322" s="44" t="b">
        <f t="shared" ca="1" si="33"/>
        <v>0</v>
      </c>
      <c r="L322" s="44">
        <f t="shared" si="36"/>
        <v>0</v>
      </c>
      <c r="M322" s="51" t="str">
        <f t="shared" ca="1" si="37"/>
        <v/>
      </c>
      <c r="N322" s="50">
        <f t="shared" si="38"/>
        <v>44756.9166666659</v>
      </c>
    </row>
    <row r="323" spans="4:14" ht="14.1" x14ac:dyDescent="0.7">
      <c r="D323" s="43" t="str">
        <f t="shared" si="32"/>
        <v/>
      </c>
      <c r="G323" s="43">
        <f t="shared" si="34"/>
        <v>44743.968749999229</v>
      </c>
      <c r="H323" s="44"/>
      <c r="J323" s="43">
        <f t="shared" si="35"/>
        <v>44756.958333332565</v>
      </c>
      <c r="K323" s="44" t="b">
        <f t="shared" ca="1" si="33"/>
        <v>0</v>
      </c>
      <c r="L323" s="44">
        <f t="shared" si="36"/>
        <v>0</v>
      </c>
      <c r="M323" s="51" t="str">
        <f t="shared" ca="1" si="37"/>
        <v/>
      </c>
      <c r="N323" s="50">
        <f t="shared" si="38"/>
        <v>44756.958333332565</v>
      </c>
    </row>
    <row r="324" spans="4:14" ht="14.1" x14ac:dyDescent="0.7">
      <c r="D324" s="43" t="str">
        <f t="shared" si="32"/>
        <v/>
      </c>
      <c r="G324" s="43">
        <f t="shared" si="34"/>
        <v>44743.979166665893</v>
      </c>
      <c r="H324" s="44"/>
      <c r="J324" s="43">
        <f t="shared" si="35"/>
        <v>44756.999999999229</v>
      </c>
      <c r="K324" s="44" t="b">
        <f t="shared" ca="1" si="33"/>
        <v>0</v>
      </c>
      <c r="L324" s="44">
        <f t="shared" si="36"/>
        <v>0</v>
      </c>
      <c r="M324" s="51" t="str">
        <f t="shared" ca="1" si="37"/>
        <v/>
      </c>
      <c r="N324" s="50">
        <f t="shared" si="38"/>
        <v>44756.999999999229</v>
      </c>
    </row>
    <row r="325" spans="4:14" ht="14.1" x14ac:dyDescent="0.7">
      <c r="D325" s="43" t="str">
        <f t="shared" si="32"/>
        <v/>
      </c>
      <c r="G325" s="43">
        <f t="shared" si="34"/>
        <v>44743.989583332557</v>
      </c>
      <c r="H325" s="44"/>
      <c r="J325" s="43">
        <f t="shared" si="35"/>
        <v>44757.041666665893</v>
      </c>
      <c r="K325" s="44" t="b">
        <f t="shared" ca="1" si="33"/>
        <v>0</v>
      </c>
      <c r="L325" s="44">
        <f t="shared" si="36"/>
        <v>0</v>
      </c>
      <c r="M325" s="51" t="str">
        <f t="shared" ca="1" si="37"/>
        <v/>
      </c>
      <c r="N325" s="50">
        <f t="shared" si="38"/>
        <v>44757.041666665893</v>
      </c>
    </row>
    <row r="326" spans="4:14" ht="14.1" x14ac:dyDescent="0.7">
      <c r="D326" s="43" t="str">
        <f t="shared" si="32"/>
        <v/>
      </c>
      <c r="G326" s="43">
        <f t="shared" si="34"/>
        <v>44743.999999999221</v>
      </c>
      <c r="H326" s="44"/>
      <c r="J326" s="43">
        <f t="shared" si="35"/>
        <v>44757.083333332557</v>
      </c>
      <c r="K326" s="44" t="b">
        <f t="shared" ca="1" si="33"/>
        <v>0</v>
      </c>
      <c r="L326" s="44">
        <f t="shared" si="36"/>
        <v>0</v>
      </c>
      <c r="M326" s="51" t="str">
        <f t="shared" ca="1" si="37"/>
        <v/>
      </c>
      <c r="N326" s="50">
        <f t="shared" si="38"/>
        <v>44757.083333332557</v>
      </c>
    </row>
    <row r="327" spans="4:14" ht="14.1" x14ac:dyDescent="0.7">
      <c r="D327" s="43" t="str">
        <f t="shared" ref="D327:D390" si="39">IFERROR(DATE(LEFT(B327,4),MID(B327,5,2),MID(B327,7,2))+TIME(MID(B327,9,2),MID(B327,11,2),MID(B327,13,2)),"")</f>
        <v/>
      </c>
      <c r="G327" s="43">
        <f t="shared" si="34"/>
        <v>44744.010416665886</v>
      </c>
      <c r="H327" s="44"/>
      <c r="J327" s="43">
        <f t="shared" si="35"/>
        <v>44757.124999999221</v>
      </c>
      <c r="K327" s="44" t="b">
        <f t="shared" ref="K327:K390" ca="1" si="40">J$1&gt;=J327+TIME(1,0,0)</f>
        <v>0</v>
      </c>
      <c r="L327" s="44">
        <f t="shared" si="36"/>
        <v>0</v>
      </c>
      <c r="M327" s="51" t="str">
        <f t="shared" ca="1" si="37"/>
        <v/>
      </c>
      <c r="N327" s="50">
        <f t="shared" si="38"/>
        <v>44757.124999999221</v>
      </c>
    </row>
    <row r="328" spans="4:14" ht="14.1" x14ac:dyDescent="0.7">
      <c r="D328" s="43" t="str">
        <f t="shared" si="39"/>
        <v/>
      </c>
      <c r="G328" s="43">
        <f t="shared" ref="G328:G339" si="41">G327+TIME(0,15,0)</f>
        <v>44744.02083333255</v>
      </c>
      <c r="H328" s="44"/>
      <c r="J328" s="43">
        <f t="shared" ref="J328:J391" si="42">J327+TIME(1,0,0)</f>
        <v>44757.166666665886</v>
      </c>
      <c r="K328" s="44" t="b">
        <f t="shared" ca="1" si="40"/>
        <v>0</v>
      </c>
      <c r="L328" s="44">
        <f t="shared" si="36"/>
        <v>0</v>
      </c>
      <c r="M328" s="51" t="str">
        <f t="shared" ca="1" si="37"/>
        <v/>
      </c>
      <c r="N328" s="50">
        <f t="shared" si="38"/>
        <v>44757.166666665886</v>
      </c>
    </row>
    <row r="329" spans="4:14" ht="14.1" x14ac:dyDescent="0.7">
      <c r="D329" s="43" t="str">
        <f t="shared" si="39"/>
        <v/>
      </c>
      <c r="G329" s="43">
        <f t="shared" si="41"/>
        <v>44744.031249999214</v>
      </c>
      <c r="H329" s="44"/>
      <c r="J329" s="43">
        <f t="shared" si="42"/>
        <v>44757.20833333255</v>
      </c>
      <c r="K329" s="44" t="b">
        <f t="shared" ca="1" si="40"/>
        <v>0</v>
      </c>
      <c r="L329" s="44">
        <f t="shared" si="36"/>
        <v>0</v>
      </c>
      <c r="M329" s="51" t="str">
        <f t="shared" ca="1" si="37"/>
        <v/>
      </c>
      <c r="N329" s="50">
        <f t="shared" si="38"/>
        <v>44757.20833333255</v>
      </c>
    </row>
    <row r="330" spans="4:14" ht="14.1" x14ac:dyDescent="0.7">
      <c r="D330" s="43" t="str">
        <f t="shared" si="39"/>
        <v/>
      </c>
      <c r="G330" s="43">
        <f t="shared" si="41"/>
        <v>44744.041666665878</v>
      </c>
      <c r="H330" s="44"/>
      <c r="J330" s="43">
        <f t="shared" si="42"/>
        <v>44757.249999999214</v>
      </c>
      <c r="K330" s="44" t="b">
        <f t="shared" ca="1" si="40"/>
        <v>0</v>
      </c>
      <c r="L330" s="44">
        <f t="shared" si="36"/>
        <v>0</v>
      </c>
      <c r="M330" s="51" t="str">
        <f t="shared" ca="1" si="37"/>
        <v/>
      </c>
      <c r="N330" s="50">
        <f t="shared" si="38"/>
        <v>44757.249999999214</v>
      </c>
    </row>
    <row r="331" spans="4:14" ht="14.1" x14ac:dyDescent="0.7">
      <c r="D331" s="43" t="str">
        <f t="shared" si="39"/>
        <v/>
      </c>
      <c r="G331" s="43">
        <f t="shared" si="41"/>
        <v>44744.052083332543</v>
      </c>
      <c r="H331" s="44"/>
      <c r="J331" s="43">
        <f t="shared" si="42"/>
        <v>44757.291666665878</v>
      </c>
      <c r="K331" s="44" t="b">
        <f t="shared" ca="1" si="40"/>
        <v>0</v>
      </c>
      <c r="L331" s="44">
        <f t="shared" si="36"/>
        <v>0</v>
      </c>
      <c r="M331" s="51" t="str">
        <f t="shared" ca="1" si="37"/>
        <v/>
      </c>
      <c r="N331" s="50">
        <f t="shared" si="38"/>
        <v>44757.291666665878</v>
      </c>
    </row>
    <row r="332" spans="4:14" ht="14.1" x14ac:dyDescent="0.7">
      <c r="D332" s="43" t="str">
        <f t="shared" si="39"/>
        <v/>
      </c>
      <c r="G332" s="43">
        <f t="shared" si="41"/>
        <v>44744.062499999207</v>
      </c>
      <c r="H332" s="44"/>
      <c r="J332" s="43">
        <f t="shared" si="42"/>
        <v>44757.333333332543</v>
      </c>
      <c r="K332" s="44" t="b">
        <f t="shared" ca="1" si="40"/>
        <v>0</v>
      </c>
      <c r="L332" s="44">
        <f t="shared" si="36"/>
        <v>0</v>
      </c>
      <c r="M332" s="51" t="str">
        <f t="shared" ca="1" si="37"/>
        <v/>
      </c>
      <c r="N332" s="50">
        <f t="shared" si="38"/>
        <v>44757.333333332543</v>
      </c>
    </row>
    <row r="333" spans="4:14" ht="14.1" x14ac:dyDescent="0.7">
      <c r="D333" s="43" t="str">
        <f t="shared" si="39"/>
        <v/>
      </c>
      <c r="G333" s="43">
        <f t="shared" si="41"/>
        <v>44744.072916665871</v>
      </c>
      <c r="H333" s="44"/>
      <c r="J333" s="43">
        <f t="shared" si="42"/>
        <v>44757.374999999207</v>
      </c>
      <c r="K333" s="44" t="b">
        <f t="shared" ca="1" si="40"/>
        <v>0</v>
      </c>
      <c r="L333" s="44">
        <f t="shared" si="36"/>
        <v>0</v>
      </c>
      <c r="M333" s="51" t="str">
        <f t="shared" ca="1" si="37"/>
        <v/>
      </c>
      <c r="N333" s="50">
        <f t="shared" si="38"/>
        <v>44757.374999999207</v>
      </c>
    </row>
    <row r="334" spans="4:14" ht="14.1" x14ac:dyDescent="0.7">
      <c r="D334" s="43" t="str">
        <f t="shared" si="39"/>
        <v/>
      </c>
      <c r="G334" s="43">
        <f t="shared" si="41"/>
        <v>44744.083333332535</v>
      </c>
      <c r="H334" s="44"/>
      <c r="J334" s="43">
        <f t="shared" si="42"/>
        <v>44757.416666665871</v>
      </c>
      <c r="K334" s="44" t="b">
        <f t="shared" ca="1" si="40"/>
        <v>0</v>
      </c>
      <c r="L334" s="44">
        <f t="shared" si="36"/>
        <v>0</v>
      </c>
      <c r="M334" s="51" t="str">
        <f t="shared" ca="1" si="37"/>
        <v/>
      </c>
      <c r="N334" s="50">
        <f t="shared" si="38"/>
        <v>44757.416666665871</v>
      </c>
    </row>
    <row r="335" spans="4:14" ht="14.1" x14ac:dyDescent="0.7">
      <c r="D335" s="43" t="str">
        <f t="shared" si="39"/>
        <v/>
      </c>
      <c r="G335" s="43">
        <f t="shared" si="41"/>
        <v>44744.0937499992</v>
      </c>
      <c r="H335" s="44"/>
      <c r="J335" s="43">
        <f t="shared" si="42"/>
        <v>44757.458333332535</v>
      </c>
      <c r="K335" s="44" t="b">
        <f t="shared" ca="1" si="40"/>
        <v>0</v>
      </c>
      <c r="L335" s="44">
        <f t="shared" si="36"/>
        <v>0</v>
      </c>
      <c r="M335" s="51" t="str">
        <f t="shared" ca="1" si="37"/>
        <v/>
      </c>
      <c r="N335" s="50">
        <f t="shared" si="38"/>
        <v>44757.458333332535</v>
      </c>
    </row>
    <row r="336" spans="4:14" ht="14.1" x14ac:dyDescent="0.7">
      <c r="D336" s="43" t="str">
        <f t="shared" si="39"/>
        <v/>
      </c>
      <c r="G336" s="43">
        <f t="shared" si="41"/>
        <v>44744.104166665864</v>
      </c>
      <c r="H336" s="44"/>
      <c r="J336" s="43">
        <f t="shared" si="42"/>
        <v>44757.4999999992</v>
      </c>
      <c r="K336" s="44" t="b">
        <f t="shared" ca="1" si="40"/>
        <v>0</v>
      </c>
      <c r="L336" s="44">
        <f t="shared" si="36"/>
        <v>0</v>
      </c>
      <c r="M336" s="51" t="str">
        <f t="shared" ca="1" si="37"/>
        <v/>
      </c>
      <c r="N336" s="50">
        <f t="shared" si="38"/>
        <v>44757.4999999992</v>
      </c>
    </row>
    <row r="337" spans="4:14" ht="14.1" x14ac:dyDescent="0.7">
      <c r="D337" s="43" t="str">
        <f t="shared" si="39"/>
        <v/>
      </c>
      <c r="G337" s="43">
        <f t="shared" si="41"/>
        <v>44744.114583332528</v>
      </c>
      <c r="H337" s="44"/>
      <c r="J337" s="43">
        <f t="shared" si="42"/>
        <v>44757.541666665864</v>
      </c>
      <c r="K337" s="44" t="b">
        <f t="shared" ca="1" si="40"/>
        <v>0</v>
      </c>
      <c r="L337" s="44">
        <f t="shared" si="36"/>
        <v>0</v>
      </c>
      <c r="M337" s="51" t="str">
        <f t="shared" ca="1" si="37"/>
        <v/>
      </c>
      <c r="N337" s="50">
        <f t="shared" si="38"/>
        <v>44757.541666665864</v>
      </c>
    </row>
    <row r="338" spans="4:14" ht="14.1" x14ac:dyDescent="0.7">
      <c r="D338" s="43" t="str">
        <f t="shared" si="39"/>
        <v/>
      </c>
      <c r="G338" s="43">
        <f t="shared" si="41"/>
        <v>44744.124999999192</v>
      </c>
      <c r="H338" s="44"/>
      <c r="J338" s="43">
        <f t="shared" si="42"/>
        <v>44757.583333332528</v>
      </c>
      <c r="K338" s="44" t="b">
        <f t="shared" ca="1" si="40"/>
        <v>0</v>
      </c>
      <c r="L338" s="44">
        <f t="shared" si="36"/>
        <v>0</v>
      </c>
      <c r="M338" s="51" t="str">
        <f t="shared" ca="1" si="37"/>
        <v/>
      </c>
      <c r="N338" s="50">
        <f t="shared" si="38"/>
        <v>44757.583333332528</v>
      </c>
    </row>
    <row r="339" spans="4:14" ht="14.1" x14ac:dyDescent="0.7">
      <c r="D339" s="43" t="str">
        <f t="shared" si="39"/>
        <v/>
      </c>
      <c r="G339" s="43">
        <f t="shared" si="41"/>
        <v>44744.135416665857</v>
      </c>
      <c r="H339" s="44"/>
      <c r="J339" s="43">
        <f t="shared" si="42"/>
        <v>44757.624999999192</v>
      </c>
      <c r="K339" s="44" t="b">
        <f t="shared" ca="1" si="40"/>
        <v>0</v>
      </c>
      <c r="L339" s="44">
        <f t="shared" si="36"/>
        <v>0</v>
      </c>
      <c r="M339" s="51" t="str">
        <f t="shared" ca="1" si="37"/>
        <v/>
      </c>
      <c r="N339" s="50">
        <f t="shared" si="38"/>
        <v>44757.624999999192</v>
      </c>
    </row>
    <row r="340" spans="4:14" ht="14.1" x14ac:dyDescent="0.7">
      <c r="D340" s="30" t="str">
        <f t="shared" si="39"/>
        <v/>
      </c>
      <c r="J340" s="43">
        <f t="shared" si="42"/>
        <v>44757.666666665857</v>
      </c>
      <c r="K340" s="44" t="b">
        <f t="shared" ca="1" si="40"/>
        <v>0</v>
      </c>
      <c r="L340" s="44">
        <f t="shared" si="36"/>
        <v>0</v>
      </c>
      <c r="M340" s="51" t="str">
        <f t="shared" ca="1" si="37"/>
        <v/>
      </c>
      <c r="N340" s="50">
        <f t="shared" si="38"/>
        <v>44757.666666665857</v>
      </c>
    </row>
    <row r="341" spans="4:14" ht="14.1" x14ac:dyDescent="0.7">
      <c r="D341" s="30" t="str">
        <f t="shared" si="39"/>
        <v/>
      </c>
      <c r="J341" s="43">
        <f t="shared" si="42"/>
        <v>44757.708333332521</v>
      </c>
      <c r="K341" s="44" t="b">
        <f t="shared" ca="1" si="40"/>
        <v>0</v>
      </c>
      <c r="L341" s="44">
        <f t="shared" si="36"/>
        <v>0</v>
      </c>
      <c r="M341" s="51" t="str">
        <f t="shared" ca="1" si="37"/>
        <v/>
      </c>
      <c r="N341" s="50">
        <f t="shared" si="38"/>
        <v>44757.708333332521</v>
      </c>
    </row>
    <row r="342" spans="4:14" ht="14.1" x14ac:dyDescent="0.7">
      <c r="D342" s="30" t="str">
        <f t="shared" si="39"/>
        <v/>
      </c>
      <c r="J342" s="43">
        <f t="shared" si="42"/>
        <v>44757.749999999185</v>
      </c>
      <c r="K342" s="44" t="b">
        <f t="shared" ca="1" si="40"/>
        <v>0</v>
      </c>
      <c r="L342" s="44">
        <f t="shared" si="36"/>
        <v>0</v>
      </c>
      <c r="M342" s="51" t="str">
        <f t="shared" ca="1" si="37"/>
        <v/>
      </c>
      <c r="N342" s="50">
        <f t="shared" si="38"/>
        <v>44757.749999999185</v>
      </c>
    </row>
    <row r="343" spans="4:14" ht="14.1" x14ac:dyDescent="0.7">
      <c r="D343" s="30" t="str">
        <f t="shared" si="39"/>
        <v/>
      </c>
      <c r="J343" s="43">
        <f t="shared" si="42"/>
        <v>44757.791666665849</v>
      </c>
      <c r="K343" s="44" t="b">
        <f t="shared" ca="1" si="40"/>
        <v>0</v>
      </c>
      <c r="L343" s="44">
        <f t="shared" si="36"/>
        <v>0</v>
      </c>
      <c r="M343" s="51" t="str">
        <f t="shared" ca="1" si="37"/>
        <v/>
      </c>
      <c r="N343" s="50">
        <f t="shared" si="38"/>
        <v>44757.791666665849</v>
      </c>
    </row>
    <row r="344" spans="4:14" ht="14.1" x14ac:dyDescent="0.7">
      <c r="D344" s="30" t="str">
        <f t="shared" si="39"/>
        <v/>
      </c>
      <c r="J344" s="43">
        <f t="shared" si="42"/>
        <v>44757.833333332514</v>
      </c>
      <c r="K344" s="44" t="b">
        <f t="shared" ca="1" si="40"/>
        <v>0</v>
      </c>
      <c r="L344" s="44">
        <f t="shared" si="36"/>
        <v>0</v>
      </c>
      <c r="M344" s="51" t="str">
        <f t="shared" ca="1" si="37"/>
        <v/>
      </c>
      <c r="N344" s="50">
        <f t="shared" si="38"/>
        <v>44757.833333332514</v>
      </c>
    </row>
    <row r="345" spans="4:14" ht="14.1" x14ac:dyDescent="0.7">
      <c r="D345" s="30" t="str">
        <f t="shared" si="39"/>
        <v/>
      </c>
      <c r="J345" s="43">
        <f t="shared" si="42"/>
        <v>44757.874999999178</v>
      </c>
      <c r="K345" s="44" t="b">
        <f t="shared" ca="1" si="40"/>
        <v>0</v>
      </c>
      <c r="L345" s="44">
        <f t="shared" si="36"/>
        <v>0</v>
      </c>
      <c r="M345" s="51" t="str">
        <f t="shared" ca="1" si="37"/>
        <v/>
      </c>
      <c r="N345" s="50">
        <f t="shared" si="38"/>
        <v>44757.874999999178</v>
      </c>
    </row>
    <row r="346" spans="4:14" ht="14.1" x14ac:dyDescent="0.7">
      <c r="D346" s="30" t="str">
        <f t="shared" si="39"/>
        <v/>
      </c>
      <c r="J346" s="43">
        <f t="shared" si="42"/>
        <v>44757.916666665842</v>
      </c>
      <c r="K346" s="44" t="b">
        <f t="shared" ca="1" si="40"/>
        <v>0</v>
      </c>
      <c r="L346" s="44">
        <f t="shared" si="36"/>
        <v>0</v>
      </c>
      <c r="M346" s="51" t="str">
        <f t="shared" ca="1" si="37"/>
        <v/>
      </c>
      <c r="N346" s="50">
        <f t="shared" si="38"/>
        <v>44757.916666665842</v>
      </c>
    </row>
    <row r="347" spans="4:14" ht="14.1" x14ac:dyDescent="0.7">
      <c r="D347" s="30" t="str">
        <f t="shared" si="39"/>
        <v/>
      </c>
      <c r="J347" s="43">
        <f t="shared" si="42"/>
        <v>44757.958333332506</v>
      </c>
      <c r="K347" s="44" t="b">
        <f t="shared" ca="1" si="40"/>
        <v>0</v>
      </c>
      <c r="L347" s="44">
        <f t="shared" si="36"/>
        <v>0</v>
      </c>
      <c r="M347" s="51" t="str">
        <f t="shared" ca="1" si="37"/>
        <v/>
      </c>
      <c r="N347" s="50">
        <f t="shared" si="38"/>
        <v>44757.958333332506</v>
      </c>
    </row>
    <row r="348" spans="4:14" ht="14.1" x14ac:dyDescent="0.7">
      <c r="D348" s="30" t="str">
        <f t="shared" si="39"/>
        <v/>
      </c>
      <c r="J348" s="43">
        <f t="shared" si="42"/>
        <v>44757.999999999171</v>
      </c>
      <c r="K348" s="44" t="b">
        <f t="shared" ca="1" si="40"/>
        <v>0</v>
      </c>
      <c r="L348" s="44">
        <f t="shared" si="36"/>
        <v>0</v>
      </c>
      <c r="M348" s="51" t="str">
        <f t="shared" ca="1" si="37"/>
        <v/>
      </c>
      <c r="N348" s="50">
        <f t="shared" si="38"/>
        <v>44757.999999999171</v>
      </c>
    </row>
    <row r="349" spans="4:14" ht="14.1" x14ac:dyDescent="0.7">
      <c r="D349" s="30" t="str">
        <f t="shared" si="39"/>
        <v/>
      </c>
      <c r="J349" s="43">
        <f t="shared" si="42"/>
        <v>44758.041666665835</v>
      </c>
      <c r="K349" s="44" t="b">
        <f t="shared" ca="1" si="40"/>
        <v>0</v>
      </c>
      <c r="L349" s="44">
        <f t="shared" si="36"/>
        <v>0</v>
      </c>
      <c r="M349" s="51" t="str">
        <f t="shared" ca="1" si="37"/>
        <v/>
      </c>
      <c r="N349" s="50">
        <f t="shared" si="38"/>
        <v>44758.041666665835</v>
      </c>
    </row>
    <row r="350" spans="4:14" ht="14.1" x14ac:dyDescent="0.7">
      <c r="D350" s="30" t="str">
        <f t="shared" si="39"/>
        <v/>
      </c>
      <c r="J350" s="43">
        <f t="shared" si="42"/>
        <v>44758.083333332499</v>
      </c>
      <c r="K350" s="44" t="b">
        <f t="shared" ca="1" si="40"/>
        <v>0</v>
      </c>
      <c r="L350" s="44">
        <f t="shared" si="36"/>
        <v>0</v>
      </c>
      <c r="M350" s="51" t="str">
        <f t="shared" ca="1" si="37"/>
        <v/>
      </c>
      <c r="N350" s="50">
        <f t="shared" si="38"/>
        <v>44758.083333332499</v>
      </c>
    </row>
    <row r="351" spans="4:14" ht="14.1" x14ac:dyDescent="0.7">
      <c r="D351" s="30" t="str">
        <f t="shared" si="39"/>
        <v/>
      </c>
      <c r="J351" s="43">
        <f t="shared" si="42"/>
        <v>44758.124999999163</v>
      </c>
      <c r="K351" s="44" t="b">
        <f t="shared" ca="1" si="40"/>
        <v>0</v>
      </c>
      <c r="L351" s="44">
        <f t="shared" si="36"/>
        <v>0</v>
      </c>
      <c r="M351" s="51" t="str">
        <f t="shared" ca="1" si="37"/>
        <v/>
      </c>
      <c r="N351" s="50">
        <f t="shared" si="38"/>
        <v>44758.124999999163</v>
      </c>
    </row>
    <row r="352" spans="4:14" ht="14.1" x14ac:dyDescent="0.7">
      <c r="D352" s="30" t="str">
        <f t="shared" si="39"/>
        <v/>
      </c>
      <c r="J352" s="43">
        <f t="shared" si="42"/>
        <v>44758.166666665828</v>
      </c>
      <c r="K352" s="44" t="b">
        <f t="shared" ca="1" si="40"/>
        <v>0</v>
      </c>
      <c r="L352" s="44">
        <f t="shared" si="36"/>
        <v>0</v>
      </c>
      <c r="M352" s="51" t="str">
        <f t="shared" ca="1" si="37"/>
        <v/>
      </c>
      <c r="N352" s="50">
        <f t="shared" si="38"/>
        <v>44758.166666665828</v>
      </c>
    </row>
    <row r="353" spans="4:14" ht="14.1" x14ac:dyDescent="0.7">
      <c r="D353" s="30" t="str">
        <f t="shared" si="39"/>
        <v/>
      </c>
      <c r="J353" s="43">
        <f t="shared" si="42"/>
        <v>44758.208333332492</v>
      </c>
      <c r="K353" s="44" t="b">
        <f t="shared" ca="1" si="40"/>
        <v>0</v>
      </c>
      <c r="L353" s="44">
        <f t="shared" ref="L353:L416" si="43">COUNTIFS($D$6:$D$251,"&gt;="&amp;J353,$D$6:$D$251,"&lt;"&amp;J354)</f>
        <v>0</v>
      </c>
      <c r="M353" s="51" t="str">
        <f t="shared" ref="M353:M416" ca="1" si="44">IF(K353,L353/60,"")</f>
        <v/>
      </c>
      <c r="N353" s="50">
        <f t="shared" ref="N353:N416" si="45">J353</f>
        <v>44758.208333332492</v>
      </c>
    </row>
    <row r="354" spans="4:14" ht="14.1" x14ac:dyDescent="0.7">
      <c r="D354" s="30" t="str">
        <f t="shared" si="39"/>
        <v/>
      </c>
      <c r="J354" s="43">
        <f t="shared" si="42"/>
        <v>44758.249999999156</v>
      </c>
      <c r="K354" s="44" t="b">
        <f t="shared" ca="1" si="40"/>
        <v>0</v>
      </c>
      <c r="L354" s="44">
        <f t="shared" si="43"/>
        <v>0</v>
      </c>
      <c r="M354" s="51" t="str">
        <f t="shared" ca="1" si="44"/>
        <v/>
      </c>
      <c r="N354" s="50">
        <f t="shared" si="45"/>
        <v>44758.249999999156</v>
      </c>
    </row>
    <row r="355" spans="4:14" ht="14.1" x14ac:dyDescent="0.7">
      <c r="D355" s="30" t="str">
        <f t="shared" si="39"/>
        <v/>
      </c>
      <c r="J355" s="43">
        <f t="shared" si="42"/>
        <v>44758.29166666582</v>
      </c>
      <c r="K355" s="44" t="b">
        <f t="shared" ca="1" si="40"/>
        <v>0</v>
      </c>
      <c r="L355" s="44">
        <f t="shared" si="43"/>
        <v>0</v>
      </c>
      <c r="M355" s="51" t="str">
        <f t="shared" ca="1" si="44"/>
        <v/>
      </c>
      <c r="N355" s="50">
        <f t="shared" si="45"/>
        <v>44758.29166666582</v>
      </c>
    </row>
    <row r="356" spans="4:14" ht="14.1" x14ac:dyDescent="0.7">
      <c r="D356" s="30" t="str">
        <f t="shared" si="39"/>
        <v/>
      </c>
      <c r="J356" s="43">
        <f t="shared" si="42"/>
        <v>44758.333333332484</v>
      </c>
      <c r="K356" s="44" t="b">
        <f t="shared" ca="1" si="40"/>
        <v>0</v>
      </c>
      <c r="L356" s="44">
        <f t="shared" si="43"/>
        <v>0</v>
      </c>
      <c r="M356" s="51" t="str">
        <f t="shared" ca="1" si="44"/>
        <v/>
      </c>
      <c r="N356" s="50">
        <f t="shared" si="45"/>
        <v>44758.333333332484</v>
      </c>
    </row>
    <row r="357" spans="4:14" ht="14.1" x14ac:dyDescent="0.7">
      <c r="D357" s="30" t="str">
        <f t="shared" si="39"/>
        <v/>
      </c>
      <c r="J357" s="43">
        <f t="shared" si="42"/>
        <v>44758.374999999149</v>
      </c>
      <c r="K357" s="44" t="b">
        <f t="shared" ca="1" si="40"/>
        <v>0</v>
      </c>
      <c r="L357" s="44">
        <f t="shared" si="43"/>
        <v>0</v>
      </c>
      <c r="M357" s="51" t="str">
        <f t="shared" ca="1" si="44"/>
        <v/>
      </c>
      <c r="N357" s="50">
        <f t="shared" si="45"/>
        <v>44758.374999999149</v>
      </c>
    </row>
    <row r="358" spans="4:14" ht="14.1" x14ac:dyDescent="0.7">
      <c r="D358" s="30" t="str">
        <f t="shared" si="39"/>
        <v/>
      </c>
      <c r="J358" s="43">
        <f t="shared" si="42"/>
        <v>44758.416666665813</v>
      </c>
      <c r="K358" s="44" t="b">
        <f t="shared" ca="1" si="40"/>
        <v>0</v>
      </c>
      <c r="L358" s="44">
        <f t="shared" si="43"/>
        <v>0</v>
      </c>
      <c r="M358" s="51" t="str">
        <f t="shared" ca="1" si="44"/>
        <v/>
      </c>
      <c r="N358" s="50">
        <f t="shared" si="45"/>
        <v>44758.416666665813</v>
      </c>
    </row>
    <row r="359" spans="4:14" ht="14.1" x14ac:dyDescent="0.7">
      <c r="D359" s="30" t="str">
        <f t="shared" si="39"/>
        <v/>
      </c>
      <c r="J359" s="43">
        <f t="shared" si="42"/>
        <v>44758.458333332477</v>
      </c>
      <c r="K359" s="44" t="b">
        <f t="shared" ca="1" si="40"/>
        <v>0</v>
      </c>
      <c r="L359" s="44">
        <f t="shared" si="43"/>
        <v>0</v>
      </c>
      <c r="M359" s="51" t="str">
        <f t="shared" ca="1" si="44"/>
        <v/>
      </c>
      <c r="N359" s="50">
        <f t="shared" si="45"/>
        <v>44758.458333332477</v>
      </c>
    </row>
    <row r="360" spans="4:14" ht="14.1" x14ac:dyDescent="0.7">
      <c r="D360" s="30" t="str">
        <f t="shared" si="39"/>
        <v/>
      </c>
      <c r="J360" s="43">
        <f t="shared" si="42"/>
        <v>44758.499999999141</v>
      </c>
      <c r="K360" s="44" t="b">
        <f t="shared" ca="1" si="40"/>
        <v>0</v>
      </c>
      <c r="L360" s="44">
        <f t="shared" si="43"/>
        <v>0</v>
      </c>
      <c r="M360" s="51" t="str">
        <f t="shared" ca="1" si="44"/>
        <v/>
      </c>
      <c r="N360" s="50">
        <f t="shared" si="45"/>
        <v>44758.499999999141</v>
      </c>
    </row>
    <row r="361" spans="4:14" ht="14.1" x14ac:dyDescent="0.7">
      <c r="D361" s="30" t="str">
        <f t="shared" si="39"/>
        <v/>
      </c>
      <c r="J361" s="43">
        <f t="shared" si="42"/>
        <v>44758.541666665806</v>
      </c>
      <c r="K361" s="44" t="b">
        <f t="shared" ca="1" si="40"/>
        <v>0</v>
      </c>
      <c r="L361" s="44">
        <f t="shared" si="43"/>
        <v>0</v>
      </c>
      <c r="M361" s="51" t="str">
        <f t="shared" ca="1" si="44"/>
        <v/>
      </c>
      <c r="N361" s="50">
        <f t="shared" si="45"/>
        <v>44758.541666665806</v>
      </c>
    </row>
    <row r="362" spans="4:14" ht="14.1" x14ac:dyDescent="0.7">
      <c r="D362" s="30" t="str">
        <f t="shared" si="39"/>
        <v/>
      </c>
      <c r="J362" s="43">
        <f t="shared" si="42"/>
        <v>44758.58333333247</v>
      </c>
      <c r="K362" s="44" t="b">
        <f t="shared" ca="1" si="40"/>
        <v>0</v>
      </c>
      <c r="L362" s="44">
        <f t="shared" si="43"/>
        <v>0</v>
      </c>
      <c r="M362" s="51" t="str">
        <f t="shared" ca="1" si="44"/>
        <v/>
      </c>
      <c r="N362" s="50">
        <f t="shared" si="45"/>
        <v>44758.58333333247</v>
      </c>
    </row>
    <row r="363" spans="4:14" ht="14.1" x14ac:dyDescent="0.7">
      <c r="D363" s="30" t="str">
        <f t="shared" si="39"/>
        <v/>
      </c>
      <c r="J363" s="43">
        <f t="shared" si="42"/>
        <v>44758.624999999134</v>
      </c>
      <c r="K363" s="44" t="b">
        <f t="shared" ca="1" si="40"/>
        <v>0</v>
      </c>
      <c r="L363" s="44">
        <f t="shared" si="43"/>
        <v>0</v>
      </c>
      <c r="M363" s="51" t="str">
        <f t="shared" ca="1" si="44"/>
        <v/>
      </c>
      <c r="N363" s="50">
        <f t="shared" si="45"/>
        <v>44758.624999999134</v>
      </c>
    </row>
    <row r="364" spans="4:14" ht="14.1" x14ac:dyDescent="0.7">
      <c r="D364" s="30" t="str">
        <f t="shared" si="39"/>
        <v/>
      </c>
      <c r="J364" s="43">
        <f t="shared" si="42"/>
        <v>44758.666666665798</v>
      </c>
      <c r="K364" s="44" t="b">
        <f t="shared" ca="1" si="40"/>
        <v>0</v>
      </c>
      <c r="L364" s="44">
        <f t="shared" si="43"/>
        <v>0</v>
      </c>
      <c r="M364" s="51" t="str">
        <f t="shared" ca="1" si="44"/>
        <v/>
      </c>
      <c r="N364" s="50">
        <f t="shared" si="45"/>
        <v>44758.666666665798</v>
      </c>
    </row>
    <row r="365" spans="4:14" ht="14.1" x14ac:dyDescent="0.7">
      <c r="D365" s="30" t="str">
        <f t="shared" si="39"/>
        <v/>
      </c>
      <c r="J365" s="43">
        <f t="shared" si="42"/>
        <v>44758.708333332463</v>
      </c>
      <c r="K365" s="44" t="b">
        <f t="shared" ca="1" si="40"/>
        <v>0</v>
      </c>
      <c r="L365" s="44">
        <f t="shared" si="43"/>
        <v>0</v>
      </c>
      <c r="M365" s="51" t="str">
        <f t="shared" ca="1" si="44"/>
        <v/>
      </c>
      <c r="N365" s="50">
        <f t="shared" si="45"/>
        <v>44758.708333332463</v>
      </c>
    </row>
    <row r="366" spans="4:14" ht="14.1" x14ac:dyDescent="0.7">
      <c r="D366" s="30" t="str">
        <f t="shared" si="39"/>
        <v/>
      </c>
      <c r="J366" s="43">
        <f t="shared" si="42"/>
        <v>44758.749999999127</v>
      </c>
      <c r="K366" s="44" t="b">
        <f t="shared" ca="1" si="40"/>
        <v>0</v>
      </c>
      <c r="L366" s="44">
        <f t="shared" si="43"/>
        <v>0</v>
      </c>
      <c r="M366" s="51" t="str">
        <f t="shared" ca="1" si="44"/>
        <v/>
      </c>
      <c r="N366" s="50">
        <f t="shared" si="45"/>
        <v>44758.749999999127</v>
      </c>
    </row>
    <row r="367" spans="4:14" ht="14.1" x14ac:dyDescent="0.7">
      <c r="D367" s="30" t="str">
        <f t="shared" si="39"/>
        <v/>
      </c>
      <c r="J367" s="43">
        <f t="shared" si="42"/>
        <v>44758.791666665791</v>
      </c>
      <c r="K367" s="44" t="b">
        <f t="shared" ca="1" si="40"/>
        <v>0</v>
      </c>
      <c r="L367" s="44">
        <f t="shared" si="43"/>
        <v>0</v>
      </c>
      <c r="M367" s="51" t="str">
        <f t="shared" ca="1" si="44"/>
        <v/>
      </c>
      <c r="N367" s="50">
        <f t="shared" si="45"/>
        <v>44758.791666665791</v>
      </c>
    </row>
    <row r="368" spans="4:14" ht="14.1" x14ac:dyDescent="0.7">
      <c r="D368" s="30" t="str">
        <f t="shared" si="39"/>
        <v/>
      </c>
      <c r="J368" s="43">
        <f t="shared" si="42"/>
        <v>44758.833333332455</v>
      </c>
      <c r="K368" s="44" t="b">
        <f t="shared" ca="1" si="40"/>
        <v>0</v>
      </c>
      <c r="L368" s="44">
        <f t="shared" si="43"/>
        <v>0</v>
      </c>
      <c r="M368" s="51" t="str">
        <f t="shared" ca="1" si="44"/>
        <v/>
      </c>
      <c r="N368" s="50">
        <f t="shared" si="45"/>
        <v>44758.833333332455</v>
      </c>
    </row>
    <row r="369" spans="4:14" ht="14.1" x14ac:dyDescent="0.7">
      <c r="D369" s="30" t="str">
        <f t="shared" si="39"/>
        <v/>
      </c>
      <c r="J369" s="43">
        <f t="shared" si="42"/>
        <v>44758.87499999912</v>
      </c>
      <c r="K369" s="44" t="b">
        <f t="shared" ca="1" si="40"/>
        <v>0</v>
      </c>
      <c r="L369" s="44">
        <f t="shared" si="43"/>
        <v>0</v>
      </c>
      <c r="M369" s="51" t="str">
        <f t="shared" ca="1" si="44"/>
        <v/>
      </c>
      <c r="N369" s="50">
        <f t="shared" si="45"/>
        <v>44758.87499999912</v>
      </c>
    </row>
    <row r="370" spans="4:14" ht="14.1" x14ac:dyDescent="0.7">
      <c r="D370" s="30" t="str">
        <f t="shared" si="39"/>
        <v/>
      </c>
      <c r="J370" s="43">
        <f t="shared" si="42"/>
        <v>44758.916666665784</v>
      </c>
      <c r="K370" s="44" t="b">
        <f t="shared" ca="1" si="40"/>
        <v>0</v>
      </c>
      <c r="L370" s="44">
        <f t="shared" si="43"/>
        <v>0</v>
      </c>
      <c r="M370" s="51" t="str">
        <f t="shared" ca="1" si="44"/>
        <v/>
      </c>
      <c r="N370" s="50">
        <f t="shared" si="45"/>
        <v>44758.916666665784</v>
      </c>
    </row>
    <row r="371" spans="4:14" ht="14.1" x14ac:dyDescent="0.7">
      <c r="D371" s="30" t="str">
        <f t="shared" si="39"/>
        <v/>
      </c>
      <c r="J371" s="43">
        <f t="shared" si="42"/>
        <v>44758.958333332448</v>
      </c>
      <c r="K371" s="44" t="b">
        <f t="shared" ca="1" si="40"/>
        <v>0</v>
      </c>
      <c r="L371" s="44">
        <f t="shared" si="43"/>
        <v>0</v>
      </c>
      <c r="M371" s="51" t="str">
        <f t="shared" ca="1" si="44"/>
        <v/>
      </c>
      <c r="N371" s="50">
        <f t="shared" si="45"/>
        <v>44758.958333332448</v>
      </c>
    </row>
    <row r="372" spans="4:14" ht="14.1" x14ac:dyDescent="0.7">
      <c r="D372" s="30" t="str">
        <f t="shared" si="39"/>
        <v/>
      </c>
      <c r="J372" s="43">
        <f t="shared" si="42"/>
        <v>44758.999999999112</v>
      </c>
      <c r="K372" s="44" t="b">
        <f t="shared" ca="1" si="40"/>
        <v>0</v>
      </c>
      <c r="L372" s="44">
        <f t="shared" si="43"/>
        <v>0</v>
      </c>
      <c r="M372" s="51" t="str">
        <f t="shared" ca="1" si="44"/>
        <v/>
      </c>
      <c r="N372" s="50">
        <f t="shared" si="45"/>
        <v>44758.999999999112</v>
      </c>
    </row>
    <row r="373" spans="4:14" ht="14.1" x14ac:dyDescent="0.7">
      <c r="D373" s="30" t="str">
        <f t="shared" si="39"/>
        <v/>
      </c>
      <c r="J373" s="43">
        <f t="shared" si="42"/>
        <v>44759.041666665777</v>
      </c>
      <c r="K373" s="44" t="b">
        <f t="shared" ca="1" si="40"/>
        <v>0</v>
      </c>
      <c r="L373" s="44">
        <f t="shared" si="43"/>
        <v>0</v>
      </c>
      <c r="M373" s="51" t="str">
        <f t="shared" ca="1" si="44"/>
        <v/>
      </c>
      <c r="N373" s="50">
        <f t="shared" si="45"/>
        <v>44759.041666665777</v>
      </c>
    </row>
    <row r="374" spans="4:14" ht="14.1" x14ac:dyDescent="0.7">
      <c r="D374" s="30" t="str">
        <f t="shared" si="39"/>
        <v/>
      </c>
      <c r="J374" s="43">
        <f t="shared" si="42"/>
        <v>44759.083333332441</v>
      </c>
      <c r="K374" s="44" t="b">
        <f t="shared" ca="1" si="40"/>
        <v>0</v>
      </c>
      <c r="L374" s="44">
        <f t="shared" si="43"/>
        <v>0</v>
      </c>
      <c r="M374" s="51" t="str">
        <f t="shared" ca="1" si="44"/>
        <v/>
      </c>
      <c r="N374" s="50">
        <f t="shared" si="45"/>
        <v>44759.083333332441</v>
      </c>
    </row>
    <row r="375" spans="4:14" ht="14.1" x14ac:dyDescent="0.7">
      <c r="D375" s="30" t="str">
        <f t="shared" si="39"/>
        <v/>
      </c>
      <c r="J375" s="43">
        <f t="shared" si="42"/>
        <v>44759.124999999105</v>
      </c>
      <c r="K375" s="44" t="b">
        <f t="shared" ca="1" si="40"/>
        <v>0</v>
      </c>
      <c r="L375" s="44">
        <f t="shared" si="43"/>
        <v>0</v>
      </c>
      <c r="M375" s="51" t="str">
        <f t="shared" ca="1" si="44"/>
        <v/>
      </c>
      <c r="N375" s="50">
        <f t="shared" si="45"/>
        <v>44759.124999999105</v>
      </c>
    </row>
    <row r="376" spans="4:14" ht="14.1" x14ac:dyDescent="0.7">
      <c r="D376" s="30" t="str">
        <f t="shared" si="39"/>
        <v/>
      </c>
      <c r="J376" s="43">
        <f t="shared" si="42"/>
        <v>44759.166666665769</v>
      </c>
      <c r="K376" s="44" t="b">
        <f t="shared" ca="1" si="40"/>
        <v>0</v>
      </c>
      <c r="L376" s="44">
        <f t="shared" si="43"/>
        <v>0</v>
      </c>
      <c r="M376" s="51" t="str">
        <f t="shared" ca="1" si="44"/>
        <v/>
      </c>
      <c r="N376" s="50">
        <f t="shared" si="45"/>
        <v>44759.166666665769</v>
      </c>
    </row>
    <row r="377" spans="4:14" ht="14.1" x14ac:dyDescent="0.7">
      <c r="D377" s="30" t="str">
        <f t="shared" si="39"/>
        <v/>
      </c>
      <c r="J377" s="43">
        <f t="shared" si="42"/>
        <v>44759.208333332434</v>
      </c>
      <c r="K377" s="44" t="b">
        <f t="shared" ca="1" si="40"/>
        <v>0</v>
      </c>
      <c r="L377" s="44">
        <f t="shared" si="43"/>
        <v>0</v>
      </c>
      <c r="M377" s="51" t="str">
        <f t="shared" ca="1" si="44"/>
        <v/>
      </c>
      <c r="N377" s="50">
        <f t="shared" si="45"/>
        <v>44759.208333332434</v>
      </c>
    </row>
    <row r="378" spans="4:14" ht="14.1" x14ac:dyDescent="0.7">
      <c r="D378" s="30" t="str">
        <f t="shared" si="39"/>
        <v/>
      </c>
      <c r="J378" s="43">
        <f t="shared" si="42"/>
        <v>44759.249999999098</v>
      </c>
      <c r="K378" s="44" t="b">
        <f t="shared" ca="1" si="40"/>
        <v>0</v>
      </c>
      <c r="L378" s="44">
        <f t="shared" si="43"/>
        <v>0</v>
      </c>
      <c r="M378" s="51" t="str">
        <f t="shared" ca="1" si="44"/>
        <v/>
      </c>
      <c r="N378" s="50">
        <f t="shared" si="45"/>
        <v>44759.249999999098</v>
      </c>
    </row>
    <row r="379" spans="4:14" ht="14.1" x14ac:dyDescent="0.7">
      <c r="D379" s="30" t="str">
        <f t="shared" si="39"/>
        <v/>
      </c>
      <c r="J379" s="43">
        <f t="shared" si="42"/>
        <v>44759.291666665762</v>
      </c>
      <c r="K379" s="44" t="b">
        <f t="shared" ca="1" si="40"/>
        <v>0</v>
      </c>
      <c r="L379" s="44">
        <f t="shared" si="43"/>
        <v>0</v>
      </c>
      <c r="M379" s="51" t="str">
        <f t="shared" ca="1" si="44"/>
        <v/>
      </c>
      <c r="N379" s="50">
        <f t="shared" si="45"/>
        <v>44759.291666665762</v>
      </c>
    </row>
    <row r="380" spans="4:14" ht="14.1" x14ac:dyDescent="0.7">
      <c r="D380" s="30" t="str">
        <f t="shared" si="39"/>
        <v/>
      </c>
      <c r="J380" s="43">
        <f t="shared" si="42"/>
        <v>44759.333333332426</v>
      </c>
      <c r="K380" s="44" t="b">
        <f t="shared" ca="1" si="40"/>
        <v>0</v>
      </c>
      <c r="L380" s="44">
        <f t="shared" si="43"/>
        <v>0</v>
      </c>
      <c r="M380" s="51" t="str">
        <f t="shared" ca="1" si="44"/>
        <v/>
      </c>
      <c r="N380" s="50">
        <f t="shared" si="45"/>
        <v>44759.333333332426</v>
      </c>
    </row>
    <row r="381" spans="4:14" ht="14.1" x14ac:dyDescent="0.7">
      <c r="D381" s="30" t="str">
        <f t="shared" si="39"/>
        <v/>
      </c>
      <c r="J381" s="43">
        <f t="shared" si="42"/>
        <v>44759.374999999091</v>
      </c>
      <c r="K381" s="44" t="b">
        <f t="shared" ca="1" si="40"/>
        <v>0</v>
      </c>
      <c r="L381" s="44">
        <f t="shared" si="43"/>
        <v>0</v>
      </c>
      <c r="M381" s="51" t="str">
        <f t="shared" ca="1" si="44"/>
        <v/>
      </c>
      <c r="N381" s="50">
        <f t="shared" si="45"/>
        <v>44759.374999999091</v>
      </c>
    </row>
    <row r="382" spans="4:14" ht="14.1" x14ac:dyDescent="0.7">
      <c r="D382" s="30" t="str">
        <f t="shared" si="39"/>
        <v/>
      </c>
      <c r="J382" s="43">
        <f t="shared" si="42"/>
        <v>44759.416666665755</v>
      </c>
      <c r="K382" s="44" t="b">
        <f t="shared" ca="1" si="40"/>
        <v>0</v>
      </c>
      <c r="L382" s="44">
        <f t="shared" si="43"/>
        <v>0</v>
      </c>
      <c r="M382" s="51" t="str">
        <f t="shared" ca="1" si="44"/>
        <v/>
      </c>
      <c r="N382" s="50">
        <f t="shared" si="45"/>
        <v>44759.416666665755</v>
      </c>
    </row>
    <row r="383" spans="4:14" ht="14.1" x14ac:dyDescent="0.7">
      <c r="D383" s="30" t="str">
        <f t="shared" si="39"/>
        <v/>
      </c>
      <c r="J383" s="43">
        <f t="shared" si="42"/>
        <v>44759.458333332419</v>
      </c>
      <c r="K383" s="44" t="b">
        <f t="shared" ca="1" si="40"/>
        <v>0</v>
      </c>
      <c r="L383" s="44">
        <f t="shared" si="43"/>
        <v>0</v>
      </c>
      <c r="M383" s="51" t="str">
        <f t="shared" ca="1" si="44"/>
        <v/>
      </c>
      <c r="N383" s="50">
        <f t="shared" si="45"/>
        <v>44759.458333332419</v>
      </c>
    </row>
    <row r="384" spans="4:14" ht="14.1" x14ac:dyDescent="0.7">
      <c r="D384" s="30" t="str">
        <f t="shared" si="39"/>
        <v/>
      </c>
      <c r="J384" s="43">
        <f t="shared" si="42"/>
        <v>44759.499999999083</v>
      </c>
      <c r="K384" s="44" t="b">
        <f t="shared" ca="1" si="40"/>
        <v>0</v>
      </c>
      <c r="L384" s="44">
        <f t="shared" si="43"/>
        <v>0</v>
      </c>
      <c r="M384" s="51" t="str">
        <f t="shared" ca="1" si="44"/>
        <v/>
      </c>
      <c r="N384" s="50">
        <f t="shared" si="45"/>
        <v>44759.499999999083</v>
      </c>
    </row>
    <row r="385" spans="4:14" ht="14.1" x14ac:dyDescent="0.7">
      <c r="D385" s="30" t="str">
        <f t="shared" si="39"/>
        <v/>
      </c>
      <c r="J385" s="43">
        <f t="shared" si="42"/>
        <v>44759.541666665747</v>
      </c>
      <c r="K385" s="44" t="b">
        <f t="shared" ca="1" si="40"/>
        <v>0</v>
      </c>
      <c r="L385" s="44">
        <f t="shared" si="43"/>
        <v>0</v>
      </c>
      <c r="M385" s="51" t="str">
        <f t="shared" ca="1" si="44"/>
        <v/>
      </c>
      <c r="N385" s="50">
        <f t="shared" si="45"/>
        <v>44759.541666665747</v>
      </c>
    </row>
    <row r="386" spans="4:14" ht="14.1" x14ac:dyDescent="0.7">
      <c r="D386" s="30" t="str">
        <f t="shared" si="39"/>
        <v/>
      </c>
      <c r="J386" s="43">
        <f t="shared" si="42"/>
        <v>44759.583333332412</v>
      </c>
      <c r="K386" s="44" t="b">
        <f t="shared" ca="1" si="40"/>
        <v>0</v>
      </c>
      <c r="L386" s="44">
        <f t="shared" si="43"/>
        <v>0</v>
      </c>
      <c r="M386" s="51" t="str">
        <f t="shared" ca="1" si="44"/>
        <v/>
      </c>
      <c r="N386" s="50">
        <f t="shared" si="45"/>
        <v>44759.583333332412</v>
      </c>
    </row>
    <row r="387" spans="4:14" ht="14.1" x14ac:dyDescent="0.7">
      <c r="D387" s="30" t="str">
        <f t="shared" si="39"/>
        <v/>
      </c>
      <c r="J387" s="43">
        <f t="shared" si="42"/>
        <v>44759.624999999076</v>
      </c>
      <c r="K387" s="44" t="b">
        <f t="shared" ca="1" si="40"/>
        <v>0</v>
      </c>
      <c r="L387" s="44">
        <f t="shared" si="43"/>
        <v>0</v>
      </c>
      <c r="M387" s="51" t="str">
        <f t="shared" ca="1" si="44"/>
        <v/>
      </c>
      <c r="N387" s="50">
        <f t="shared" si="45"/>
        <v>44759.624999999076</v>
      </c>
    </row>
    <row r="388" spans="4:14" ht="14.1" x14ac:dyDescent="0.7">
      <c r="D388" s="30" t="str">
        <f t="shared" si="39"/>
        <v/>
      </c>
      <c r="J388" s="43">
        <f t="shared" si="42"/>
        <v>44759.66666666574</v>
      </c>
      <c r="K388" s="44" t="b">
        <f t="shared" ca="1" si="40"/>
        <v>0</v>
      </c>
      <c r="L388" s="44">
        <f t="shared" si="43"/>
        <v>0</v>
      </c>
      <c r="M388" s="51" t="str">
        <f t="shared" ca="1" si="44"/>
        <v/>
      </c>
      <c r="N388" s="50">
        <f t="shared" si="45"/>
        <v>44759.66666666574</v>
      </c>
    </row>
    <row r="389" spans="4:14" ht="14.1" x14ac:dyDescent="0.7">
      <c r="D389" s="30" t="str">
        <f t="shared" si="39"/>
        <v/>
      </c>
      <c r="J389" s="43">
        <f t="shared" si="42"/>
        <v>44759.708333332404</v>
      </c>
      <c r="K389" s="44" t="b">
        <f t="shared" ca="1" si="40"/>
        <v>0</v>
      </c>
      <c r="L389" s="44">
        <f t="shared" si="43"/>
        <v>0</v>
      </c>
      <c r="M389" s="51" t="str">
        <f t="shared" ca="1" si="44"/>
        <v/>
      </c>
      <c r="N389" s="50">
        <f t="shared" si="45"/>
        <v>44759.708333332404</v>
      </c>
    </row>
    <row r="390" spans="4:14" ht="14.1" x14ac:dyDescent="0.7">
      <c r="D390" s="30" t="str">
        <f t="shared" si="39"/>
        <v/>
      </c>
      <c r="J390" s="43">
        <f t="shared" si="42"/>
        <v>44759.749999999069</v>
      </c>
      <c r="K390" s="44" t="b">
        <f t="shared" ca="1" si="40"/>
        <v>0</v>
      </c>
      <c r="L390" s="44">
        <f t="shared" si="43"/>
        <v>0</v>
      </c>
      <c r="M390" s="51" t="str">
        <f t="shared" ca="1" si="44"/>
        <v/>
      </c>
      <c r="N390" s="50">
        <f t="shared" si="45"/>
        <v>44759.749999999069</v>
      </c>
    </row>
    <row r="391" spans="4:14" ht="14.1" x14ac:dyDescent="0.7">
      <c r="D391" s="30" t="str">
        <f t="shared" ref="D391:D454" si="46">IFERROR(DATE(LEFT(B391,4),MID(B391,5,2),MID(B391,7,2))+TIME(MID(B391,9,2),MID(B391,11,2),MID(B391,13,2)),"")</f>
        <v/>
      </c>
      <c r="J391" s="43">
        <f t="shared" si="42"/>
        <v>44759.791666665733</v>
      </c>
      <c r="K391" s="44" t="b">
        <f t="shared" ref="K391:K454" ca="1" si="47">J$1&gt;=J391+TIME(1,0,0)</f>
        <v>0</v>
      </c>
      <c r="L391" s="44">
        <f t="shared" si="43"/>
        <v>0</v>
      </c>
      <c r="M391" s="51" t="str">
        <f t="shared" ca="1" si="44"/>
        <v/>
      </c>
      <c r="N391" s="50">
        <f t="shared" si="45"/>
        <v>44759.791666665733</v>
      </c>
    </row>
    <row r="392" spans="4:14" ht="14.1" x14ac:dyDescent="0.7">
      <c r="D392" s="30" t="str">
        <f t="shared" si="46"/>
        <v/>
      </c>
      <c r="J392" s="43">
        <f t="shared" ref="J392:J455" si="48">J391+TIME(1,0,0)</f>
        <v>44759.833333332397</v>
      </c>
      <c r="K392" s="44" t="b">
        <f t="shared" ca="1" si="47"/>
        <v>0</v>
      </c>
      <c r="L392" s="44">
        <f t="shared" si="43"/>
        <v>0</v>
      </c>
      <c r="M392" s="51" t="str">
        <f t="shared" ca="1" si="44"/>
        <v/>
      </c>
      <c r="N392" s="50">
        <f t="shared" si="45"/>
        <v>44759.833333332397</v>
      </c>
    </row>
    <row r="393" spans="4:14" ht="14.1" x14ac:dyDescent="0.7">
      <c r="D393" s="30" t="str">
        <f t="shared" si="46"/>
        <v/>
      </c>
      <c r="J393" s="43">
        <f t="shared" si="48"/>
        <v>44759.874999999061</v>
      </c>
      <c r="K393" s="44" t="b">
        <f t="shared" ca="1" si="47"/>
        <v>0</v>
      </c>
      <c r="L393" s="44">
        <f t="shared" si="43"/>
        <v>0</v>
      </c>
      <c r="M393" s="51" t="str">
        <f t="shared" ca="1" si="44"/>
        <v/>
      </c>
      <c r="N393" s="50">
        <f t="shared" si="45"/>
        <v>44759.874999999061</v>
      </c>
    </row>
    <row r="394" spans="4:14" ht="14.1" x14ac:dyDescent="0.7">
      <c r="D394" s="30" t="str">
        <f t="shared" si="46"/>
        <v/>
      </c>
      <c r="J394" s="43">
        <f t="shared" si="48"/>
        <v>44759.916666665726</v>
      </c>
      <c r="K394" s="44" t="b">
        <f t="shared" ca="1" si="47"/>
        <v>0</v>
      </c>
      <c r="L394" s="44">
        <f t="shared" si="43"/>
        <v>0</v>
      </c>
      <c r="M394" s="51" t="str">
        <f t="shared" ca="1" si="44"/>
        <v/>
      </c>
      <c r="N394" s="50">
        <f t="shared" si="45"/>
        <v>44759.916666665726</v>
      </c>
    </row>
    <row r="395" spans="4:14" ht="14.1" x14ac:dyDescent="0.7">
      <c r="D395" s="30" t="str">
        <f t="shared" si="46"/>
        <v/>
      </c>
      <c r="J395" s="43">
        <f t="shared" si="48"/>
        <v>44759.95833333239</v>
      </c>
      <c r="K395" s="44" t="b">
        <f t="shared" ca="1" si="47"/>
        <v>0</v>
      </c>
      <c r="L395" s="44">
        <f t="shared" si="43"/>
        <v>0</v>
      </c>
      <c r="M395" s="51" t="str">
        <f t="shared" ca="1" si="44"/>
        <v/>
      </c>
      <c r="N395" s="50">
        <f t="shared" si="45"/>
        <v>44759.95833333239</v>
      </c>
    </row>
    <row r="396" spans="4:14" ht="14.1" x14ac:dyDescent="0.7">
      <c r="D396" s="30" t="str">
        <f t="shared" si="46"/>
        <v/>
      </c>
      <c r="J396" s="43">
        <f t="shared" si="48"/>
        <v>44759.999999999054</v>
      </c>
      <c r="K396" s="44" t="b">
        <f t="shared" ca="1" si="47"/>
        <v>0</v>
      </c>
      <c r="L396" s="44">
        <f t="shared" si="43"/>
        <v>0</v>
      </c>
      <c r="M396" s="51" t="str">
        <f t="shared" ca="1" si="44"/>
        <v/>
      </c>
      <c r="N396" s="50">
        <f t="shared" si="45"/>
        <v>44759.999999999054</v>
      </c>
    </row>
    <row r="397" spans="4:14" ht="14.1" x14ac:dyDescent="0.7">
      <c r="D397" s="30" t="str">
        <f t="shared" si="46"/>
        <v/>
      </c>
      <c r="J397" s="43">
        <f t="shared" si="48"/>
        <v>44760.041666665718</v>
      </c>
      <c r="K397" s="44" t="b">
        <f t="shared" ca="1" si="47"/>
        <v>0</v>
      </c>
      <c r="L397" s="44">
        <f t="shared" si="43"/>
        <v>0</v>
      </c>
      <c r="M397" s="51" t="str">
        <f t="shared" ca="1" si="44"/>
        <v/>
      </c>
      <c r="N397" s="50">
        <f t="shared" si="45"/>
        <v>44760.041666665718</v>
      </c>
    </row>
    <row r="398" spans="4:14" ht="14.1" x14ac:dyDescent="0.7">
      <c r="D398" s="30" t="str">
        <f t="shared" si="46"/>
        <v/>
      </c>
      <c r="J398" s="43">
        <f t="shared" si="48"/>
        <v>44760.083333332383</v>
      </c>
      <c r="K398" s="44" t="b">
        <f t="shared" ca="1" si="47"/>
        <v>0</v>
      </c>
      <c r="L398" s="44">
        <f t="shared" si="43"/>
        <v>0</v>
      </c>
      <c r="M398" s="51" t="str">
        <f t="shared" ca="1" si="44"/>
        <v/>
      </c>
      <c r="N398" s="50">
        <f t="shared" si="45"/>
        <v>44760.083333332383</v>
      </c>
    </row>
    <row r="399" spans="4:14" ht="14.1" x14ac:dyDescent="0.7">
      <c r="D399" s="30" t="str">
        <f t="shared" si="46"/>
        <v/>
      </c>
      <c r="J399" s="43">
        <f t="shared" si="48"/>
        <v>44760.124999999047</v>
      </c>
      <c r="K399" s="44" t="b">
        <f t="shared" ca="1" si="47"/>
        <v>0</v>
      </c>
      <c r="L399" s="44">
        <f t="shared" si="43"/>
        <v>0</v>
      </c>
      <c r="M399" s="51" t="str">
        <f t="shared" ca="1" si="44"/>
        <v/>
      </c>
      <c r="N399" s="50">
        <f t="shared" si="45"/>
        <v>44760.124999999047</v>
      </c>
    </row>
    <row r="400" spans="4:14" ht="14.1" x14ac:dyDescent="0.7">
      <c r="D400" s="30" t="str">
        <f t="shared" si="46"/>
        <v/>
      </c>
      <c r="J400" s="43">
        <f t="shared" si="48"/>
        <v>44760.166666665711</v>
      </c>
      <c r="K400" s="44" t="b">
        <f t="shared" ca="1" si="47"/>
        <v>0</v>
      </c>
      <c r="L400" s="44">
        <f t="shared" si="43"/>
        <v>0</v>
      </c>
      <c r="M400" s="51" t="str">
        <f t="shared" ca="1" si="44"/>
        <v/>
      </c>
      <c r="N400" s="50">
        <f t="shared" si="45"/>
        <v>44760.166666665711</v>
      </c>
    </row>
    <row r="401" spans="4:14" ht="14.1" x14ac:dyDescent="0.7">
      <c r="D401" s="30" t="str">
        <f t="shared" si="46"/>
        <v/>
      </c>
      <c r="J401" s="43">
        <f t="shared" si="48"/>
        <v>44760.208333332375</v>
      </c>
      <c r="K401" s="44" t="b">
        <f t="shared" ca="1" si="47"/>
        <v>0</v>
      </c>
      <c r="L401" s="44">
        <f t="shared" si="43"/>
        <v>0</v>
      </c>
      <c r="M401" s="51" t="str">
        <f t="shared" ca="1" si="44"/>
        <v/>
      </c>
      <c r="N401" s="50">
        <f t="shared" si="45"/>
        <v>44760.208333332375</v>
      </c>
    </row>
    <row r="402" spans="4:14" ht="14.1" x14ac:dyDescent="0.7">
      <c r="D402" s="30" t="str">
        <f t="shared" si="46"/>
        <v/>
      </c>
      <c r="J402" s="43">
        <f t="shared" si="48"/>
        <v>44760.24999999904</v>
      </c>
      <c r="K402" s="44" t="b">
        <f t="shared" ca="1" si="47"/>
        <v>0</v>
      </c>
      <c r="L402" s="44">
        <f t="shared" si="43"/>
        <v>0</v>
      </c>
      <c r="M402" s="51" t="str">
        <f t="shared" ca="1" si="44"/>
        <v/>
      </c>
      <c r="N402" s="50">
        <f t="shared" si="45"/>
        <v>44760.24999999904</v>
      </c>
    </row>
    <row r="403" spans="4:14" ht="14.1" x14ac:dyDescent="0.7">
      <c r="D403" s="30" t="str">
        <f t="shared" si="46"/>
        <v/>
      </c>
      <c r="J403" s="43">
        <f t="shared" si="48"/>
        <v>44760.291666665704</v>
      </c>
      <c r="K403" s="44" t="b">
        <f t="shared" ca="1" si="47"/>
        <v>0</v>
      </c>
      <c r="L403" s="44">
        <f t="shared" si="43"/>
        <v>0</v>
      </c>
      <c r="M403" s="51" t="str">
        <f t="shared" ca="1" si="44"/>
        <v/>
      </c>
      <c r="N403" s="50">
        <f t="shared" si="45"/>
        <v>44760.291666665704</v>
      </c>
    </row>
    <row r="404" spans="4:14" ht="14.1" x14ac:dyDescent="0.7">
      <c r="D404" s="30" t="str">
        <f t="shared" si="46"/>
        <v/>
      </c>
      <c r="J404" s="43">
        <f t="shared" si="48"/>
        <v>44760.333333332368</v>
      </c>
      <c r="K404" s="44" t="b">
        <f t="shared" ca="1" si="47"/>
        <v>0</v>
      </c>
      <c r="L404" s="44">
        <f t="shared" si="43"/>
        <v>0</v>
      </c>
      <c r="M404" s="51" t="str">
        <f t="shared" ca="1" si="44"/>
        <v/>
      </c>
      <c r="N404" s="50">
        <f t="shared" si="45"/>
        <v>44760.333333332368</v>
      </c>
    </row>
    <row r="405" spans="4:14" ht="14.1" x14ac:dyDescent="0.7">
      <c r="D405" s="30" t="str">
        <f t="shared" si="46"/>
        <v/>
      </c>
      <c r="J405" s="43">
        <f t="shared" si="48"/>
        <v>44760.374999999032</v>
      </c>
      <c r="K405" s="44" t="b">
        <f t="shared" ca="1" si="47"/>
        <v>0</v>
      </c>
      <c r="L405" s="44">
        <f t="shared" si="43"/>
        <v>0</v>
      </c>
      <c r="M405" s="51" t="str">
        <f t="shared" ca="1" si="44"/>
        <v/>
      </c>
      <c r="N405" s="50">
        <f t="shared" si="45"/>
        <v>44760.374999999032</v>
      </c>
    </row>
    <row r="406" spans="4:14" ht="14.1" x14ac:dyDescent="0.7">
      <c r="D406" s="30" t="str">
        <f t="shared" si="46"/>
        <v/>
      </c>
      <c r="J406" s="43">
        <f t="shared" si="48"/>
        <v>44760.416666665697</v>
      </c>
      <c r="K406" s="44" t="b">
        <f t="shared" ca="1" si="47"/>
        <v>0</v>
      </c>
      <c r="L406" s="44">
        <f t="shared" si="43"/>
        <v>0</v>
      </c>
      <c r="M406" s="51" t="str">
        <f t="shared" ca="1" si="44"/>
        <v/>
      </c>
      <c r="N406" s="50">
        <f t="shared" si="45"/>
        <v>44760.416666665697</v>
      </c>
    </row>
    <row r="407" spans="4:14" ht="14.1" x14ac:dyDescent="0.7">
      <c r="D407" s="30" t="str">
        <f t="shared" si="46"/>
        <v/>
      </c>
      <c r="J407" s="43">
        <f t="shared" si="48"/>
        <v>44760.458333332361</v>
      </c>
      <c r="K407" s="44" t="b">
        <f t="shared" ca="1" si="47"/>
        <v>0</v>
      </c>
      <c r="L407" s="44">
        <f t="shared" si="43"/>
        <v>0</v>
      </c>
      <c r="M407" s="51" t="str">
        <f t="shared" ca="1" si="44"/>
        <v/>
      </c>
      <c r="N407" s="50">
        <f t="shared" si="45"/>
        <v>44760.458333332361</v>
      </c>
    </row>
    <row r="408" spans="4:14" ht="14.1" x14ac:dyDescent="0.7">
      <c r="D408" s="30" t="str">
        <f t="shared" si="46"/>
        <v/>
      </c>
      <c r="J408" s="43">
        <f t="shared" si="48"/>
        <v>44760.499999999025</v>
      </c>
      <c r="K408" s="44" t="b">
        <f t="shared" ca="1" si="47"/>
        <v>0</v>
      </c>
      <c r="L408" s="44">
        <f t="shared" si="43"/>
        <v>0</v>
      </c>
      <c r="M408" s="51" t="str">
        <f t="shared" ca="1" si="44"/>
        <v/>
      </c>
      <c r="N408" s="50">
        <f t="shared" si="45"/>
        <v>44760.499999999025</v>
      </c>
    </row>
    <row r="409" spans="4:14" ht="14.1" x14ac:dyDescent="0.7">
      <c r="D409" s="30" t="str">
        <f t="shared" si="46"/>
        <v/>
      </c>
      <c r="J409" s="43">
        <f t="shared" si="48"/>
        <v>44760.541666665689</v>
      </c>
      <c r="K409" s="44" t="b">
        <f t="shared" ca="1" si="47"/>
        <v>0</v>
      </c>
      <c r="L409" s="44">
        <f t="shared" si="43"/>
        <v>0</v>
      </c>
      <c r="M409" s="51" t="str">
        <f t="shared" ca="1" si="44"/>
        <v/>
      </c>
      <c r="N409" s="50">
        <f t="shared" si="45"/>
        <v>44760.541666665689</v>
      </c>
    </row>
    <row r="410" spans="4:14" ht="14.1" x14ac:dyDescent="0.7">
      <c r="D410" s="30" t="str">
        <f t="shared" si="46"/>
        <v/>
      </c>
      <c r="J410" s="43">
        <f t="shared" si="48"/>
        <v>44760.583333332354</v>
      </c>
      <c r="K410" s="44" t="b">
        <f t="shared" ca="1" si="47"/>
        <v>0</v>
      </c>
      <c r="L410" s="44">
        <f t="shared" si="43"/>
        <v>0</v>
      </c>
      <c r="M410" s="51" t="str">
        <f t="shared" ca="1" si="44"/>
        <v/>
      </c>
      <c r="N410" s="50">
        <f t="shared" si="45"/>
        <v>44760.583333332354</v>
      </c>
    </row>
    <row r="411" spans="4:14" ht="14.1" x14ac:dyDescent="0.7">
      <c r="D411" s="30" t="str">
        <f t="shared" si="46"/>
        <v/>
      </c>
      <c r="J411" s="43">
        <f t="shared" si="48"/>
        <v>44760.624999999018</v>
      </c>
      <c r="K411" s="44" t="b">
        <f t="shared" ca="1" si="47"/>
        <v>0</v>
      </c>
      <c r="L411" s="44">
        <f t="shared" si="43"/>
        <v>0</v>
      </c>
      <c r="M411" s="51" t="str">
        <f t="shared" ca="1" si="44"/>
        <v/>
      </c>
      <c r="N411" s="50">
        <f t="shared" si="45"/>
        <v>44760.624999999018</v>
      </c>
    </row>
    <row r="412" spans="4:14" ht="14.1" x14ac:dyDescent="0.7">
      <c r="D412" s="30" t="str">
        <f t="shared" si="46"/>
        <v/>
      </c>
      <c r="J412" s="43">
        <f t="shared" si="48"/>
        <v>44760.666666665682</v>
      </c>
      <c r="K412" s="44" t="b">
        <f t="shared" ca="1" si="47"/>
        <v>0</v>
      </c>
      <c r="L412" s="44">
        <f t="shared" si="43"/>
        <v>0</v>
      </c>
      <c r="M412" s="51" t="str">
        <f t="shared" ca="1" si="44"/>
        <v/>
      </c>
      <c r="N412" s="50">
        <f t="shared" si="45"/>
        <v>44760.666666665682</v>
      </c>
    </row>
    <row r="413" spans="4:14" ht="14.1" x14ac:dyDescent="0.7">
      <c r="D413" s="30" t="str">
        <f t="shared" si="46"/>
        <v/>
      </c>
      <c r="J413" s="43">
        <f t="shared" si="48"/>
        <v>44760.708333332346</v>
      </c>
      <c r="K413" s="44" t="b">
        <f t="shared" ca="1" si="47"/>
        <v>0</v>
      </c>
      <c r="L413" s="44">
        <f t="shared" si="43"/>
        <v>0</v>
      </c>
      <c r="M413" s="51" t="str">
        <f t="shared" ca="1" si="44"/>
        <v/>
      </c>
      <c r="N413" s="50">
        <f t="shared" si="45"/>
        <v>44760.708333332346</v>
      </c>
    </row>
    <row r="414" spans="4:14" ht="14.1" x14ac:dyDescent="0.7">
      <c r="D414" s="30" t="str">
        <f t="shared" si="46"/>
        <v/>
      </c>
      <c r="J414" s="43">
        <f t="shared" si="48"/>
        <v>44760.74999999901</v>
      </c>
      <c r="K414" s="44" t="b">
        <f t="shared" ca="1" si="47"/>
        <v>0</v>
      </c>
      <c r="L414" s="44">
        <f t="shared" si="43"/>
        <v>0</v>
      </c>
      <c r="M414" s="51" t="str">
        <f t="shared" ca="1" si="44"/>
        <v/>
      </c>
      <c r="N414" s="50">
        <f t="shared" si="45"/>
        <v>44760.74999999901</v>
      </c>
    </row>
    <row r="415" spans="4:14" ht="14.1" x14ac:dyDescent="0.7">
      <c r="D415" s="30" t="str">
        <f t="shared" si="46"/>
        <v/>
      </c>
      <c r="J415" s="43">
        <f t="shared" si="48"/>
        <v>44760.791666665675</v>
      </c>
      <c r="K415" s="44" t="b">
        <f t="shared" ca="1" si="47"/>
        <v>0</v>
      </c>
      <c r="L415" s="44">
        <f t="shared" si="43"/>
        <v>0</v>
      </c>
      <c r="M415" s="51" t="str">
        <f t="shared" ca="1" si="44"/>
        <v/>
      </c>
      <c r="N415" s="50">
        <f t="shared" si="45"/>
        <v>44760.791666665675</v>
      </c>
    </row>
    <row r="416" spans="4:14" ht="14.1" x14ac:dyDescent="0.7">
      <c r="D416" s="30" t="str">
        <f t="shared" si="46"/>
        <v/>
      </c>
      <c r="J416" s="43">
        <f t="shared" si="48"/>
        <v>44760.833333332339</v>
      </c>
      <c r="K416" s="44" t="b">
        <f t="shared" ca="1" si="47"/>
        <v>0</v>
      </c>
      <c r="L416" s="44">
        <f t="shared" si="43"/>
        <v>0</v>
      </c>
      <c r="M416" s="51" t="str">
        <f t="shared" ca="1" si="44"/>
        <v/>
      </c>
      <c r="N416" s="50">
        <f t="shared" si="45"/>
        <v>44760.833333332339</v>
      </c>
    </row>
    <row r="417" spans="4:14" ht="14.1" x14ac:dyDescent="0.7">
      <c r="D417" s="30" t="str">
        <f t="shared" si="46"/>
        <v/>
      </c>
      <c r="J417" s="43">
        <f t="shared" si="48"/>
        <v>44760.874999999003</v>
      </c>
      <c r="K417" s="44" t="b">
        <f t="shared" ca="1" si="47"/>
        <v>0</v>
      </c>
      <c r="L417" s="44">
        <f t="shared" ref="L417:L480" si="49">COUNTIFS($D$6:$D$251,"&gt;="&amp;J417,$D$6:$D$251,"&lt;"&amp;J418)</f>
        <v>0</v>
      </c>
      <c r="M417" s="51" t="str">
        <f t="shared" ref="M417:M480" ca="1" si="50">IF(K417,L417/60,"")</f>
        <v/>
      </c>
      <c r="N417" s="50">
        <f t="shared" ref="N417:N480" si="51">J417</f>
        <v>44760.874999999003</v>
      </c>
    </row>
    <row r="418" spans="4:14" ht="14.1" x14ac:dyDescent="0.7">
      <c r="D418" s="30" t="str">
        <f t="shared" si="46"/>
        <v/>
      </c>
      <c r="J418" s="43">
        <f t="shared" si="48"/>
        <v>44760.916666665667</v>
      </c>
      <c r="K418" s="44" t="b">
        <f t="shared" ca="1" si="47"/>
        <v>0</v>
      </c>
      <c r="L418" s="44">
        <f t="shared" si="49"/>
        <v>0</v>
      </c>
      <c r="M418" s="51" t="str">
        <f t="shared" ca="1" si="50"/>
        <v/>
      </c>
      <c r="N418" s="50">
        <f t="shared" si="51"/>
        <v>44760.916666665667</v>
      </c>
    </row>
    <row r="419" spans="4:14" ht="14.1" x14ac:dyDescent="0.7">
      <c r="D419" s="30" t="str">
        <f t="shared" si="46"/>
        <v/>
      </c>
      <c r="J419" s="43">
        <f t="shared" si="48"/>
        <v>44760.958333332332</v>
      </c>
      <c r="K419" s="44" t="b">
        <f t="shared" ca="1" si="47"/>
        <v>0</v>
      </c>
      <c r="L419" s="44">
        <f t="shared" si="49"/>
        <v>0</v>
      </c>
      <c r="M419" s="51" t="str">
        <f t="shared" ca="1" si="50"/>
        <v/>
      </c>
      <c r="N419" s="50">
        <f t="shared" si="51"/>
        <v>44760.958333332332</v>
      </c>
    </row>
    <row r="420" spans="4:14" ht="14.1" x14ac:dyDescent="0.7">
      <c r="D420" s="30" t="str">
        <f t="shared" si="46"/>
        <v/>
      </c>
      <c r="J420" s="43">
        <f t="shared" si="48"/>
        <v>44760.999999998996</v>
      </c>
      <c r="K420" s="44" t="b">
        <f t="shared" ca="1" si="47"/>
        <v>0</v>
      </c>
      <c r="L420" s="44">
        <f t="shared" si="49"/>
        <v>0</v>
      </c>
      <c r="M420" s="51" t="str">
        <f t="shared" ca="1" si="50"/>
        <v/>
      </c>
      <c r="N420" s="50">
        <f t="shared" si="51"/>
        <v>44760.999999998996</v>
      </c>
    </row>
    <row r="421" spans="4:14" ht="14.1" x14ac:dyDescent="0.7">
      <c r="D421" s="30" t="str">
        <f t="shared" si="46"/>
        <v/>
      </c>
      <c r="J421" s="43">
        <f t="shared" si="48"/>
        <v>44761.04166666566</v>
      </c>
      <c r="K421" s="44" t="b">
        <f t="shared" ca="1" si="47"/>
        <v>0</v>
      </c>
      <c r="L421" s="44">
        <f t="shared" si="49"/>
        <v>0</v>
      </c>
      <c r="M421" s="51" t="str">
        <f t="shared" ca="1" si="50"/>
        <v/>
      </c>
      <c r="N421" s="50">
        <f t="shared" si="51"/>
        <v>44761.04166666566</v>
      </c>
    </row>
    <row r="422" spans="4:14" ht="14.1" x14ac:dyDescent="0.7">
      <c r="D422" s="30" t="str">
        <f t="shared" si="46"/>
        <v/>
      </c>
      <c r="J422" s="43">
        <f t="shared" si="48"/>
        <v>44761.083333332324</v>
      </c>
      <c r="K422" s="44" t="b">
        <f t="shared" ca="1" si="47"/>
        <v>0</v>
      </c>
      <c r="L422" s="44">
        <f t="shared" si="49"/>
        <v>0</v>
      </c>
      <c r="M422" s="51" t="str">
        <f t="shared" ca="1" si="50"/>
        <v/>
      </c>
      <c r="N422" s="50">
        <f t="shared" si="51"/>
        <v>44761.083333332324</v>
      </c>
    </row>
    <row r="423" spans="4:14" ht="14.1" x14ac:dyDescent="0.7">
      <c r="D423" s="30" t="str">
        <f t="shared" si="46"/>
        <v/>
      </c>
      <c r="J423" s="43">
        <f t="shared" si="48"/>
        <v>44761.124999998989</v>
      </c>
      <c r="K423" s="44" t="b">
        <f t="shared" ca="1" si="47"/>
        <v>0</v>
      </c>
      <c r="L423" s="44">
        <f t="shared" si="49"/>
        <v>0</v>
      </c>
      <c r="M423" s="51" t="str">
        <f t="shared" ca="1" si="50"/>
        <v/>
      </c>
      <c r="N423" s="50">
        <f t="shared" si="51"/>
        <v>44761.124999998989</v>
      </c>
    </row>
    <row r="424" spans="4:14" ht="14.1" x14ac:dyDescent="0.7">
      <c r="D424" s="30" t="str">
        <f t="shared" si="46"/>
        <v/>
      </c>
      <c r="J424" s="43">
        <f t="shared" si="48"/>
        <v>44761.166666665653</v>
      </c>
      <c r="K424" s="44" t="b">
        <f t="shared" ca="1" si="47"/>
        <v>0</v>
      </c>
      <c r="L424" s="44">
        <f t="shared" si="49"/>
        <v>0</v>
      </c>
      <c r="M424" s="51" t="str">
        <f t="shared" ca="1" si="50"/>
        <v/>
      </c>
      <c r="N424" s="50">
        <f t="shared" si="51"/>
        <v>44761.166666665653</v>
      </c>
    </row>
    <row r="425" spans="4:14" ht="14.1" x14ac:dyDescent="0.7">
      <c r="D425" s="30" t="str">
        <f t="shared" si="46"/>
        <v/>
      </c>
      <c r="J425" s="43">
        <f t="shared" si="48"/>
        <v>44761.208333332317</v>
      </c>
      <c r="K425" s="44" t="b">
        <f t="shared" ca="1" si="47"/>
        <v>0</v>
      </c>
      <c r="L425" s="44">
        <f t="shared" si="49"/>
        <v>0</v>
      </c>
      <c r="M425" s="51" t="str">
        <f t="shared" ca="1" si="50"/>
        <v/>
      </c>
      <c r="N425" s="50">
        <f t="shared" si="51"/>
        <v>44761.208333332317</v>
      </c>
    </row>
    <row r="426" spans="4:14" ht="14.1" x14ac:dyDescent="0.7">
      <c r="D426" s="30" t="str">
        <f t="shared" si="46"/>
        <v/>
      </c>
      <c r="J426" s="43">
        <f t="shared" si="48"/>
        <v>44761.249999998981</v>
      </c>
      <c r="K426" s="44" t="b">
        <f t="shared" ca="1" si="47"/>
        <v>0</v>
      </c>
      <c r="L426" s="44">
        <f t="shared" si="49"/>
        <v>0</v>
      </c>
      <c r="M426" s="51" t="str">
        <f t="shared" ca="1" si="50"/>
        <v/>
      </c>
      <c r="N426" s="50">
        <f t="shared" si="51"/>
        <v>44761.249999998981</v>
      </c>
    </row>
    <row r="427" spans="4:14" ht="14.1" x14ac:dyDescent="0.7">
      <c r="D427" s="30" t="str">
        <f t="shared" si="46"/>
        <v/>
      </c>
      <c r="J427" s="43">
        <f t="shared" si="48"/>
        <v>44761.291666665646</v>
      </c>
      <c r="K427" s="44" t="b">
        <f t="shared" ca="1" si="47"/>
        <v>0</v>
      </c>
      <c r="L427" s="44">
        <f t="shared" si="49"/>
        <v>0</v>
      </c>
      <c r="M427" s="51" t="str">
        <f t="shared" ca="1" si="50"/>
        <v/>
      </c>
      <c r="N427" s="50">
        <f t="shared" si="51"/>
        <v>44761.291666665646</v>
      </c>
    </row>
    <row r="428" spans="4:14" ht="14.1" x14ac:dyDescent="0.7">
      <c r="D428" s="30" t="str">
        <f t="shared" si="46"/>
        <v/>
      </c>
      <c r="J428" s="43">
        <f t="shared" si="48"/>
        <v>44761.33333333231</v>
      </c>
      <c r="K428" s="44" t="b">
        <f t="shared" ca="1" si="47"/>
        <v>0</v>
      </c>
      <c r="L428" s="44">
        <f t="shared" si="49"/>
        <v>0</v>
      </c>
      <c r="M428" s="51" t="str">
        <f t="shared" ca="1" si="50"/>
        <v/>
      </c>
      <c r="N428" s="50">
        <f t="shared" si="51"/>
        <v>44761.33333333231</v>
      </c>
    </row>
    <row r="429" spans="4:14" ht="14.1" x14ac:dyDescent="0.7">
      <c r="D429" s="30" t="str">
        <f t="shared" si="46"/>
        <v/>
      </c>
      <c r="J429" s="43">
        <f t="shared" si="48"/>
        <v>44761.374999998974</v>
      </c>
      <c r="K429" s="44" t="b">
        <f t="shared" ca="1" si="47"/>
        <v>0</v>
      </c>
      <c r="L429" s="44">
        <f t="shared" si="49"/>
        <v>0</v>
      </c>
      <c r="M429" s="51" t="str">
        <f t="shared" ca="1" si="50"/>
        <v/>
      </c>
      <c r="N429" s="50">
        <f t="shared" si="51"/>
        <v>44761.374999998974</v>
      </c>
    </row>
    <row r="430" spans="4:14" ht="14.1" x14ac:dyDescent="0.7">
      <c r="D430" s="30" t="str">
        <f t="shared" si="46"/>
        <v/>
      </c>
      <c r="J430" s="43">
        <f t="shared" si="48"/>
        <v>44761.416666665638</v>
      </c>
      <c r="K430" s="44" t="b">
        <f t="shared" ca="1" si="47"/>
        <v>0</v>
      </c>
      <c r="L430" s="44">
        <f t="shared" si="49"/>
        <v>0</v>
      </c>
      <c r="M430" s="51" t="str">
        <f t="shared" ca="1" si="50"/>
        <v/>
      </c>
      <c r="N430" s="50">
        <f t="shared" si="51"/>
        <v>44761.416666665638</v>
      </c>
    </row>
    <row r="431" spans="4:14" ht="14.1" x14ac:dyDescent="0.7">
      <c r="D431" s="30" t="str">
        <f t="shared" si="46"/>
        <v/>
      </c>
      <c r="J431" s="43">
        <f t="shared" si="48"/>
        <v>44761.458333332303</v>
      </c>
      <c r="K431" s="44" t="b">
        <f t="shared" ca="1" si="47"/>
        <v>0</v>
      </c>
      <c r="L431" s="44">
        <f t="shared" si="49"/>
        <v>0</v>
      </c>
      <c r="M431" s="51" t="str">
        <f t="shared" ca="1" si="50"/>
        <v/>
      </c>
      <c r="N431" s="50">
        <f t="shared" si="51"/>
        <v>44761.458333332303</v>
      </c>
    </row>
    <row r="432" spans="4:14" ht="14.1" x14ac:dyDescent="0.7">
      <c r="D432" s="30" t="str">
        <f t="shared" si="46"/>
        <v/>
      </c>
      <c r="J432" s="43">
        <f t="shared" si="48"/>
        <v>44761.499999998967</v>
      </c>
      <c r="K432" s="44" t="b">
        <f t="shared" ca="1" si="47"/>
        <v>0</v>
      </c>
      <c r="L432" s="44">
        <f t="shared" si="49"/>
        <v>0</v>
      </c>
      <c r="M432" s="51" t="str">
        <f t="shared" ca="1" si="50"/>
        <v/>
      </c>
      <c r="N432" s="50">
        <f t="shared" si="51"/>
        <v>44761.499999998967</v>
      </c>
    </row>
    <row r="433" spans="4:14" ht="14.1" x14ac:dyDescent="0.7">
      <c r="D433" s="30" t="str">
        <f t="shared" si="46"/>
        <v/>
      </c>
      <c r="J433" s="43">
        <f t="shared" si="48"/>
        <v>44761.541666665631</v>
      </c>
      <c r="K433" s="44" t="b">
        <f t="shared" ca="1" si="47"/>
        <v>0</v>
      </c>
      <c r="L433" s="44">
        <f t="shared" si="49"/>
        <v>0</v>
      </c>
      <c r="M433" s="51" t="str">
        <f t="shared" ca="1" si="50"/>
        <v/>
      </c>
      <c r="N433" s="50">
        <f t="shared" si="51"/>
        <v>44761.541666665631</v>
      </c>
    </row>
    <row r="434" spans="4:14" ht="14.1" x14ac:dyDescent="0.7">
      <c r="D434" s="30" t="str">
        <f t="shared" si="46"/>
        <v/>
      </c>
      <c r="J434" s="43">
        <f t="shared" si="48"/>
        <v>44761.583333332295</v>
      </c>
      <c r="K434" s="44" t="b">
        <f t="shared" ca="1" si="47"/>
        <v>0</v>
      </c>
      <c r="L434" s="44">
        <f t="shared" si="49"/>
        <v>0</v>
      </c>
      <c r="M434" s="51" t="str">
        <f t="shared" ca="1" si="50"/>
        <v/>
      </c>
      <c r="N434" s="50">
        <f t="shared" si="51"/>
        <v>44761.583333332295</v>
      </c>
    </row>
    <row r="435" spans="4:14" ht="14.1" x14ac:dyDescent="0.7">
      <c r="D435" s="30" t="str">
        <f t="shared" si="46"/>
        <v/>
      </c>
      <c r="J435" s="43">
        <f t="shared" si="48"/>
        <v>44761.62499999896</v>
      </c>
      <c r="K435" s="44" t="b">
        <f t="shared" ca="1" si="47"/>
        <v>0</v>
      </c>
      <c r="L435" s="44">
        <f t="shared" si="49"/>
        <v>0</v>
      </c>
      <c r="M435" s="51" t="str">
        <f t="shared" ca="1" si="50"/>
        <v/>
      </c>
      <c r="N435" s="50">
        <f t="shared" si="51"/>
        <v>44761.62499999896</v>
      </c>
    </row>
    <row r="436" spans="4:14" ht="14.1" x14ac:dyDescent="0.7">
      <c r="D436" s="30" t="str">
        <f t="shared" si="46"/>
        <v/>
      </c>
      <c r="J436" s="43">
        <f t="shared" si="48"/>
        <v>44761.666666665624</v>
      </c>
      <c r="K436" s="44" t="b">
        <f t="shared" ca="1" si="47"/>
        <v>0</v>
      </c>
      <c r="L436" s="44">
        <f t="shared" si="49"/>
        <v>0</v>
      </c>
      <c r="M436" s="51" t="str">
        <f t="shared" ca="1" si="50"/>
        <v/>
      </c>
      <c r="N436" s="50">
        <f t="shared" si="51"/>
        <v>44761.666666665624</v>
      </c>
    </row>
    <row r="437" spans="4:14" ht="14.1" x14ac:dyDescent="0.7">
      <c r="D437" s="30" t="str">
        <f t="shared" si="46"/>
        <v/>
      </c>
      <c r="J437" s="43">
        <f t="shared" si="48"/>
        <v>44761.708333332288</v>
      </c>
      <c r="K437" s="44" t="b">
        <f t="shared" ca="1" si="47"/>
        <v>0</v>
      </c>
      <c r="L437" s="44">
        <f t="shared" si="49"/>
        <v>0</v>
      </c>
      <c r="M437" s="51" t="str">
        <f t="shared" ca="1" si="50"/>
        <v/>
      </c>
      <c r="N437" s="50">
        <f t="shared" si="51"/>
        <v>44761.708333332288</v>
      </c>
    </row>
    <row r="438" spans="4:14" ht="14.1" x14ac:dyDescent="0.7">
      <c r="D438" s="30" t="str">
        <f t="shared" si="46"/>
        <v/>
      </c>
      <c r="J438" s="43">
        <f t="shared" si="48"/>
        <v>44761.749999998952</v>
      </c>
      <c r="K438" s="44" t="b">
        <f t="shared" ca="1" si="47"/>
        <v>0</v>
      </c>
      <c r="L438" s="44">
        <f t="shared" si="49"/>
        <v>0</v>
      </c>
      <c r="M438" s="51" t="str">
        <f t="shared" ca="1" si="50"/>
        <v/>
      </c>
      <c r="N438" s="50">
        <f t="shared" si="51"/>
        <v>44761.749999998952</v>
      </c>
    </row>
    <row r="439" spans="4:14" ht="14.1" x14ac:dyDescent="0.7">
      <c r="D439" s="30" t="str">
        <f t="shared" si="46"/>
        <v/>
      </c>
      <c r="J439" s="43">
        <f t="shared" si="48"/>
        <v>44761.791666665617</v>
      </c>
      <c r="K439" s="44" t="b">
        <f t="shared" ca="1" si="47"/>
        <v>0</v>
      </c>
      <c r="L439" s="44">
        <f t="shared" si="49"/>
        <v>0</v>
      </c>
      <c r="M439" s="51" t="str">
        <f t="shared" ca="1" si="50"/>
        <v/>
      </c>
      <c r="N439" s="50">
        <f t="shared" si="51"/>
        <v>44761.791666665617</v>
      </c>
    </row>
    <row r="440" spans="4:14" ht="14.1" x14ac:dyDescent="0.7">
      <c r="D440" s="30" t="str">
        <f t="shared" si="46"/>
        <v/>
      </c>
      <c r="J440" s="43">
        <f t="shared" si="48"/>
        <v>44761.833333332281</v>
      </c>
      <c r="K440" s="44" t="b">
        <f t="shared" ca="1" si="47"/>
        <v>0</v>
      </c>
      <c r="L440" s="44">
        <f t="shared" si="49"/>
        <v>0</v>
      </c>
      <c r="M440" s="51" t="str">
        <f t="shared" ca="1" si="50"/>
        <v/>
      </c>
      <c r="N440" s="50">
        <f t="shared" si="51"/>
        <v>44761.833333332281</v>
      </c>
    </row>
    <row r="441" spans="4:14" ht="14.1" x14ac:dyDescent="0.7">
      <c r="D441" s="30" t="str">
        <f t="shared" si="46"/>
        <v/>
      </c>
      <c r="J441" s="43">
        <f t="shared" si="48"/>
        <v>44761.874999998945</v>
      </c>
      <c r="K441" s="44" t="b">
        <f t="shared" ca="1" si="47"/>
        <v>0</v>
      </c>
      <c r="L441" s="44">
        <f t="shared" si="49"/>
        <v>0</v>
      </c>
      <c r="M441" s="51" t="str">
        <f t="shared" ca="1" si="50"/>
        <v/>
      </c>
      <c r="N441" s="50">
        <f t="shared" si="51"/>
        <v>44761.874999998945</v>
      </c>
    </row>
    <row r="442" spans="4:14" ht="14.1" x14ac:dyDescent="0.7">
      <c r="D442" s="30" t="str">
        <f t="shared" si="46"/>
        <v/>
      </c>
      <c r="J442" s="43">
        <f t="shared" si="48"/>
        <v>44761.916666665609</v>
      </c>
      <c r="K442" s="44" t="b">
        <f t="shared" ca="1" si="47"/>
        <v>0</v>
      </c>
      <c r="L442" s="44">
        <f t="shared" si="49"/>
        <v>0</v>
      </c>
      <c r="M442" s="51" t="str">
        <f t="shared" ca="1" si="50"/>
        <v/>
      </c>
      <c r="N442" s="50">
        <f t="shared" si="51"/>
        <v>44761.916666665609</v>
      </c>
    </row>
    <row r="443" spans="4:14" ht="14.1" x14ac:dyDescent="0.7">
      <c r="D443" s="30" t="str">
        <f t="shared" si="46"/>
        <v/>
      </c>
      <c r="J443" s="43">
        <f t="shared" si="48"/>
        <v>44761.958333332273</v>
      </c>
      <c r="K443" s="44" t="b">
        <f t="shared" ca="1" si="47"/>
        <v>0</v>
      </c>
      <c r="L443" s="44">
        <f t="shared" si="49"/>
        <v>0</v>
      </c>
      <c r="M443" s="51" t="str">
        <f t="shared" ca="1" si="50"/>
        <v/>
      </c>
      <c r="N443" s="50">
        <f t="shared" si="51"/>
        <v>44761.958333332273</v>
      </c>
    </row>
    <row r="444" spans="4:14" ht="14.1" x14ac:dyDescent="0.7">
      <c r="D444" s="30" t="str">
        <f t="shared" si="46"/>
        <v/>
      </c>
      <c r="J444" s="43">
        <f t="shared" si="48"/>
        <v>44761.999999998938</v>
      </c>
      <c r="K444" s="44" t="b">
        <f t="shared" ca="1" si="47"/>
        <v>0</v>
      </c>
      <c r="L444" s="44">
        <f t="shared" si="49"/>
        <v>0</v>
      </c>
      <c r="M444" s="51" t="str">
        <f t="shared" ca="1" si="50"/>
        <v/>
      </c>
      <c r="N444" s="50">
        <f t="shared" si="51"/>
        <v>44761.999999998938</v>
      </c>
    </row>
    <row r="445" spans="4:14" ht="14.1" x14ac:dyDescent="0.7">
      <c r="D445" s="30" t="str">
        <f t="shared" si="46"/>
        <v/>
      </c>
      <c r="J445" s="43">
        <f t="shared" si="48"/>
        <v>44762.041666665602</v>
      </c>
      <c r="K445" s="44" t="b">
        <f t="shared" ca="1" si="47"/>
        <v>0</v>
      </c>
      <c r="L445" s="44">
        <f t="shared" si="49"/>
        <v>0</v>
      </c>
      <c r="M445" s="51" t="str">
        <f t="shared" ca="1" si="50"/>
        <v/>
      </c>
      <c r="N445" s="50">
        <f t="shared" si="51"/>
        <v>44762.041666665602</v>
      </c>
    </row>
    <row r="446" spans="4:14" ht="14.1" x14ac:dyDescent="0.7">
      <c r="D446" s="30" t="str">
        <f t="shared" si="46"/>
        <v/>
      </c>
      <c r="J446" s="43">
        <f t="shared" si="48"/>
        <v>44762.083333332266</v>
      </c>
      <c r="K446" s="44" t="b">
        <f t="shared" ca="1" si="47"/>
        <v>0</v>
      </c>
      <c r="L446" s="44">
        <f t="shared" si="49"/>
        <v>0</v>
      </c>
      <c r="M446" s="51" t="str">
        <f t="shared" ca="1" si="50"/>
        <v/>
      </c>
      <c r="N446" s="50">
        <f t="shared" si="51"/>
        <v>44762.083333332266</v>
      </c>
    </row>
    <row r="447" spans="4:14" ht="14.1" x14ac:dyDescent="0.7">
      <c r="D447" s="30" t="str">
        <f t="shared" si="46"/>
        <v/>
      </c>
      <c r="J447" s="43">
        <f t="shared" si="48"/>
        <v>44762.12499999893</v>
      </c>
      <c r="K447" s="44" t="b">
        <f t="shared" ca="1" si="47"/>
        <v>0</v>
      </c>
      <c r="L447" s="44">
        <f t="shared" si="49"/>
        <v>0</v>
      </c>
      <c r="M447" s="51" t="str">
        <f t="shared" ca="1" si="50"/>
        <v/>
      </c>
      <c r="N447" s="50">
        <f t="shared" si="51"/>
        <v>44762.12499999893</v>
      </c>
    </row>
    <row r="448" spans="4:14" ht="14.1" x14ac:dyDescent="0.7">
      <c r="D448" s="30" t="str">
        <f t="shared" si="46"/>
        <v/>
      </c>
      <c r="J448" s="43">
        <f t="shared" si="48"/>
        <v>44762.166666665595</v>
      </c>
      <c r="K448" s="44" t="b">
        <f t="shared" ca="1" si="47"/>
        <v>0</v>
      </c>
      <c r="L448" s="44">
        <f t="shared" si="49"/>
        <v>0</v>
      </c>
      <c r="M448" s="51" t="str">
        <f t="shared" ca="1" si="50"/>
        <v/>
      </c>
      <c r="N448" s="50">
        <f t="shared" si="51"/>
        <v>44762.166666665595</v>
      </c>
    </row>
    <row r="449" spans="4:14" ht="14.1" x14ac:dyDescent="0.7">
      <c r="D449" s="30" t="str">
        <f t="shared" si="46"/>
        <v/>
      </c>
      <c r="J449" s="43">
        <f t="shared" si="48"/>
        <v>44762.208333332259</v>
      </c>
      <c r="K449" s="44" t="b">
        <f t="shared" ca="1" si="47"/>
        <v>0</v>
      </c>
      <c r="L449" s="44">
        <f t="shared" si="49"/>
        <v>0</v>
      </c>
      <c r="M449" s="51" t="str">
        <f t="shared" ca="1" si="50"/>
        <v/>
      </c>
      <c r="N449" s="50">
        <f t="shared" si="51"/>
        <v>44762.208333332259</v>
      </c>
    </row>
    <row r="450" spans="4:14" ht="14.1" x14ac:dyDescent="0.7">
      <c r="D450" s="30" t="str">
        <f t="shared" si="46"/>
        <v/>
      </c>
      <c r="J450" s="43">
        <f t="shared" si="48"/>
        <v>44762.249999998923</v>
      </c>
      <c r="K450" s="44" t="b">
        <f t="shared" ca="1" si="47"/>
        <v>0</v>
      </c>
      <c r="L450" s="44">
        <f t="shared" si="49"/>
        <v>0</v>
      </c>
      <c r="M450" s="51" t="str">
        <f t="shared" ca="1" si="50"/>
        <v/>
      </c>
      <c r="N450" s="50">
        <f t="shared" si="51"/>
        <v>44762.249999998923</v>
      </c>
    </row>
    <row r="451" spans="4:14" ht="14.1" x14ac:dyDescent="0.7">
      <c r="D451" s="30" t="str">
        <f t="shared" si="46"/>
        <v/>
      </c>
      <c r="J451" s="43">
        <f t="shared" si="48"/>
        <v>44762.291666665587</v>
      </c>
      <c r="K451" s="44" t="b">
        <f t="shared" ca="1" si="47"/>
        <v>0</v>
      </c>
      <c r="L451" s="44">
        <f t="shared" si="49"/>
        <v>0</v>
      </c>
      <c r="M451" s="51" t="str">
        <f t="shared" ca="1" si="50"/>
        <v/>
      </c>
      <c r="N451" s="50">
        <f t="shared" si="51"/>
        <v>44762.291666665587</v>
      </c>
    </row>
    <row r="452" spans="4:14" ht="14.1" x14ac:dyDescent="0.7">
      <c r="D452" s="30" t="str">
        <f t="shared" si="46"/>
        <v/>
      </c>
      <c r="J452" s="43">
        <f t="shared" si="48"/>
        <v>44762.333333332252</v>
      </c>
      <c r="K452" s="44" t="b">
        <f t="shared" ca="1" si="47"/>
        <v>0</v>
      </c>
      <c r="L452" s="44">
        <f t="shared" si="49"/>
        <v>0</v>
      </c>
      <c r="M452" s="51" t="str">
        <f t="shared" ca="1" si="50"/>
        <v/>
      </c>
      <c r="N452" s="50">
        <f t="shared" si="51"/>
        <v>44762.333333332252</v>
      </c>
    </row>
    <row r="453" spans="4:14" ht="14.1" x14ac:dyDescent="0.7">
      <c r="D453" s="30" t="str">
        <f t="shared" si="46"/>
        <v/>
      </c>
      <c r="J453" s="43">
        <f t="shared" si="48"/>
        <v>44762.374999998916</v>
      </c>
      <c r="K453" s="44" t="b">
        <f t="shared" ca="1" si="47"/>
        <v>0</v>
      </c>
      <c r="L453" s="44">
        <f t="shared" si="49"/>
        <v>0</v>
      </c>
      <c r="M453" s="51" t="str">
        <f t="shared" ca="1" si="50"/>
        <v/>
      </c>
      <c r="N453" s="50">
        <f t="shared" si="51"/>
        <v>44762.374999998916</v>
      </c>
    </row>
    <row r="454" spans="4:14" ht="14.1" x14ac:dyDescent="0.7">
      <c r="D454" s="30" t="str">
        <f t="shared" si="46"/>
        <v/>
      </c>
      <c r="J454" s="43">
        <f t="shared" si="48"/>
        <v>44762.41666666558</v>
      </c>
      <c r="K454" s="44" t="b">
        <f t="shared" ca="1" si="47"/>
        <v>0</v>
      </c>
      <c r="L454" s="44">
        <f t="shared" si="49"/>
        <v>0</v>
      </c>
      <c r="M454" s="51" t="str">
        <f t="shared" ca="1" si="50"/>
        <v/>
      </c>
      <c r="N454" s="50">
        <f t="shared" si="51"/>
        <v>44762.41666666558</v>
      </c>
    </row>
    <row r="455" spans="4:14" ht="14.1" x14ac:dyDescent="0.7">
      <c r="D455" s="30" t="str">
        <f t="shared" ref="D455:D500" si="52">IFERROR(DATE(LEFT(B455,4),MID(B455,5,2),MID(B455,7,2))+TIME(MID(B455,9,2),MID(B455,11,2),MID(B455,13,2)),"")</f>
        <v/>
      </c>
      <c r="J455" s="43">
        <f t="shared" si="48"/>
        <v>44762.458333332244</v>
      </c>
      <c r="K455" s="44" t="b">
        <f t="shared" ref="K455:K500" ca="1" si="53">J$1&gt;=J455+TIME(1,0,0)</f>
        <v>0</v>
      </c>
      <c r="L455" s="44">
        <f t="shared" si="49"/>
        <v>0</v>
      </c>
      <c r="M455" s="51" t="str">
        <f t="shared" ca="1" si="50"/>
        <v/>
      </c>
      <c r="N455" s="50">
        <f t="shared" si="51"/>
        <v>44762.458333332244</v>
      </c>
    </row>
    <row r="456" spans="4:14" ht="14.1" x14ac:dyDescent="0.7">
      <c r="D456" s="30" t="str">
        <f t="shared" si="52"/>
        <v/>
      </c>
      <c r="J456" s="43">
        <f t="shared" ref="J456:J500" si="54">J455+TIME(1,0,0)</f>
        <v>44762.499999998909</v>
      </c>
      <c r="K456" s="44" t="b">
        <f t="shared" ca="1" si="53"/>
        <v>0</v>
      </c>
      <c r="L456" s="44">
        <f t="shared" si="49"/>
        <v>0</v>
      </c>
      <c r="M456" s="51" t="str">
        <f t="shared" ca="1" si="50"/>
        <v/>
      </c>
      <c r="N456" s="50">
        <f t="shared" si="51"/>
        <v>44762.499999998909</v>
      </c>
    </row>
    <row r="457" spans="4:14" ht="14.1" x14ac:dyDescent="0.7">
      <c r="D457" s="30" t="str">
        <f t="shared" si="52"/>
        <v/>
      </c>
      <c r="J457" s="43">
        <f t="shared" si="54"/>
        <v>44762.541666665573</v>
      </c>
      <c r="K457" s="44" t="b">
        <f t="shared" ca="1" si="53"/>
        <v>0</v>
      </c>
      <c r="L457" s="44">
        <f t="shared" si="49"/>
        <v>0</v>
      </c>
      <c r="M457" s="51" t="str">
        <f t="shared" ca="1" si="50"/>
        <v/>
      </c>
      <c r="N457" s="50">
        <f t="shared" si="51"/>
        <v>44762.541666665573</v>
      </c>
    </row>
    <row r="458" spans="4:14" ht="14.1" x14ac:dyDescent="0.7">
      <c r="D458" s="30" t="str">
        <f t="shared" si="52"/>
        <v/>
      </c>
      <c r="J458" s="43">
        <f t="shared" si="54"/>
        <v>44762.583333332237</v>
      </c>
      <c r="K458" s="44" t="b">
        <f t="shared" ca="1" si="53"/>
        <v>0</v>
      </c>
      <c r="L458" s="44">
        <f t="shared" si="49"/>
        <v>0</v>
      </c>
      <c r="M458" s="51" t="str">
        <f t="shared" ca="1" si="50"/>
        <v/>
      </c>
      <c r="N458" s="50">
        <f t="shared" si="51"/>
        <v>44762.583333332237</v>
      </c>
    </row>
    <row r="459" spans="4:14" ht="14.1" x14ac:dyDescent="0.7">
      <c r="D459" s="30" t="str">
        <f t="shared" si="52"/>
        <v/>
      </c>
      <c r="J459" s="43">
        <f t="shared" si="54"/>
        <v>44762.624999998901</v>
      </c>
      <c r="K459" s="44" t="b">
        <f t="shared" ca="1" si="53"/>
        <v>0</v>
      </c>
      <c r="L459" s="44">
        <f t="shared" si="49"/>
        <v>0</v>
      </c>
      <c r="M459" s="51" t="str">
        <f t="shared" ca="1" si="50"/>
        <v/>
      </c>
      <c r="N459" s="50">
        <f t="shared" si="51"/>
        <v>44762.624999998901</v>
      </c>
    </row>
    <row r="460" spans="4:14" ht="14.1" x14ac:dyDescent="0.7">
      <c r="D460" s="30" t="str">
        <f t="shared" si="52"/>
        <v/>
      </c>
      <c r="J460" s="43">
        <f t="shared" si="54"/>
        <v>44762.666666665566</v>
      </c>
      <c r="K460" s="44" t="b">
        <f t="shared" ca="1" si="53"/>
        <v>0</v>
      </c>
      <c r="L460" s="44">
        <f t="shared" si="49"/>
        <v>0</v>
      </c>
      <c r="M460" s="51" t="str">
        <f t="shared" ca="1" si="50"/>
        <v/>
      </c>
      <c r="N460" s="50">
        <f t="shared" si="51"/>
        <v>44762.666666665566</v>
      </c>
    </row>
    <row r="461" spans="4:14" ht="14.1" x14ac:dyDescent="0.7">
      <c r="D461" s="30" t="str">
        <f t="shared" si="52"/>
        <v/>
      </c>
      <c r="J461" s="43">
        <f t="shared" si="54"/>
        <v>44762.70833333223</v>
      </c>
      <c r="K461" s="44" t="b">
        <f t="shared" ca="1" si="53"/>
        <v>0</v>
      </c>
      <c r="L461" s="44">
        <f t="shared" si="49"/>
        <v>0</v>
      </c>
      <c r="M461" s="51" t="str">
        <f t="shared" ca="1" si="50"/>
        <v/>
      </c>
      <c r="N461" s="50">
        <f t="shared" si="51"/>
        <v>44762.70833333223</v>
      </c>
    </row>
    <row r="462" spans="4:14" ht="14.1" x14ac:dyDescent="0.7">
      <c r="D462" s="30" t="str">
        <f t="shared" si="52"/>
        <v/>
      </c>
      <c r="J462" s="43">
        <f t="shared" si="54"/>
        <v>44762.749999998894</v>
      </c>
      <c r="K462" s="44" t="b">
        <f t="shared" ca="1" si="53"/>
        <v>0</v>
      </c>
      <c r="L462" s="44">
        <f t="shared" si="49"/>
        <v>0</v>
      </c>
      <c r="M462" s="51" t="str">
        <f t="shared" ca="1" si="50"/>
        <v/>
      </c>
      <c r="N462" s="50">
        <f t="shared" si="51"/>
        <v>44762.749999998894</v>
      </c>
    </row>
    <row r="463" spans="4:14" ht="14.1" x14ac:dyDescent="0.7">
      <c r="D463" s="30" t="str">
        <f t="shared" si="52"/>
        <v/>
      </c>
      <c r="J463" s="43">
        <f t="shared" si="54"/>
        <v>44762.791666665558</v>
      </c>
      <c r="K463" s="44" t="b">
        <f t="shared" ca="1" si="53"/>
        <v>0</v>
      </c>
      <c r="L463" s="44">
        <f t="shared" si="49"/>
        <v>0</v>
      </c>
      <c r="M463" s="51" t="str">
        <f t="shared" ca="1" si="50"/>
        <v/>
      </c>
      <c r="N463" s="50">
        <f t="shared" si="51"/>
        <v>44762.791666665558</v>
      </c>
    </row>
    <row r="464" spans="4:14" ht="14.1" x14ac:dyDescent="0.7">
      <c r="D464" s="30" t="str">
        <f t="shared" si="52"/>
        <v/>
      </c>
      <c r="J464" s="43">
        <f t="shared" si="54"/>
        <v>44762.833333332223</v>
      </c>
      <c r="K464" s="44" t="b">
        <f t="shared" ca="1" si="53"/>
        <v>0</v>
      </c>
      <c r="L464" s="44">
        <f t="shared" si="49"/>
        <v>0</v>
      </c>
      <c r="M464" s="51" t="str">
        <f t="shared" ca="1" si="50"/>
        <v/>
      </c>
      <c r="N464" s="50">
        <f t="shared" si="51"/>
        <v>44762.833333332223</v>
      </c>
    </row>
    <row r="465" spans="4:14" ht="14.1" x14ac:dyDescent="0.7">
      <c r="D465" s="30" t="str">
        <f t="shared" si="52"/>
        <v/>
      </c>
      <c r="J465" s="43">
        <f t="shared" si="54"/>
        <v>44762.874999998887</v>
      </c>
      <c r="K465" s="44" t="b">
        <f t="shared" ca="1" si="53"/>
        <v>0</v>
      </c>
      <c r="L465" s="44">
        <f t="shared" si="49"/>
        <v>0</v>
      </c>
      <c r="M465" s="51" t="str">
        <f t="shared" ca="1" si="50"/>
        <v/>
      </c>
      <c r="N465" s="50">
        <f t="shared" si="51"/>
        <v>44762.874999998887</v>
      </c>
    </row>
    <row r="466" spans="4:14" ht="14.1" x14ac:dyDescent="0.7">
      <c r="D466" s="30" t="str">
        <f t="shared" si="52"/>
        <v/>
      </c>
      <c r="J466" s="43">
        <f t="shared" si="54"/>
        <v>44762.916666665551</v>
      </c>
      <c r="K466" s="44" t="b">
        <f t="shared" ca="1" si="53"/>
        <v>0</v>
      </c>
      <c r="L466" s="44">
        <f t="shared" si="49"/>
        <v>0</v>
      </c>
      <c r="M466" s="51" t="str">
        <f t="shared" ca="1" si="50"/>
        <v/>
      </c>
      <c r="N466" s="50">
        <f t="shared" si="51"/>
        <v>44762.916666665551</v>
      </c>
    </row>
    <row r="467" spans="4:14" ht="14.1" x14ac:dyDescent="0.7">
      <c r="D467" s="30" t="str">
        <f t="shared" si="52"/>
        <v/>
      </c>
      <c r="J467" s="43">
        <f t="shared" si="54"/>
        <v>44762.958333332215</v>
      </c>
      <c r="K467" s="44" t="b">
        <f t="shared" ca="1" si="53"/>
        <v>0</v>
      </c>
      <c r="L467" s="44">
        <f t="shared" si="49"/>
        <v>0</v>
      </c>
      <c r="M467" s="51" t="str">
        <f t="shared" ca="1" si="50"/>
        <v/>
      </c>
      <c r="N467" s="50">
        <f t="shared" si="51"/>
        <v>44762.958333332215</v>
      </c>
    </row>
    <row r="468" spans="4:14" ht="14.1" x14ac:dyDescent="0.7">
      <c r="D468" s="30" t="str">
        <f t="shared" si="52"/>
        <v/>
      </c>
      <c r="J468" s="43">
        <f t="shared" si="54"/>
        <v>44762.99999999888</v>
      </c>
      <c r="K468" s="44" t="b">
        <f t="shared" ca="1" si="53"/>
        <v>0</v>
      </c>
      <c r="L468" s="44">
        <f t="shared" si="49"/>
        <v>0</v>
      </c>
      <c r="M468" s="51" t="str">
        <f t="shared" ca="1" si="50"/>
        <v/>
      </c>
      <c r="N468" s="50">
        <f t="shared" si="51"/>
        <v>44762.99999999888</v>
      </c>
    </row>
    <row r="469" spans="4:14" ht="14.1" x14ac:dyDescent="0.7">
      <c r="D469" s="30" t="str">
        <f t="shared" si="52"/>
        <v/>
      </c>
      <c r="J469" s="43">
        <f t="shared" si="54"/>
        <v>44763.041666665544</v>
      </c>
      <c r="K469" s="44" t="b">
        <f t="shared" ca="1" si="53"/>
        <v>0</v>
      </c>
      <c r="L469" s="44">
        <f t="shared" si="49"/>
        <v>0</v>
      </c>
      <c r="M469" s="51" t="str">
        <f t="shared" ca="1" si="50"/>
        <v/>
      </c>
      <c r="N469" s="50">
        <f t="shared" si="51"/>
        <v>44763.041666665544</v>
      </c>
    </row>
    <row r="470" spans="4:14" ht="14.1" x14ac:dyDescent="0.7">
      <c r="D470" s="30" t="str">
        <f t="shared" si="52"/>
        <v/>
      </c>
      <c r="J470" s="43">
        <f t="shared" si="54"/>
        <v>44763.083333332208</v>
      </c>
      <c r="K470" s="44" t="b">
        <f t="shared" ca="1" si="53"/>
        <v>0</v>
      </c>
      <c r="L470" s="44">
        <f t="shared" si="49"/>
        <v>0</v>
      </c>
      <c r="M470" s="51" t="str">
        <f t="shared" ca="1" si="50"/>
        <v/>
      </c>
      <c r="N470" s="50">
        <f t="shared" si="51"/>
        <v>44763.083333332208</v>
      </c>
    </row>
    <row r="471" spans="4:14" ht="14.1" x14ac:dyDescent="0.7">
      <c r="D471" s="30" t="str">
        <f t="shared" si="52"/>
        <v/>
      </c>
      <c r="J471" s="43">
        <f t="shared" si="54"/>
        <v>44763.124999998872</v>
      </c>
      <c r="K471" s="44" t="b">
        <f t="shared" ca="1" si="53"/>
        <v>0</v>
      </c>
      <c r="L471" s="44">
        <f t="shared" si="49"/>
        <v>0</v>
      </c>
      <c r="M471" s="51" t="str">
        <f t="shared" ca="1" si="50"/>
        <v/>
      </c>
      <c r="N471" s="50">
        <f t="shared" si="51"/>
        <v>44763.124999998872</v>
      </c>
    </row>
    <row r="472" spans="4:14" ht="14.1" x14ac:dyDescent="0.7">
      <c r="D472" s="30" t="str">
        <f t="shared" si="52"/>
        <v/>
      </c>
      <c r="J472" s="43">
        <f t="shared" si="54"/>
        <v>44763.166666665536</v>
      </c>
      <c r="K472" s="44" t="b">
        <f t="shared" ca="1" si="53"/>
        <v>0</v>
      </c>
      <c r="L472" s="44">
        <f t="shared" si="49"/>
        <v>0</v>
      </c>
      <c r="M472" s="51" t="str">
        <f t="shared" ca="1" si="50"/>
        <v/>
      </c>
      <c r="N472" s="50">
        <f t="shared" si="51"/>
        <v>44763.166666665536</v>
      </c>
    </row>
    <row r="473" spans="4:14" ht="14.1" x14ac:dyDescent="0.7">
      <c r="D473" s="30" t="str">
        <f t="shared" si="52"/>
        <v/>
      </c>
      <c r="J473" s="43">
        <f t="shared" si="54"/>
        <v>44763.208333332201</v>
      </c>
      <c r="K473" s="44" t="b">
        <f t="shared" ca="1" si="53"/>
        <v>0</v>
      </c>
      <c r="L473" s="44">
        <f t="shared" si="49"/>
        <v>0</v>
      </c>
      <c r="M473" s="51" t="str">
        <f t="shared" ca="1" si="50"/>
        <v/>
      </c>
      <c r="N473" s="50">
        <f t="shared" si="51"/>
        <v>44763.208333332201</v>
      </c>
    </row>
    <row r="474" spans="4:14" ht="14.1" x14ac:dyDescent="0.7">
      <c r="D474" s="30" t="str">
        <f t="shared" si="52"/>
        <v/>
      </c>
      <c r="J474" s="43">
        <f t="shared" si="54"/>
        <v>44763.249999998865</v>
      </c>
      <c r="K474" s="44" t="b">
        <f t="shared" ca="1" si="53"/>
        <v>0</v>
      </c>
      <c r="L474" s="44">
        <f t="shared" si="49"/>
        <v>0</v>
      </c>
      <c r="M474" s="51" t="str">
        <f t="shared" ca="1" si="50"/>
        <v/>
      </c>
      <c r="N474" s="50">
        <f t="shared" si="51"/>
        <v>44763.249999998865</v>
      </c>
    </row>
    <row r="475" spans="4:14" ht="14.1" x14ac:dyDescent="0.7">
      <c r="D475" s="30" t="str">
        <f t="shared" si="52"/>
        <v/>
      </c>
      <c r="J475" s="43">
        <f t="shared" si="54"/>
        <v>44763.291666665529</v>
      </c>
      <c r="K475" s="44" t="b">
        <f t="shared" ca="1" si="53"/>
        <v>0</v>
      </c>
      <c r="L475" s="44">
        <f t="shared" si="49"/>
        <v>0</v>
      </c>
      <c r="M475" s="51" t="str">
        <f t="shared" ca="1" si="50"/>
        <v/>
      </c>
      <c r="N475" s="50">
        <f t="shared" si="51"/>
        <v>44763.291666665529</v>
      </c>
    </row>
    <row r="476" spans="4:14" ht="14.1" x14ac:dyDescent="0.7">
      <c r="D476" s="30" t="str">
        <f t="shared" si="52"/>
        <v/>
      </c>
      <c r="J476" s="43">
        <f t="shared" si="54"/>
        <v>44763.333333332193</v>
      </c>
      <c r="K476" s="44" t="b">
        <f t="shared" ca="1" si="53"/>
        <v>0</v>
      </c>
      <c r="L476" s="44">
        <f t="shared" si="49"/>
        <v>0</v>
      </c>
      <c r="M476" s="51" t="str">
        <f t="shared" ca="1" si="50"/>
        <v/>
      </c>
      <c r="N476" s="50">
        <f t="shared" si="51"/>
        <v>44763.333333332193</v>
      </c>
    </row>
    <row r="477" spans="4:14" ht="14.1" x14ac:dyDescent="0.7">
      <c r="D477" s="30" t="str">
        <f t="shared" si="52"/>
        <v/>
      </c>
      <c r="J477" s="43">
        <f t="shared" si="54"/>
        <v>44763.374999998858</v>
      </c>
      <c r="K477" s="44" t="b">
        <f t="shared" ca="1" si="53"/>
        <v>0</v>
      </c>
      <c r="L477" s="44">
        <f t="shared" si="49"/>
        <v>0</v>
      </c>
      <c r="M477" s="51" t="str">
        <f t="shared" ca="1" si="50"/>
        <v/>
      </c>
      <c r="N477" s="50">
        <f t="shared" si="51"/>
        <v>44763.374999998858</v>
      </c>
    </row>
    <row r="478" spans="4:14" ht="14.1" x14ac:dyDescent="0.7">
      <c r="D478" s="30" t="str">
        <f t="shared" si="52"/>
        <v/>
      </c>
      <c r="J478" s="43">
        <f t="shared" si="54"/>
        <v>44763.416666665522</v>
      </c>
      <c r="K478" s="44" t="b">
        <f t="shared" ca="1" si="53"/>
        <v>0</v>
      </c>
      <c r="L478" s="44">
        <f t="shared" si="49"/>
        <v>0</v>
      </c>
      <c r="M478" s="51" t="str">
        <f t="shared" ca="1" si="50"/>
        <v/>
      </c>
      <c r="N478" s="50">
        <f t="shared" si="51"/>
        <v>44763.416666665522</v>
      </c>
    </row>
    <row r="479" spans="4:14" ht="14.1" x14ac:dyDescent="0.7">
      <c r="D479" s="30" t="str">
        <f t="shared" si="52"/>
        <v/>
      </c>
      <c r="J479" s="43">
        <f t="shared" si="54"/>
        <v>44763.458333332186</v>
      </c>
      <c r="K479" s="44" t="b">
        <f t="shared" ca="1" si="53"/>
        <v>0</v>
      </c>
      <c r="L479" s="44">
        <f t="shared" si="49"/>
        <v>0</v>
      </c>
      <c r="M479" s="51" t="str">
        <f t="shared" ca="1" si="50"/>
        <v/>
      </c>
      <c r="N479" s="50">
        <f t="shared" si="51"/>
        <v>44763.458333332186</v>
      </c>
    </row>
    <row r="480" spans="4:14" ht="14.1" x14ac:dyDescent="0.7">
      <c r="D480" s="30" t="str">
        <f t="shared" si="52"/>
        <v/>
      </c>
      <c r="J480" s="43">
        <f t="shared" si="54"/>
        <v>44763.49999999885</v>
      </c>
      <c r="K480" s="44" t="b">
        <f t="shared" ca="1" si="53"/>
        <v>0</v>
      </c>
      <c r="L480" s="44">
        <f t="shared" si="49"/>
        <v>0</v>
      </c>
      <c r="M480" s="51" t="str">
        <f t="shared" ca="1" si="50"/>
        <v/>
      </c>
      <c r="N480" s="50">
        <f t="shared" si="51"/>
        <v>44763.49999999885</v>
      </c>
    </row>
    <row r="481" spans="4:14" ht="14.1" x14ac:dyDescent="0.7">
      <c r="D481" s="30" t="str">
        <f t="shared" si="52"/>
        <v/>
      </c>
      <c r="J481" s="43">
        <f t="shared" si="54"/>
        <v>44763.541666665515</v>
      </c>
      <c r="K481" s="44" t="b">
        <f t="shared" ca="1" si="53"/>
        <v>0</v>
      </c>
      <c r="L481" s="44">
        <f t="shared" ref="L481:L500" si="55">COUNTIFS($D$6:$D$251,"&gt;="&amp;J481,$D$6:$D$251,"&lt;"&amp;J482)</f>
        <v>0</v>
      </c>
      <c r="M481" s="51" t="str">
        <f t="shared" ref="M481:M500" ca="1" si="56">IF(K481,L481/60,"")</f>
        <v/>
      </c>
      <c r="N481" s="50">
        <f t="shared" ref="N481:N500" si="57">J481</f>
        <v>44763.541666665515</v>
      </c>
    </row>
    <row r="482" spans="4:14" ht="14.1" x14ac:dyDescent="0.7">
      <c r="D482" s="30" t="str">
        <f t="shared" si="52"/>
        <v/>
      </c>
      <c r="J482" s="43">
        <f t="shared" si="54"/>
        <v>44763.583333332179</v>
      </c>
      <c r="K482" s="44" t="b">
        <f t="shared" ca="1" si="53"/>
        <v>0</v>
      </c>
      <c r="L482" s="44">
        <f t="shared" si="55"/>
        <v>0</v>
      </c>
      <c r="M482" s="51" t="str">
        <f t="shared" ca="1" si="56"/>
        <v/>
      </c>
      <c r="N482" s="50">
        <f t="shared" si="57"/>
        <v>44763.583333332179</v>
      </c>
    </row>
    <row r="483" spans="4:14" ht="14.1" x14ac:dyDescent="0.7">
      <c r="D483" s="30" t="str">
        <f t="shared" si="52"/>
        <v/>
      </c>
      <c r="J483" s="43">
        <f t="shared" si="54"/>
        <v>44763.624999998843</v>
      </c>
      <c r="K483" s="44" t="b">
        <f t="shared" ca="1" si="53"/>
        <v>0</v>
      </c>
      <c r="L483" s="44">
        <f t="shared" si="55"/>
        <v>0</v>
      </c>
      <c r="M483" s="51" t="str">
        <f t="shared" ca="1" si="56"/>
        <v/>
      </c>
      <c r="N483" s="50">
        <f t="shared" si="57"/>
        <v>44763.624999998843</v>
      </c>
    </row>
    <row r="484" spans="4:14" ht="14.1" x14ac:dyDescent="0.7">
      <c r="D484" s="30" t="str">
        <f t="shared" si="52"/>
        <v/>
      </c>
      <c r="J484" s="43">
        <f t="shared" si="54"/>
        <v>44763.666666665507</v>
      </c>
      <c r="K484" s="44" t="b">
        <f t="shared" ca="1" si="53"/>
        <v>0</v>
      </c>
      <c r="L484" s="44">
        <f t="shared" si="55"/>
        <v>0</v>
      </c>
      <c r="M484" s="51" t="str">
        <f t="shared" ca="1" si="56"/>
        <v/>
      </c>
      <c r="N484" s="50">
        <f t="shared" si="57"/>
        <v>44763.666666665507</v>
      </c>
    </row>
    <row r="485" spans="4:14" ht="14.1" x14ac:dyDescent="0.7">
      <c r="D485" s="30" t="str">
        <f t="shared" si="52"/>
        <v/>
      </c>
      <c r="J485" s="43">
        <f t="shared" si="54"/>
        <v>44763.708333332172</v>
      </c>
      <c r="K485" s="44" t="b">
        <f t="shared" ca="1" si="53"/>
        <v>0</v>
      </c>
      <c r="L485" s="44">
        <f t="shared" si="55"/>
        <v>0</v>
      </c>
      <c r="M485" s="51" t="str">
        <f t="shared" ca="1" si="56"/>
        <v/>
      </c>
      <c r="N485" s="50">
        <f t="shared" si="57"/>
        <v>44763.708333332172</v>
      </c>
    </row>
    <row r="486" spans="4:14" ht="14.1" x14ac:dyDescent="0.7">
      <c r="D486" s="30" t="str">
        <f t="shared" si="52"/>
        <v/>
      </c>
      <c r="J486" s="43">
        <f t="shared" si="54"/>
        <v>44763.749999998836</v>
      </c>
      <c r="K486" s="44" t="b">
        <f t="shared" ca="1" si="53"/>
        <v>0</v>
      </c>
      <c r="L486" s="44">
        <f t="shared" si="55"/>
        <v>0</v>
      </c>
      <c r="M486" s="51" t="str">
        <f t="shared" ca="1" si="56"/>
        <v/>
      </c>
      <c r="N486" s="50">
        <f t="shared" si="57"/>
        <v>44763.749999998836</v>
      </c>
    </row>
    <row r="487" spans="4:14" ht="14.1" x14ac:dyDescent="0.7">
      <c r="D487" s="30" t="str">
        <f t="shared" si="52"/>
        <v/>
      </c>
      <c r="J487" s="43">
        <f t="shared" si="54"/>
        <v>44763.7916666655</v>
      </c>
      <c r="K487" s="44" t="b">
        <f t="shared" ca="1" si="53"/>
        <v>0</v>
      </c>
      <c r="L487" s="44">
        <f t="shared" si="55"/>
        <v>0</v>
      </c>
      <c r="M487" s="51" t="str">
        <f t="shared" ca="1" si="56"/>
        <v/>
      </c>
      <c r="N487" s="50">
        <f t="shared" si="57"/>
        <v>44763.7916666655</v>
      </c>
    </row>
    <row r="488" spans="4:14" ht="14.1" x14ac:dyDescent="0.7">
      <c r="D488" s="30" t="str">
        <f t="shared" si="52"/>
        <v/>
      </c>
      <c r="J488" s="43">
        <f t="shared" si="54"/>
        <v>44763.833333332164</v>
      </c>
      <c r="K488" s="44" t="b">
        <f t="shared" ca="1" si="53"/>
        <v>0</v>
      </c>
      <c r="L488" s="44">
        <f t="shared" si="55"/>
        <v>0</v>
      </c>
      <c r="M488" s="51" t="str">
        <f t="shared" ca="1" si="56"/>
        <v/>
      </c>
      <c r="N488" s="50">
        <f t="shared" si="57"/>
        <v>44763.833333332164</v>
      </c>
    </row>
    <row r="489" spans="4:14" ht="14.1" x14ac:dyDescent="0.7">
      <c r="D489" s="30" t="str">
        <f t="shared" si="52"/>
        <v/>
      </c>
      <c r="J489" s="43">
        <f t="shared" si="54"/>
        <v>44763.874999998829</v>
      </c>
      <c r="K489" s="44" t="b">
        <f t="shared" ca="1" si="53"/>
        <v>0</v>
      </c>
      <c r="L489" s="44">
        <f t="shared" si="55"/>
        <v>0</v>
      </c>
      <c r="M489" s="51" t="str">
        <f t="shared" ca="1" si="56"/>
        <v/>
      </c>
      <c r="N489" s="50">
        <f t="shared" si="57"/>
        <v>44763.874999998829</v>
      </c>
    </row>
    <row r="490" spans="4:14" ht="14.1" x14ac:dyDescent="0.7">
      <c r="D490" s="30" t="str">
        <f t="shared" si="52"/>
        <v/>
      </c>
      <c r="J490" s="43">
        <f t="shared" si="54"/>
        <v>44763.916666665493</v>
      </c>
      <c r="K490" s="44" t="b">
        <f t="shared" ca="1" si="53"/>
        <v>0</v>
      </c>
      <c r="L490" s="44">
        <f t="shared" si="55"/>
        <v>0</v>
      </c>
      <c r="M490" s="51" t="str">
        <f t="shared" ca="1" si="56"/>
        <v/>
      </c>
      <c r="N490" s="50">
        <f t="shared" si="57"/>
        <v>44763.916666665493</v>
      </c>
    </row>
    <row r="491" spans="4:14" ht="14.1" x14ac:dyDescent="0.7">
      <c r="D491" s="30" t="str">
        <f t="shared" si="52"/>
        <v/>
      </c>
      <c r="J491" s="43">
        <f t="shared" si="54"/>
        <v>44763.958333332157</v>
      </c>
      <c r="K491" s="44" t="b">
        <f t="shared" ca="1" si="53"/>
        <v>0</v>
      </c>
      <c r="L491" s="44">
        <f t="shared" si="55"/>
        <v>0</v>
      </c>
      <c r="M491" s="51" t="str">
        <f t="shared" ca="1" si="56"/>
        <v/>
      </c>
      <c r="N491" s="50">
        <f t="shared" si="57"/>
        <v>44763.958333332157</v>
      </c>
    </row>
    <row r="492" spans="4:14" ht="14.1" x14ac:dyDescent="0.7">
      <c r="D492" s="30" t="str">
        <f t="shared" si="52"/>
        <v/>
      </c>
      <c r="J492" s="43">
        <f t="shared" si="54"/>
        <v>44763.999999998821</v>
      </c>
      <c r="K492" s="44" t="b">
        <f t="shared" ca="1" si="53"/>
        <v>0</v>
      </c>
      <c r="L492" s="44">
        <f t="shared" si="55"/>
        <v>0</v>
      </c>
      <c r="M492" s="51" t="str">
        <f t="shared" ca="1" si="56"/>
        <v/>
      </c>
      <c r="N492" s="50">
        <f t="shared" si="57"/>
        <v>44763.999999998821</v>
      </c>
    </row>
    <row r="493" spans="4:14" ht="14.1" x14ac:dyDescent="0.7">
      <c r="D493" s="30" t="str">
        <f t="shared" si="52"/>
        <v/>
      </c>
      <c r="J493" s="43">
        <f t="shared" si="54"/>
        <v>44764.041666665486</v>
      </c>
      <c r="K493" s="44" t="b">
        <f t="shared" ca="1" si="53"/>
        <v>0</v>
      </c>
      <c r="L493" s="44">
        <f t="shared" si="55"/>
        <v>0</v>
      </c>
      <c r="M493" s="51" t="str">
        <f t="shared" ca="1" si="56"/>
        <v/>
      </c>
      <c r="N493" s="50">
        <f t="shared" si="57"/>
        <v>44764.041666665486</v>
      </c>
    </row>
    <row r="494" spans="4:14" ht="14.1" x14ac:dyDescent="0.7">
      <c r="D494" s="30" t="str">
        <f t="shared" si="52"/>
        <v/>
      </c>
      <c r="J494" s="43">
        <f t="shared" si="54"/>
        <v>44764.08333333215</v>
      </c>
      <c r="K494" s="44" t="b">
        <f t="shared" ca="1" si="53"/>
        <v>0</v>
      </c>
      <c r="L494" s="44">
        <f t="shared" si="55"/>
        <v>0</v>
      </c>
      <c r="M494" s="51" t="str">
        <f t="shared" ca="1" si="56"/>
        <v/>
      </c>
      <c r="N494" s="50">
        <f t="shared" si="57"/>
        <v>44764.08333333215</v>
      </c>
    </row>
    <row r="495" spans="4:14" ht="14.1" x14ac:dyDescent="0.7">
      <c r="D495" s="30" t="str">
        <f t="shared" si="52"/>
        <v/>
      </c>
      <c r="J495" s="43">
        <f t="shared" si="54"/>
        <v>44764.124999998814</v>
      </c>
      <c r="K495" s="44" t="b">
        <f t="shared" ca="1" si="53"/>
        <v>0</v>
      </c>
      <c r="L495" s="44">
        <f t="shared" si="55"/>
        <v>0</v>
      </c>
      <c r="M495" s="51" t="str">
        <f t="shared" ca="1" si="56"/>
        <v/>
      </c>
      <c r="N495" s="50">
        <f t="shared" si="57"/>
        <v>44764.124999998814</v>
      </c>
    </row>
    <row r="496" spans="4:14" ht="14.1" x14ac:dyDescent="0.7">
      <c r="D496" s="30" t="str">
        <f t="shared" si="52"/>
        <v/>
      </c>
      <c r="J496" s="43">
        <f t="shared" si="54"/>
        <v>44764.166666665478</v>
      </c>
      <c r="K496" s="44" t="b">
        <f t="shared" ca="1" si="53"/>
        <v>0</v>
      </c>
      <c r="L496" s="44">
        <f t="shared" si="55"/>
        <v>0</v>
      </c>
      <c r="M496" s="51" t="str">
        <f t="shared" ca="1" si="56"/>
        <v/>
      </c>
      <c r="N496" s="50">
        <f t="shared" si="57"/>
        <v>44764.166666665478</v>
      </c>
    </row>
    <row r="497" spans="4:14" ht="14.1" x14ac:dyDescent="0.7">
      <c r="D497" s="30" t="str">
        <f t="shared" si="52"/>
        <v/>
      </c>
      <c r="J497" s="43">
        <f t="shared" si="54"/>
        <v>44764.208333332143</v>
      </c>
      <c r="K497" s="44" t="b">
        <f t="shared" ca="1" si="53"/>
        <v>0</v>
      </c>
      <c r="L497" s="44">
        <f t="shared" si="55"/>
        <v>0</v>
      </c>
      <c r="M497" s="51" t="str">
        <f t="shared" ca="1" si="56"/>
        <v/>
      </c>
      <c r="N497" s="50">
        <f t="shared" si="57"/>
        <v>44764.208333332143</v>
      </c>
    </row>
    <row r="498" spans="4:14" ht="14.1" x14ac:dyDescent="0.7">
      <c r="D498" s="30" t="str">
        <f t="shared" si="52"/>
        <v/>
      </c>
      <c r="J498" s="43">
        <f t="shared" si="54"/>
        <v>44764.249999998807</v>
      </c>
      <c r="K498" s="44" t="b">
        <f t="shared" ca="1" si="53"/>
        <v>0</v>
      </c>
      <c r="L498" s="44">
        <f t="shared" si="55"/>
        <v>0</v>
      </c>
      <c r="M498" s="51" t="str">
        <f t="shared" ca="1" si="56"/>
        <v/>
      </c>
      <c r="N498" s="50">
        <f t="shared" si="57"/>
        <v>44764.249999998807</v>
      </c>
    </row>
    <row r="499" spans="4:14" ht="14.1" x14ac:dyDescent="0.7">
      <c r="D499" s="30" t="str">
        <f t="shared" si="52"/>
        <v/>
      </c>
      <c r="J499" s="43">
        <f t="shared" si="54"/>
        <v>44764.291666665471</v>
      </c>
      <c r="K499" s="44" t="b">
        <f t="shared" ca="1" si="53"/>
        <v>0</v>
      </c>
      <c r="L499" s="44">
        <f t="shared" si="55"/>
        <v>0</v>
      </c>
      <c r="M499" s="51" t="str">
        <f t="shared" ca="1" si="56"/>
        <v/>
      </c>
      <c r="N499" s="50">
        <f t="shared" si="57"/>
        <v>44764.291666665471</v>
      </c>
    </row>
    <row r="500" spans="4:14" ht="14.1" x14ac:dyDescent="0.7">
      <c r="D500" s="30" t="str">
        <f t="shared" si="52"/>
        <v/>
      </c>
      <c r="J500" s="43">
        <f t="shared" si="54"/>
        <v>44764.333333332135</v>
      </c>
      <c r="K500" s="44" t="b">
        <f t="shared" ca="1" si="53"/>
        <v>0</v>
      </c>
      <c r="L500" s="44">
        <f t="shared" si="55"/>
        <v>0</v>
      </c>
      <c r="M500" s="51" t="str">
        <f t="shared" ca="1" si="56"/>
        <v/>
      </c>
      <c r="N500" s="50">
        <f t="shared" si="57"/>
        <v>44764.333333332135</v>
      </c>
    </row>
  </sheetData>
  <phoneticPr fontId="1" type="noConversion"/>
  <pageMargins left="0.7" right="0.7" top="0.75" bottom="0.75" header="0.3" footer="0.3"/>
  <pageSetup paperSize="9" orientation="portrait" r:id="rId1"/>
  <ignoredErrors>
    <ignoredError xmlns:x16r3="http://schemas.microsoft.com/office/spreadsheetml/2018/08/main" sqref="N6:N96" x16r3:misleadingFormat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EEC3C-AFA0-4AAD-9726-2A88CEF4F27D}">
  <sheetPr codeName="Sheet2"/>
  <dimension ref="A1:R47"/>
  <sheetViews>
    <sheetView zoomScaleNormal="100" workbookViewId="0">
      <selection activeCell="R29" sqref="R29"/>
    </sheetView>
  </sheetViews>
  <sheetFormatPr defaultColWidth="8.59765625" defaultRowHeight="18" x14ac:dyDescent="0.7"/>
  <cols>
    <col min="1" max="1" width="11.59765625" style="1" customWidth="1"/>
    <col min="2" max="2" width="13.09765625" style="1" customWidth="1"/>
    <col min="3" max="3" width="8.59765625" style="1"/>
    <col min="4" max="4" width="11.34765625" style="1" customWidth="1"/>
    <col min="5" max="5" width="23" style="1" customWidth="1"/>
    <col min="6" max="6" width="35.75" style="1" customWidth="1"/>
    <col min="7" max="7" width="28.09765625" style="1" customWidth="1"/>
    <col min="8" max="16384" width="8.59765625" style="1"/>
  </cols>
  <sheetData>
    <row r="1" spans="1:18" ht="18.3" thickBot="1" x14ac:dyDescent="0.75">
      <c r="A1" s="1" t="s">
        <v>12</v>
      </c>
    </row>
    <row r="2" spans="1:18" x14ac:dyDescent="0.7">
      <c r="A2" s="2" t="s">
        <v>13</v>
      </c>
      <c r="B2" s="3" t="s">
        <v>14</v>
      </c>
      <c r="C2" s="3" t="s">
        <v>15</v>
      </c>
      <c r="D2" s="3" t="s">
        <v>16</v>
      </c>
      <c r="E2" s="3" t="s">
        <v>17</v>
      </c>
      <c r="F2" s="4" t="s">
        <v>18</v>
      </c>
    </row>
    <row r="3" spans="1:18" x14ac:dyDescent="0.7">
      <c r="A3" s="5" t="s">
        <v>19</v>
      </c>
      <c r="B3" s="6" t="s">
        <v>20</v>
      </c>
      <c r="C3" s="6">
        <v>100</v>
      </c>
      <c r="D3" s="6">
        <v>1</v>
      </c>
      <c r="E3" s="7" t="s">
        <v>21</v>
      </c>
      <c r="F3" s="8" t="s">
        <v>22</v>
      </c>
    </row>
    <row r="4" spans="1:18" x14ac:dyDescent="0.7">
      <c r="A4" s="5" t="s">
        <v>23</v>
      </c>
      <c r="B4" s="6" t="s">
        <v>24</v>
      </c>
      <c r="C4" s="6">
        <v>4</v>
      </c>
      <c r="D4" s="6">
        <v>1</v>
      </c>
      <c r="E4" s="7">
        <v>1</v>
      </c>
      <c r="F4" s="8" t="s">
        <v>24</v>
      </c>
    </row>
    <row r="5" spans="1:18" x14ac:dyDescent="0.7">
      <c r="A5" s="5" t="s">
        <v>25</v>
      </c>
      <c r="B5" s="6" t="s">
        <v>26</v>
      </c>
      <c r="C5" s="6">
        <v>4</v>
      </c>
      <c r="D5" s="6">
        <v>1</v>
      </c>
      <c r="E5" s="7">
        <v>10</v>
      </c>
      <c r="F5" s="8" t="s">
        <v>27</v>
      </c>
    </row>
    <row r="6" spans="1:18" x14ac:dyDescent="0.7">
      <c r="A6" s="5" t="s">
        <v>28</v>
      </c>
      <c r="B6" s="6" t="s">
        <v>29</v>
      </c>
      <c r="C6" s="6">
        <v>2</v>
      </c>
      <c r="D6" s="6">
        <v>0</v>
      </c>
      <c r="E6" s="7" t="s">
        <v>30</v>
      </c>
      <c r="F6" s="8" t="s">
        <v>31</v>
      </c>
    </row>
    <row r="7" spans="1:18" x14ac:dyDescent="0.7">
      <c r="A7" s="5" t="s">
        <v>32</v>
      </c>
      <c r="B7" s="6" t="s">
        <v>33</v>
      </c>
      <c r="C7" s="6">
        <v>2</v>
      </c>
      <c r="D7" s="6">
        <v>0</v>
      </c>
      <c r="E7" s="7">
        <v>11</v>
      </c>
      <c r="F7" s="8" t="s">
        <v>34</v>
      </c>
    </row>
    <row r="8" spans="1:18" x14ac:dyDescent="0.7">
      <c r="A8" s="1" t="s">
        <v>35</v>
      </c>
    </row>
    <row r="10" spans="1:18" ht="18.3" thickBot="1" x14ac:dyDescent="0.75">
      <c r="A10" s="1" t="s">
        <v>36</v>
      </c>
    </row>
    <row r="11" spans="1:18" x14ac:dyDescent="0.7">
      <c r="A11" s="2" t="s">
        <v>13</v>
      </c>
      <c r="B11" s="3" t="s">
        <v>14</v>
      </c>
      <c r="C11" s="3" t="s">
        <v>37</v>
      </c>
      <c r="D11" s="3" t="s">
        <v>38</v>
      </c>
      <c r="E11" s="3" t="s">
        <v>17</v>
      </c>
      <c r="F11" s="4" t="s">
        <v>18</v>
      </c>
      <c r="R11" s="8" t="s">
        <v>39</v>
      </c>
    </row>
    <row r="12" spans="1:18" x14ac:dyDescent="0.7">
      <c r="A12" s="5" t="s">
        <v>40</v>
      </c>
      <c r="B12" s="6" t="s">
        <v>41</v>
      </c>
      <c r="C12" s="6">
        <v>2</v>
      </c>
      <c r="D12" s="6">
        <v>1</v>
      </c>
      <c r="E12" s="7">
        <v>0</v>
      </c>
      <c r="F12" s="8" t="s">
        <v>41</v>
      </c>
      <c r="R12" s="8" t="s">
        <v>42</v>
      </c>
    </row>
    <row r="13" spans="1:18" x14ac:dyDescent="0.7">
      <c r="A13" s="5" t="s">
        <v>43</v>
      </c>
      <c r="B13" s="6" t="s">
        <v>44</v>
      </c>
      <c r="C13" s="6">
        <v>50</v>
      </c>
      <c r="D13" s="6">
        <v>1</v>
      </c>
      <c r="E13" s="7" t="s">
        <v>45</v>
      </c>
      <c r="F13" s="8" t="s">
        <v>44</v>
      </c>
      <c r="R13" s="8" t="s">
        <v>46</v>
      </c>
    </row>
    <row r="14" spans="1:18" x14ac:dyDescent="0.7">
      <c r="A14" s="5" t="s">
        <v>47</v>
      </c>
      <c r="B14" s="6" t="s">
        <v>48</v>
      </c>
      <c r="C14" s="6">
        <v>9</v>
      </c>
      <c r="D14" s="6">
        <v>1</v>
      </c>
      <c r="E14" s="7">
        <v>12000</v>
      </c>
      <c r="F14" s="8" t="s">
        <v>49</v>
      </c>
      <c r="R14" s="8" t="s">
        <v>50</v>
      </c>
    </row>
    <row r="15" spans="1:18" x14ac:dyDescent="0.7">
      <c r="A15" s="5" t="s">
        <v>23</v>
      </c>
      <c r="B15" s="6" t="s">
        <v>24</v>
      </c>
      <c r="C15" s="6">
        <v>5</v>
      </c>
      <c r="D15" s="6">
        <v>1</v>
      </c>
      <c r="E15" s="7">
        <v>1</v>
      </c>
      <c r="F15" s="8" t="s">
        <v>51</v>
      </c>
      <c r="R15" s="8" t="s">
        <v>52</v>
      </c>
    </row>
    <row r="16" spans="1:18" x14ac:dyDescent="0.7">
      <c r="A16" s="5" t="s">
        <v>25</v>
      </c>
      <c r="B16" s="6" t="s">
        <v>26</v>
      </c>
      <c r="C16" s="6">
        <v>5</v>
      </c>
      <c r="D16" s="6">
        <v>1</v>
      </c>
      <c r="E16" s="7">
        <v>10</v>
      </c>
      <c r="F16" s="8" t="s">
        <v>53</v>
      </c>
      <c r="R16" s="8" t="s">
        <v>54</v>
      </c>
    </row>
    <row r="17" spans="1:18" x14ac:dyDescent="0.7">
      <c r="A17" s="5" t="s">
        <v>55</v>
      </c>
      <c r="B17" s="6" t="s">
        <v>56</v>
      </c>
      <c r="C17" s="6"/>
      <c r="D17" s="6" t="s">
        <v>57</v>
      </c>
      <c r="E17" s="7"/>
      <c r="F17" s="8" t="s">
        <v>56</v>
      </c>
      <c r="R17" s="8" t="s">
        <v>58</v>
      </c>
    </row>
    <row r="18" spans="1:18" x14ac:dyDescent="0.7">
      <c r="A18" s="9" t="s">
        <v>59</v>
      </c>
      <c r="B18" s="10" t="s">
        <v>60</v>
      </c>
      <c r="C18" s="10">
        <v>100</v>
      </c>
      <c r="D18" s="10">
        <v>1</v>
      </c>
      <c r="E18" s="11" t="s">
        <v>61</v>
      </c>
      <c r="F18" s="12" t="s">
        <v>60</v>
      </c>
      <c r="R18" s="8" t="s">
        <v>62</v>
      </c>
    </row>
    <row r="19" spans="1:18" x14ac:dyDescent="0.7">
      <c r="A19" s="9" t="s">
        <v>63</v>
      </c>
      <c r="B19" s="10" t="s">
        <v>64</v>
      </c>
      <c r="C19" s="10">
        <v>8</v>
      </c>
      <c r="D19" s="10">
        <v>1</v>
      </c>
      <c r="E19" s="11">
        <v>28260005</v>
      </c>
      <c r="F19" s="12" t="s">
        <v>64</v>
      </c>
      <c r="R19" s="8" t="s">
        <v>65</v>
      </c>
    </row>
    <row r="20" spans="1:18" x14ac:dyDescent="0.7">
      <c r="A20" s="9" t="s">
        <v>66</v>
      </c>
      <c r="B20" s="10" t="s">
        <v>67</v>
      </c>
      <c r="C20" s="10">
        <v>2</v>
      </c>
      <c r="D20" s="10">
        <v>1</v>
      </c>
      <c r="E20" s="11">
        <v>2</v>
      </c>
      <c r="F20" s="12" t="s">
        <v>67</v>
      </c>
      <c r="R20" s="8" t="s">
        <v>68</v>
      </c>
    </row>
    <row r="21" spans="1:18" x14ac:dyDescent="0.7">
      <c r="A21" s="9" t="s">
        <v>69</v>
      </c>
      <c r="B21" s="10" t="s">
        <v>70</v>
      </c>
      <c r="C21" s="10">
        <v>2</v>
      </c>
      <c r="D21" s="10">
        <v>1</v>
      </c>
      <c r="E21" s="11">
        <v>3</v>
      </c>
      <c r="F21" s="12" t="s">
        <v>70</v>
      </c>
      <c r="G21" s="13" t="s">
        <v>71</v>
      </c>
      <c r="R21" s="8" t="s">
        <v>72</v>
      </c>
    </row>
    <row r="22" spans="1:18" x14ac:dyDescent="0.7">
      <c r="A22" s="5" t="s">
        <v>73</v>
      </c>
      <c r="B22" s="6" t="s">
        <v>74</v>
      </c>
      <c r="C22" s="6">
        <v>200</v>
      </c>
      <c r="D22" s="6">
        <v>1</v>
      </c>
      <c r="E22" s="7" t="s">
        <v>75</v>
      </c>
      <c r="F22" s="8" t="s">
        <v>76</v>
      </c>
      <c r="G22" s="13"/>
      <c r="R22" s="8" t="s">
        <v>77</v>
      </c>
    </row>
    <row r="23" spans="1:18" x14ac:dyDescent="0.7">
      <c r="A23" s="5" t="s">
        <v>78</v>
      </c>
      <c r="B23" s="6" t="s">
        <v>79</v>
      </c>
      <c r="C23" s="6">
        <v>200</v>
      </c>
      <c r="D23" s="6">
        <v>0</v>
      </c>
      <c r="E23" s="7" t="s">
        <v>80</v>
      </c>
      <c r="F23" s="8" t="s">
        <v>81</v>
      </c>
      <c r="G23" s="13"/>
      <c r="R23" s="8" t="s">
        <v>82</v>
      </c>
    </row>
    <row r="24" spans="1:18" x14ac:dyDescent="0.7">
      <c r="A24" s="9" t="s">
        <v>83</v>
      </c>
      <c r="B24" s="10" t="s">
        <v>84</v>
      </c>
      <c r="C24" s="10">
        <v>15</v>
      </c>
      <c r="D24" s="10">
        <v>1</v>
      </c>
      <c r="E24" s="11">
        <v>37.56962</v>
      </c>
      <c r="F24" s="12" t="s">
        <v>85</v>
      </c>
      <c r="G24" s="13"/>
      <c r="R24" s="8" t="s">
        <v>86</v>
      </c>
    </row>
    <row r="25" spans="1:18" x14ac:dyDescent="0.7">
      <c r="A25" s="9" t="s">
        <v>87</v>
      </c>
      <c r="B25" s="10" t="s">
        <v>88</v>
      </c>
      <c r="C25" s="10">
        <v>15</v>
      </c>
      <c r="D25" s="10">
        <v>1</v>
      </c>
      <c r="E25" s="11">
        <v>126.64197299999999</v>
      </c>
      <c r="F25" s="12" t="s">
        <v>89</v>
      </c>
      <c r="G25" s="13"/>
      <c r="R25" s="8" t="s">
        <v>90</v>
      </c>
    </row>
    <row r="26" spans="1:18" x14ac:dyDescent="0.7">
      <c r="A26" s="9" t="s">
        <v>91</v>
      </c>
      <c r="B26" s="10" t="s">
        <v>92</v>
      </c>
      <c r="C26" s="10">
        <v>100</v>
      </c>
      <c r="D26" s="10">
        <v>1</v>
      </c>
      <c r="E26" s="11" t="s">
        <v>93</v>
      </c>
      <c r="F26" s="12" t="s">
        <v>94</v>
      </c>
      <c r="R26" s="8" t="s">
        <v>95</v>
      </c>
    </row>
    <row r="27" spans="1:18" x14ac:dyDescent="0.7">
      <c r="A27" s="5" t="s">
        <v>96</v>
      </c>
      <c r="B27" s="6" t="s">
        <v>97</v>
      </c>
      <c r="C27" s="6">
        <v>2</v>
      </c>
      <c r="D27" s="6">
        <v>1</v>
      </c>
      <c r="E27" s="7" t="s">
        <v>98</v>
      </c>
      <c r="F27" s="8" t="s">
        <v>97</v>
      </c>
      <c r="R27" s="8" t="s">
        <v>99</v>
      </c>
    </row>
    <row r="28" spans="1:18" x14ac:dyDescent="0.7">
      <c r="A28" s="9" t="s">
        <v>100</v>
      </c>
      <c r="B28" s="10" t="s">
        <v>101</v>
      </c>
      <c r="C28" s="10">
        <v>100</v>
      </c>
      <c r="D28" s="10">
        <v>1</v>
      </c>
      <c r="E28" s="11" t="s">
        <v>102</v>
      </c>
      <c r="F28" s="12" t="s">
        <v>101</v>
      </c>
      <c r="R28" s="8" t="s">
        <v>103</v>
      </c>
    </row>
    <row r="29" spans="1:18" x14ac:dyDescent="0.7">
      <c r="A29" s="9" t="s">
        <v>104</v>
      </c>
      <c r="B29" s="10" t="s">
        <v>105</v>
      </c>
      <c r="C29" s="10">
        <v>100</v>
      </c>
      <c r="D29" s="10">
        <v>1</v>
      </c>
      <c r="E29" s="11" t="s">
        <v>106</v>
      </c>
      <c r="F29" s="12" t="s">
        <v>105</v>
      </c>
      <c r="R29" s="8" t="s">
        <v>107</v>
      </c>
    </row>
    <row r="30" spans="1:18" x14ac:dyDescent="0.7">
      <c r="A30" s="5" t="s">
        <v>108</v>
      </c>
      <c r="B30" s="6" t="s">
        <v>109</v>
      </c>
      <c r="C30" s="6">
        <v>50</v>
      </c>
      <c r="D30" s="6">
        <v>1</v>
      </c>
      <c r="E30" s="7" t="s">
        <v>110</v>
      </c>
      <c r="F30" s="8" t="s">
        <v>111</v>
      </c>
      <c r="R30" s="8" t="s">
        <v>112</v>
      </c>
    </row>
    <row r="31" spans="1:18" x14ac:dyDescent="0.7">
      <c r="A31" s="9" t="s">
        <v>113</v>
      </c>
      <c r="B31" s="10" t="s">
        <v>114</v>
      </c>
      <c r="C31" s="10">
        <v>1</v>
      </c>
      <c r="D31" s="10">
        <v>1</v>
      </c>
      <c r="E31" s="11">
        <v>2</v>
      </c>
      <c r="F31" s="12" t="s">
        <v>114</v>
      </c>
      <c r="G31" s="13" t="s">
        <v>115</v>
      </c>
      <c r="R31" s="8" t="s">
        <v>116</v>
      </c>
    </row>
    <row r="32" spans="1:18" x14ac:dyDescent="0.7">
      <c r="A32" s="9" t="s">
        <v>117</v>
      </c>
      <c r="B32" s="10" t="s">
        <v>118</v>
      </c>
      <c r="C32" s="10">
        <v>14</v>
      </c>
      <c r="D32" s="10">
        <v>1</v>
      </c>
      <c r="E32" s="11" t="s">
        <v>119</v>
      </c>
      <c r="F32" s="12" t="s">
        <v>120</v>
      </c>
      <c r="R32" s="8" t="s">
        <v>121</v>
      </c>
    </row>
    <row r="33" spans="1:18" x14ac:dyDescent="0.7">
      <c r="A33" s="9" t="s">
        <v>122</v>
      </c>
      <c r="B33" s="10" t="s">
        <v>123</v>
      </c>
      <c r="C33" s="10">
        <v>14</v>
      </c>
      <c r="D33" s="10">
        <v>0</v>
      </c>
      <c r="E33" s="11" t="s">
        <v>124</v>
      </c>
      <c r="F33" s="12" t="s">
        <v>123</v>
      </c>
      <c r="R33" s="8" t="s">
        <v>125</v>
      </c>
    </row>
    <row r="34" spans="1:18" x14ac:dyDescent="0.7">
      <c r="A34" s="9" t="s">
        <v>126</v>
      </c>
      <c r="B34" s="10" t="s">
        <v>127</v>
      </c>
      <c r="C34" s="10">
        <v>14</v>
      </c>
      <c r="D34" s="10">
        <v>0</v>
      </c>
      <c r="E34" s="11" t="s">
        <v>128</v>
      </c>
      <c r="F34" s="12" t="s">
        <v>127</v>
      </c>
      <c r="R34" s="8" t="s">
        <v>129</v>
      </c>
    </row>
    <row r="35" spans="1:18" x14ac:dyDescent="0.7">
      <c r="A35" s="9" t="s">
        <v>130</v>
      </c>
      <c r="B35" s="10" t="s">
        <v>131</v>
      </c>
      <c r="C35" s="10">
        <v>14</v>
      </c>
      <c r="D35" s="10">
        <v>0</v>
      </c>
      <c r="E35" s="11" t="s">
        <v>132</v>
      </c>
      <c r="F35" s="12" t="s">
        <v>131</v>
      </c>
      <c r="R35" s="8" t="s">
        <v>133</v>
      </c>
    </row>
    <row r="36" spans="1:18" x14ac:dyDescent="0.7">
      <c r="A36" s="9" t="s">
        <v>134</v>
      </c>
      <c r="B36" s="10" t="s">
        <v>135</v>
      </c>
      <c r="C36" s="10">
        <v>5</v>
      </c>
      <c r="D36" s="10">
        <v>0</v>
      </c>
      <c r="E36" s="11">
        <v>50</v>
      </c>
      <c r="F36" s="12" t="s">
        <v>136</v>
      </c>
      <c r="R36" s="8" t="s">
        <v>137</v>
      </c>
    </row>
    <row r="37" spans="1:18" x14ac:dyDescent="0.7">
      <c r="A37" s="9" t="s">
        <v>138</v>
      </c>
      <c r="B37" s="10" t="s">
        <v>139</v>
      </c>
      <c r="C37" s="10">
        <v>10</v>
      </c>
      <c r="D37" s="10">
        <v>0</v>
      </c>
      <c r="E37" s="11" t="s">
        <v>140</v>
      </c>
      <c r="F37" s="12" t="s">
        <v>141</v>
      </c>
      <c r="R37" s="8" t="s">
        <v>142</v>
      </c>
    </row>
    <row r="38" spans="1:18" x14ac:dyDescent="0.7">
      <c r="A38" s="9" t="s">
        <v>32</v>
      </c>
      <c r="B38" s="10" t="s">
        <v>143</v>
      </c>
      <c r="C38" s="10">
        <v>2</v>
      </c>
      <c r="D38" s="10">
        <v>1</v>
      </c>
      <c r="E38" s="11">
        <v>28</v>
      </c>
      <c r="F38" s="12" t="s">
        <v>34</v>
      </c>
      <c r="R38" s="8" t="s">
        <v>144</v>
      </c>
    </row>
    <row r="39" spans="1:18" x14ac:dyDescent="0.7">
      <c r="A39" s="9" t="s">
        <v>145</v>
      </c>
      <c r="B39" s="10" t="s">
        <v>146</v>
      </c>
      <c r="C39" s="10">
        <v>1</v>
      </c>
      <c r="D39" s="10">
        <v>0</v>
      </c>
      <c r="E39" s="11" t="s">
        <v>147</v>
      </c>
      <c r="F39" s="12" t="s">
        <v>148</v>
      </c>
      <c r="G39" s="1" t="s">
        <v>149</v>
      </c>
      <c r="R39" s="8" t="s">
        <v>150</v>
      </c>
    </row>
    <row r="40" spans="1:18" x14ac:dyDescent="0.7">
      <c r="A40" s="9" t="s">
        <v>151</v>
      </c>
      <c r="B40" s="10" t="s">
        <v>152</v>
      </c>
      <c r="C40" s="10">
        <v>200</v>
      </c>
      <c r="D40" s="10">
        <v>0</v>
      </c>
      <c r="E40" s="11" t="s">
        <v>153</v>
      </c>
      <c r="F40" s="12" t="s">
        <v>154</v>
      </c>
      <c r="R40" s="8" t="s">
        <v>155</v>
      </c>
    </row>
    <row r="41" spans="1:18" x14ac:dyDescent="0.7">
      <c r="A41" s="9" t="s">
        <v>156</v>
      </c>
      <c r="B41" s="10" t="s">
        <v>157</v>
      </c>
      <c r="C41" s="10">
        <v>1</v>
      </c>
      <c r="D41" s="10">
        <v>1</v>
      </c>
      <c r="E41" s="11" t="s">
        <v>147</v>
      </c>
      <c r="F41" s="12" t="s">
        <v>158</v>
      </c>
    </row>
    <row r="42" spans="1:18" x14ac:dyDescent="0.7">
      <c r="A42" s="9" t="s">
        <v>159</v>
      </c>
      <c r="B42" s="10" t="s">
        <v>160</v>
      </c>
      <c r="C42" s="10">
        <v>100</v>
      </c>
      <c r="D42" s="10">
        <v>0</v>
      </c>
      <c r="E42" s="11" t="s">
        <v>161</v>
      </c>
      <c r="F42" s="12" t="s">
        <v>160</v>
      </c>
    </row>
    <row r="43" spans="1:18" x14ac:dyDescent="0.7">
      <c r="A43" s="9" t="s">
        <v>162</v>
      </c>
      <c r="B43" s="10" t="s">
        <v>163</v>
      </c>
      <c r="C43" s="10">
        <v>1</v>
      </c>
      <c r="D43" s="10">
        <v>1</v>
      </c>
      <c r="E43" s="11" t="s">
        <v>147</v>
      </c>
      <c r="F43" s="12" t="s">
        <v>164</v>
      </c>
      <c r="G43" s="1" t="s">
        <v>165</v>
      </c>
    </row>
    <row r="44" spans="1:18" x14ac:dyDescent="0.7">
      <c r="A44" s="9" t="s">
        <v>166</v>
      </c>
      <c r="B44" s="10" t="s">
        <v>167</v>
      </c>
      <c r="C44" s="10">
        <v>100</v>
      </c>
      <c r="D44" s="10">
        <v>0</v>
      </c>
      <c r="E44" s="11" t="s">
        <v>168</v>
      </c>
      <c r="F44" s="12" t="s">
        <v>169</v>
      </c>
    </row>
    <row r="45" spans="1:18" x14ac:dyDescent="0.7">
      <c r="A45" s="14"/>
      <c r="B45" s="14"/>
      <c r="C45" s="14"/>
      <c r="D45" s="14"/>
      <c r="E45" s="15"/>
      <c r="F45" s="14"/>
    </row>
    <row r="46" spans="1:18" x14ac:dyDescent="0.7">
      <c r="A46" s="14"/>
      <c r="B46" s="14"/>
      <c r="C46" s="14"/>
      <c r="D46" s="14"/>
      <c r="E46" s="15"/>
      <c r="F46" s="14"/>
    </row>
    <row r="47" spans="1:18" x14ac:dyDescent="0.7">
      <c r="A47" s="1" t="s">
        <v>35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7FB20-F232-4B63-9FB0-F525CC8D3701}">
  <sheetPr codeName="Sheet3"/>
  <dimension ref="A3:K39"/>
  <sheetViews>
    <sheetView zoomScaleNormal="100" workbookViewId="0">
      <selection activeCell="C5" sqref="C5"/>
    </sheetView>
  </sheetViews>
  <sheetFormatPr defaultColWidth="8.59765625" defaultRowHeight="18" x14ac:dyDescent="0.7"/>
  <cols>
    <col min="1" max="1" width="14.84765625" style="1" customWidth="1"/>
    <col min="2" max="2" width="14.34765625" style="1" customWidth="1"/>
    <col min="3" max="5" width="8.59765625" style="1"/>
    <col min="6" max="6" width="24.59765625" style="1" customWidth="1"/>
    <col min="7" max="13" width="8.59765625" style="1"/>
    <col min="14" max="14" width="29.09765625" style="1" customWidth="1"/>
    <col min="15" max="15" width="10.25" style="1" bestFit="1" customWidth="1"/>
    <col min="16" max="17" width="8.59765625" style="1"/>
    <col min="18" max="18" width="29.75" style="1" customWidth="1"/>
    <col min="19" max="19" width="10.25" style="1" bestFit="1" customWidth="1"/>
    <col min="20" max="21" width="8.59765625" style="1"/>
    <col min="22" max="22" width="18.09765625" style="1" customWidth="1"/>
    <col min="23" max="23" width="10.25" style="1" bestFit="1" customWidth="1"/>
    <col min="24" max="16384" width="8.59765625" style="1"/>
  </cols>
  <sheetData>
    <row r="3" spans="1:11" ht="18.3" thickBot="1" x14ac:dyDescent="0.75">
      <c r="A3" s="1" t="s">
        <v>172</v>
      </c>
      <c r="E3" s="1" t="s">
        <v>173</v>
      </c>
      <c r="I3" s="1" t="s">
        <v>174</v>
      </c>
    </row>
    <row r="4" spans="1:11" ht="18.3" thickBot="1" x14ac:dyDescent="0.75">
      <c r="A4" s="16" t="s">
        <v>177</v>
      </c>
      <c r="B4" s="17" t="s">
        <v>178</v>
      </c>
      <c r="E4" s="16" t="s">
        <v>177</v>
      </c>
      <c r="F4" s="16" t="s">
        <v>178</v>
      </c>
      <c r="I4" s="16" t="s">
        <v>177</v>
      </c>
      <c r="J4" s="16" t="s">
        <v>178</v>
      </c>
    </row>
    <row r="5" spans="1:11" ht="18.3" thickBot="1" x14ac:dyDescent="0.75">
      <c r="A5" s="18">
        <v>11</v>
      </c>
      <c r="B5" s="19" t="s">
        <v>179</v>
      </c>
      <c r="C5" s="20"/>
      <c r="E5" s="16">
        <v>1</v>
      </c>
      <c r="F5" s="16" t="s">
        <v>180</v>
      </c>
      <c r="G5" s="20"/>
      <c r="I5" s="16">
        <v>1</v>
      </c>
      <c r="J5" s="16" t="s">
        <v>181</v>
      </c>
      <c r="K5" s="20"/>
    </row>
    <row r="6" spans="1:11" ht="18.3" thickBot="1" x14ac:dyDescent="0.75">
      <c r="A6" s="18">
        <v>26</v>
      </c>
      <c r="B6" s="19" t="s">
        <v>182</v>
      </c>
      <c r="C6" s="20"/>
      <c r="E6" s="16">
        <v>2</v>
      </c>
      <c r="F6" s="16" t="s">
        <v>183</v>
      </c>
      <c r="G6" s="20"/>
      <c r="I6" s="16">
        <v>2</v>
      </c>
      <c r="J6" s="16" t="s">
        <v>184</v>
      </c>
      <c r="K6" s="20"/>
    </row>
    <row r="7" spans="1:11" ht="18.3" thickBot="1" x14ac:dyDescent="0.75">
      <c r="A7" s="18">
        <v>27</v>
      </c>
      <c r="B7" s="19" t="s">
        <v>185</v>
      </c>
      <c r="C7" s="20"/>
      <c r="E7" s="16">
        <v>3</v>
      </c>
      <c r="F7" s="16" t="s">
        <v>186</v>
      </c>
      <c r="G7" s="20"/>
      <c r="I7" s="16">
        <v>3</v>
      </c>
      <c r="J7" s="16" t="s">
        <v>187</v>
      </c>
      <c r="K7" s="20"/>
    </row>
    <row r="8" spans="1:11" ht="18.3" thickBot="1" x14ac:dyDescent="0.75">
      <c r="A8" s="18">
        <v>28</v>
      </c>
      <c r="B8" s="19" t="s">
        <v>188</v>
      </c>
      <c r="C8" s="20"/>
      <c r="E8" s="16">
        <v>4</v>
      </c>
      <c r="F8" s="16" t="s">
        <v>189</v>
      </c>
      <c r="G8" s="20"/>
      <c r="I8" s="16">
        <v>4</v>
      </c>
      <c r="J8" s="16" t="s">
        <v>190</v>
      </c>
      <c r="K8" s="20"/>
    </row>
    <row r="9" spans="1:11" ht="18.3" thickBot="1" x14ac:dyDescent="0.75">
      <c r="A9" s="18">
        <v>29</v>
      </c>
      <c r="B9" s="19" t="s">
        <v>191</v>
      </c>
      <c r="C9" s="20"/>
      <c r="E9" s="16">
        <v>5</v>
      </c>
      <c r="F9" s="16" t="s">
        <v>192</v>
      </c>
      <c r="G9" s="20"/>
      <c r="I9" s="16">
        <v>5</v>
      </c>
      <c r="J9" s="16" t="s">
        <v>193</v>
      </c>
      <c r="K9" s="20"/>
    </row>
    <row r="10" spans="1:11" ht="18.3" thickBot="1" x14ac:dyDescent="0.75">
      <c r="A10" s="18">
        <v>30</v>
      </c>
      <c r="B10" s="19" t="s">
        <v>194</v>
      </c>
      <c r="C10" s="20"/>
      <c r="E10" s="16">
        <v>6</v>
      </c>
      <c r="F10" s="16" t="s">
        <v>195</v>
      </c>
      <c r="G10" s="20"/>
      <c r="I10" s="16">
        <v>9</v>
      </c>
      <c r="J10" s="16" t="s">
        <v>196</v>
      </c>
      <c r="K10" s="20"/>
    </row>
    <row r="11" spans="1:11" ht="18.3" thickBot="1" x14ac:dyDescent="0.75">
      <c r="A11" s="18">
        <v>31</v>
      </c>
      <c r="B11" s="19" t="s">
        <v>197</v>
      </c>
      <c r="C11" s="20"/>
      <c r="E11" s="16">
        <v>7</v>
      </c>
      <c r="F11" s="16" t="s">
        <v>198</v>
      </c>
      <c r="G11" s="20"/>
      <c r="K11" s="20"/>
    </row>
    <row r="12" spans="1:11" ht="18.3" thickBot="1" x14ac:dyDescent="0.75">
      <c r="A12" s="18">
        <v>36</v>
      </c>
      <c r="B12" s="19" t="s">
        <v>199</v>
      </c>
      <c r="C12" s="20"/>
      <c r="G12" s="20"/>
    </row>
    <row r="13" spans="1:11" ht="18.3" thickBot="1" x14ac:dyDescent="0.75">
      <c r="A13" s="18">
        <v>41</v>
      </c>
      <c r="B13" s="19" t="s">
        <v>200</v>
      </c>
      <c r="C13" s="20"/>
    </row>
    <row r="14" spans="1:11" ht="18.3" thickBot="1" x14ac:dyDescent="0.75">
      <c r="A14" s="18">
        <v>42</v>
      </c>
      <c r="B14" s="19" t="s">
        <v>201</v>
      </c>
      <c r="C14" s="20"/>
    </row>
    <row r="15" spans="1:11" ht="18.3" thickBot="1" x14ac:dyDescent="0.75">
      <c r="A15" s="18">
        <v>43</v>
      </c>
      <c r="B15" s="19" t="s">
        <v>202</v>
      </c>
      <c r="C15" s="20"/>
    </row>
    <row r="16" spans="1:11" ht="18.3" thickBot="1" x14ac:dyDescent="0.75">
      <c r="A16" s="18">
        <v>44</v>
      </c>
      <c r="B16" s="19" t="s">
        <v>203</v>
      </c>
      <c r="C16" s="20"/>
    </row>
    <row r="17" spans="1:10" ht="18.3" thickBot="1" x14ac:dyDescent="0.75">
      <c r="A17" s="18">
        <v>45</v>
      </c>
      <c r="B17" s="19" t="s">
        <v>204</v>
      </c>
      <c r="C17" s="20"/>
    </row>
    <row r="18" spans="1:10" ht="18.3" thickBot="1" x14ac:dyDescent="0.75">
      <c r="A18" s="18">
        <v>46</v>
      </c>
      <c r="B18" s="19" t="s">
        <v>205</v>
      </c>
      <c r="C18" s="20"/>
    </row>
    <row r="19" spans="1:10" ht="18.3" thickBot="1" x14ac:dyDescent="0.75">
      <c r="A19" s="18">
        <v>47</v>
      </c>
      <c r="B19" s="19" t="s">
        <v>206</v>
      </c>
      <c r="C19" s="20"/>
    </row>
    <row r="20" spans="1:10" ht="18.3" thickBot="1" x14ac:dyDescent="0.75">
      <c r="A20" s="18">
        <v>48</v>
      </c>
      <c r="B20" s="19" t="s">
        <v>207</v>
      </c>
      <c r="C20" s="20"/>
    </row>
    <row r="21" spans="1:10" ht="18.3" thickBot="1" x14ac:dyDescent="0.75">
      <c r="A21" s="18">
        <v>50</v>
      </c>
      <c r="B21" s="19" t="s">
        <v>208</v>
      </c>
      <c r="C21" s="20"/>
    </row>
    <row r="22" spans="1:10" x14ac:dyDescent="0.7">
      <c r="C22" s="20"/>
    </row>
    <row r="24" spans="1:10" ht="18.3" thickBot="1" x14ac:dyDescent="0.75"/>
    <row r="25" spans="1:10" ht="18.3" thickBot="1" x14ac:dyDescent="0.75">
      <c r="A25" s="16" t="s">
        <v>170</v>
      </c>
      <c r="E25" s="16" t="s">
        <v>171</v>
      </c>
      <c r="I25" s="16" t="s">
        <v>209</v>
      </c>
    </row>
    <row r="26" spans="1:10" ht="18.3" thickBot="1" x14ac:dyDescent="0.75">
      <c r="A26" s="16" t="s">
        <v>175</v>
      </c>
      <c r="B26" s="20"/>
      <c r="E26" s="16" t="s">
        <v>176</v>
      </c>
      <c r="F26" s="20"/>
      <c r="I26" s="16">
        <v>1</v>
      </c>
      <c r="J26" s="20"/>
    </row>
    <row r="27" spans="1:10" ht="18.3" thickBot="1" x14ac:dyDescent="0.75">
      <c r="A27" s="16" t="s">
        <v>210</v>
      </c>
      <c r="B27" s="20"/>
      <c r="E27" s="16" t="s">
        <v>211</v>
      </c>
      <c r="F27" s="20"/>
      <c r="I27" s="16">
        <v>3</v>
      </c>
      <c r="J27" s="20"/>
    </row>
    <row r="28" spans="1:10" ht="18.3" thickBot="1" x14ac:dyDescent="0.75">
      <c r="A28" s="16" t="s">
        <v>212</v>
      </c>
      <c r="B28" s="20"/>
      <c r="E28" s="16" t="s">
        <v>212</v>
      </c>
      <c r="F28" s="20"/>
      <c r="I28" s="16">
        <v>7</v>
      </c>
      <c r="J28" s="20"/>
    </row>
    <row r="29" spans="1:10" ht="18.3" thickBot="1" x14ac:dyDescent="0.75">
      <c r="B29" s="21"/>
      <c r="F29" s="21"/>
      <c r="I29" s="16">
        <v>14</v>
      </c>
      <c r="J29" s="20"/>
    </row>
    <row r="30" spans="1:10" ht="18.3" thickBot="1" x14ac:dyDescent="0.75">
      <c r="I30" s="16">
        <v>40</v>
      </c>
      <c r="J30" s="20"/>
    </row>
    <row r="31" spans="1:10" ht="18.3" thickBot="1" x14ac:dyDescent="0.75">
      <c r="I31" s="16">
        <v>50</v>
      </c>
      <c r="J31" s="20"/>
    </row>
    <row r="32" spans="1:10" ht="18.3" thickBot="1" x14ac:dyDescent="0.75">
      <c r="I32" s="16">
        <v>100</v>
      </c>
      <c r="J32" s="20"/>
    </row>
    <row r="33" spans="9:10" ht="18.3" thickBot="1" x14ac:dyDescent="0.75">
      <c r="I33" s="16">
        <v>175</v>
      </c>
      <c r="J33" s="20"/>
    </row>
    <row r="34" spans="9:10" ht="18.3" thickBot="1" x14ac:dyDescent="0.75">
      <c r="I34" s="16">
        <v>200</v>
      </c>
      <c r="J34" s="20"/>
    </row>
    <row r="35" spans="9:10" ht="18.3" thickBot="1" x14ac:dyDescent="0.75">
      <c r="I35" s="16">
        <v>260</v>
      </c>
      <c r="J35" s="20"/>
    </row>
    <row r="36" spans="9:10" ht="18.3" thickBot="1" x14ac:dyDescent="0.75">
      <c r="I36" s="16">
        <v>320</v>
      </c>
      <c r="J36" s="20"/>
    </row>
    <row r="37" spans="9:10" ht="18.3" thickBot="1" x14ac:dyDescent="0.75">
      <c r="I37" s="16">
        <v>350</v>
      </c>
      <c r="J37" s="20"/>
    </row>
    <row r="38" spans="9:10" ht="18.3" thickBot="1" x14ac:dyDescent="0.75">
      <c r="I38" s="16" t="s">
        <v>212</v>
      </c>
      <c r="J38" s="20"/>
    </row>
    <row r="39" spans="9:10" x14ac:dyDescent="0.7">
      <c r="J39" s="21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수집기록</vt:lpstr>
      <vt:lpstr>docx명세</vt:lpstr>
      <vt:lpstr>코드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Dayeon Jung</cp:lastModifiedBy>
  <dcterms:created xsi:type="dcterms:W3CDTF">2019-12-15T06:17:58Z</dcterms:created>
  <dcterms:modified xsi:type="dcterms:W3CDTF">2022-07-02T13:08:28Z</dcterms:modified>
</cp:coreProperties>
</file>